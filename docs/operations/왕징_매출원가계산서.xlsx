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2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사용법" sheetId="1" state="visible" r:id="rId3"/>
    <sheet name="기본설정" sheetId="2" state="visible" r:id="rId4"/>
    <sheet name="월손익요약" sheetId="3" state="visible" r:id="rId5"/>
    <sheet name="월손익상세" sheetId="4" state="visible" r:id="rId6"/>
    <sheet name="매출원가계산서" sheetId="5" state="visible" r:id="rId7"/>
    <sheet name="연간요약" sheetId="6" state="visible" r:id="rId8"/>
    <sheet name="식자재단가" sheetId="7" state="visible" r:id="rId9"/>
    <sheet name="레시피" sheetId="8" state="visible" r:id="rId10"/>
    <sheet name="메뉴원가표" sheetId="9" state="visible" r:id="rId11"/>
    <sheet name="매출일보" sheetId="10" state="visible" r:id="rId12"/>
    <sheet name="매입장" sheetId="11" state="visible" r:id="rId13"/>
    <sheet name="재고실사" sheetId="12" state="visible" r:id="rId14"/>
  </sheets>
  <definedNames>
    <definedName function="false" hidden="true" localSheetId="7" name="_xlnm._FilterDatabase" vbProcedure="false">레시피!$A$3:$G$603</definedName>
    <definedName function="false" hidden="true" localSheetId="10" name="_xlnm._FilterDatabase" vbProcedure="false">매입장!$A$3:$P$1503</definedName>
    <definedName function="false" hidden="false" localSheetId="4" name="_xlnm.Print_Area" vbProcedure="false">매출원가계산서!$B$1:$I$64</definedName>
    <definedName function="false" hidden="true" localSheetId="9" name="_xlnm._FilterDatabase" vbProcedure="false">매출일보!$A$3:$M$403</definedName>
    <definedName function="false" hidden="true" localSheetId="8" name="_xlnm._FilterDatabase" vbProcedure="false">메뉴원가표!$A$5:$Q$65</definedName>
    <definedName function="false" hidden="true" localSheetId="6" name="_xlnm._FilterDatabase" vbProcedure="false">식자재단가!$A$3:$P$203</definedName>
    <definedName function="false" hidden="false" localSheetId="2" name="_xlnm.Print_Area" vbProcedure="false">월손익요약!$B$1:$G$42</definedName>
    <definedName function="false" hidden="true" localSheetId="11" name="_xlnm._FilterDatabase" vbProcedure="false">재고실사!$A$3:$W$403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7" authorId="0">
      <text>
        <r>
          <rPr>
            <sz val="10"/>
            <rFont val="WenQuanYi Zen Hei"/>
            <family val="2"/>
          </rPr>
          <t xml:space="preserve">레시피에 넣지 않은 소량 양념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기본찬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땅콩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짜사이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양배추</t>
        </r>
        <r>
          <rPr>
            <sz val="10"/>
            <rFont val="Arial"/>
            <family val="2"/>
          </rPr>
          <t xml:space="preserve">)·</t>
        </r>
        <r>
          <rPr>
            <sz val="10"/>
            <rFont val="WenQuanYi Zen Hei"/>
            <family val="2"/>
          </rPr>
          <t xml:space="preserve">쯔란 리필 등을 음식 원가에 일괄 가산하는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일반적으로 </t>
        </r>
        <r>
          <rPr>
            <sz val="10"/>
            <rFont val="Arial"/>
            <family val="2"/>
          </rPr>
          <t xml:space="preserve">3~7%.</t>
        </r>
      </text>
    </comment>
    <comment ref="C8" authorId="0">
      <text>
        <r>
          <rPr>
            <sz val="10"/>
            <rFont val="WenQuanYi Zen Hei"/>
            <family val="2"/>
          </rPr>
          <t xml:space="preserve">양꼬치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중식 전문점 통상 식재료 원가율 </t>
        </r>
        <r>
          <rPr>
            <sz val="10"/>
            <rFont val="Arial"/>
            <family val="2"/>
          </rPr>
          <t xml:space="preserve">30~38% </t>
        </r>
        <r>
          <rPr>
            <sz val="10"/>
            <rFont val="WenQuanYi Zen Hei"/>
            <family val="2"/>
          </rPr>
          <t xml:space="preserve">수준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업계 통상치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WenQuanYi Zen Hei"/>
            <family val="2"/>
          </rPr>
          <t xml:space="preserve">사장님 목표로 수정하세요</t>
        </r>
        <r>
          <rPr>
            <sz val="10"/>
            <rFont val="Arial"/>
            <family val="2"/>
          </rPr>
          <t xml:space="preserve">.</t>
        </r>
      </text>
    </comment>
    <comment ref="C9" authorId="0">
      <text>
        <r>
          <rPr>
            <sz val="10"/>
            <rFont val="WenQuanYi Zen Hei"/>
            <family val="2"/>
          </rPr>
          <t xml:space="preserve">백주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맥주 판매가 대비 매입가 비율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통상 </t>
        </r>
        <r>
          <rPr>
            <sz val="10"/>
            <rFont val="Arial"/>
            <family val="2"/>
          </rPr>
          <t xml:space="preserve">25~35%.</t>
        </r>
      </text>
    </comment>
    <comment ref="C10" authorId="0">
      <text>
        <r>
          <rPr>
            <sz val="10"/>
            <rFont val="WenQuanYi Zen Hei"/>
            <family val="2"/>
          </rPr>
          <t xml:space="preserve">실제 원가율이 목표보다 높으면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주의</t>
        </r>
        <r>
          <rPr>
            <sz val="10"/>
            <rFont val="Arial"/>
            <family val="2"/>
          </rPr>
          <t xml:space="preserve">', </t>
        </r>
        <r>
          <rPr>
            <sz val="10"/>
            <rFont val="WenQuanYi Zen Hei"/>
            <family val="2"/>
          </rPr>
          <t xml:space="preserve">목표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허용폭보다 높으면 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WenQuanYi Zen Hei"/>
            <family val="2"/>
          </rPr>
          <t xml:space="preserve">위험</t>
        </r>
        <r>
          <rPr>
            <sz val="10"/>
            <rFont val="Arial"/>
            <family val="2"/>
          </rPr>
          <t xml:space="preserve">'.</t>
        </r>
      </text>
    </comment>
    <comment ref="C13" authorId="0">
      <text>
        <r>
          <rPr>
            <sz val="10"/>
            <rFont val="WenQuanYi Zen Hei"/>
            <family val="2"/>
          </rPr>
          <t xml:space="preserve">실제원가가 레시피 기준 이론원가보다 이 비율 이상 크면 로스 점검 신호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4" authorId="0">
      <text>
        <r>
          <rPr>
            <sz val="10"/>
            <rFont val="WenQuanYi Zen Hei"/>
            <family val="2"/>
          </rPr>
          <t xml:space="preserve">수율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실제 쓰는 양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구매한 양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WenQuanYi Zen Hei"/>
            <family val="2"/>
          </rPr>
          <t xml:space="preserve">예</t>
        </r>
        <r>
          <rPr>
            <sz val="10"/>
            <rFont val="Arial"/>
            <family val="2"/>
          </rPr>
          <t xml:space="preserve">) </t>
        </r>
        <r>
          <rPr>
            <sz val="10"/>
            <rFont val="WenQuanYi Zen Hei"/>
            <family val="2"/>
          </rPr>
          <t xml:space="preserve">양다리 </t>
        </r>
        <r>
          <rPr>
            <sz val="10"/>
            <rFont val="Arial"/>
            <family val="2"/>
          </rPr>
          <t xml:space="preserve">1kg </t>
        </r>
        <r>
          <rPr>
            <sz val="10"/>
            <rFont val="WenQuanYi Zen Hei"/>
            <family val="2"/>
          </rPr>
          <t xml:space="preserve">해동 후 </t>
        </r>
        <r>
          <rPr>
            <sz val="10"/>
            <rFont val="Arial"/>
            <family val="2"/>
          </rPr>
          <t xml:space="preserve">950g → 95%.
</t>
        </r>
        <r>
          <rPr>
            <sz val="10"/>
            <rFont val="WenQuanYi Zen Hei"/>
            <family val="2"/>
          </rPr>
          <t xml:space="preserve">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껍질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손질 손실이 클수록 실사용 단가가 올라갑니다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<sst xmlns="http://schemas.openxmlformats.org/spreadsheetml/2006/main" count="1792" uniqueCount="719">
  <si>
    <t xml:space="preserve">왕징양다리양꼬치 매출원가계산서 — 사용법</t>
  </si>
  <si>
    <r>
      <rPr>
        <sz val="9"/>
        <color rgb="FF716969"/>
        <rFont val="WenQuanYi Zen Hei"/>
        <family val="2"/>
      </rPr>
      <t xml:space="preserve">한 파일로 </t>
    </r>
    <r>
      <rPr>
        <sz val="9"/>
        <color rgb="FF716969"/>
        <rFont val="맑은 고딕"/>
        <family val="0"/>
        <charset val="1"/>
      </rPr>
      <t xml:space="preserve">1</t>
    </r>
    <r>
      <rPr>
        <sz val="9"/>
        <color rgb="FF716969"/>
        <rFont val="WenQuanYi Zen Hei"/>
        <family val="2"/>
      </rPr>
      <t xml:space="preserve">년</t>
    </r>
    <r>
      <rPr>
        <sz val="9"/>
        <color rgb="FF716969"/>
        <rFont val="맑은 고딕"/>
        <family val="0"/>
        <charset val="1"/>
      </rPr>
      <t xml:space="preserve">(1~12</t>
    </r>
    <r>
      <rPr>
        <sz val="9"/>
        <color rgb="FF716969"/>
        <rFont val="WenQuanYi Zen Hei"/>
        <family val="2"/>
      </rPr>
      <t xml:space="preserve">월</t>
    </r>
    <r>
      <rPr>
        <sz val="9"/>
        <color rgb="FF716969"/>
        <rFont val="맑은 고딕"/>
        <family val="0"/>
        <charset val="1"/>
      </rPr>
      <t xml:space="preserve">)</t>
    </r>
    <r>
      <rPr>
        <sz val="9"/>
        <color rgb="FF716969"/>
        <rFont val="WenQuanYi Zen Hei"/>
        <family val="2"/>
      </rPr>
      <t xml:space="preserve">을 관리합니다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매일 매출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매입을 쌓고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매월 말 재고만 세면 원가율이 자동 계산됩니다</t>
    </r>
    <r>
      <rPr>
        <sz val="9"/>
        <color rgb="FF716969"/>
        <rFont val="맑은 고딕"/>
        <family val="0"/>
        <charset val="1"/>
      </rPr>
      <t xml:space="preserve">.</t>
    </r>
  </si>
  <si>
    <t xml:space="preserve">■ 시트 구성</t>
  </si>
  <si>
    <t xml:space="preserve">월손익요약</t>
  </si>
  <si>
    <r>
      <rPr>
        <sz val="10"/>
        <rFont val="WenQuanYi Zen Hei"/>
        <family val="2"/>
      </rPr>
      <t xml:space="preserve">사장님이 주신 양식</t>
    </r>
    <r>
      <rPr>
        <sz val="10"/>
        <rFont val="맑은 고딕"/>
        <family val="0"/>
        <charset val="1"/>
      </rPr>
      <t xml:space="preserve">(①~⑩) </t>
    </r>
    <r>
      <rPr>
        <sz val="10"/>
        <rFont val="WenQuanYi Zen Hei"/>
        <family val="2"/>
      </rPr>
      <t xml:space="preserve">그대로 계획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실적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영업이익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핵심 비율</t>
    </r>
    <r>
      <rPr>
        <sz val="10"/>
        <rFont val="맑은 고딕"/>
        <family val="0"/>
        <charset val="1"/>
      </rPr>
      <t xml:space="preserve">(FL·</t>
    </r>
    <r>
      <rPr>
        <sz val="10"/>
        <rFont val="WenQuanYi Zen Hei"/>
        <family val="2"/>
      </rPr>
      <t xml:space="preserve">임대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인건비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손익분기 매출과 매출 시나리오</t>
    </r>
    <r>
      <rPr>
        <sz val="10"/>
        <rFont val="맑은 고딕"/>
        <family val="0"/>
        <charset val="1"/>
      </rPr>
      <t xml:space="preserve">.</t>
    </r>
  </si>
  <si>
    <t xml:space="preserve">월손익상세</t>
  </si>
  <si>
    <r>
      <rPr>
        <sz val="10"/>
        <rFont val="맑은 고딕"/>
        <family val="0"/>
        <charset val="1"/>
      </rPr>
      <t xml:space="preserve">①~⑩ </t>
    </r>
    <r>
      <rPr>
        <sz val="10"/>
        <rFont val="WenQuanYi Zen Hei"/>
        <family val="2"/>
      </rPr>
      <t xml:space="preserve">각 비용의 세부 항목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만원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계획은 예산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실적은 그 달 실제 지출 입력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매출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식재료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의제매입은 자동 연결</t>
    </r>
    <r>
      <rPr>
        <sz val="10"/>
        <rFont val="맑은 고딕"/>
        <family val="0"/>
        <charset val="1"/>
      </rPr>
      <t xml:space="preserve">.</t>
    </r>
  </si>
  <si>
    <t xml:space="preserve">기본설정</t>
  </si>
  <si>
    <r>
      <rPr>
        <sz val="10"/>
        <rFont val="WenQuanYi Zen Hei"/>
        <family val="2"/>
      </rPr>
      <t xml:space="preserve">상호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조회월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조회지점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목표 원가율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분류표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의제매입 공제율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매월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조회월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만 바꾸면 계산서가 그 달로 바뀝니다</t>
    </r>
    <r>
      <rPr>
        <sz val="10"/>
        <rFont val="맑은 고딕"/>
        <family val="0"/>
        <charset val="1"/>
      </rPr>
      <t xml:space="preserve">.</t>
    </r>
  </si>
  <si>
    <t xml:space="preserve">식자재단가</t>
  </si>
  <si>
    <r>
      <rPr>
        <sz val="10"/>
        <rFont val="WenQuanYi Zen Hei"/>
        <family val="2"/>
      </rPr>
      <t xml:space="preserve">품목 마스터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거래명세서 단가가 바뀌면 </t>
    </r>
    <r>
      <rPr>
        <sz val="10"/>
        <rFont val="맑은 고딕"/>
        <family val="0"/>
        <charset val="1"/>
      </rPr>
      <t xml:space="preserve">[</t>
    </r>
    <r>
      <rPr>
        <sz val="10"/>
        <rFont val="WenQuanYi Zen Hei"/>
        <family val="2"/>
      </rPr>
      <t xml:space="preserve">구매가격</t>
    </r>
    <r>
      <rPr>
        <sz val="10"/>
        <rFont val="맑은 고딕"/>
        <family val="0"/>
        <charset val="1"/>
      </rPr>
      <t xml:space="preserve">]</t>
    </r>
    <r>
      <rPr>
        <sz val="10"/>
        <rFont val="WenQuanYi Zen Hei"/>
        <family val="2"/>
      </rPr>
      <t xml:space="preserve">만 수정 → 레시피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메뉴원가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재고금액이 모두 자동 갱신됩니다</t>
    </r>
    <r>
      <rPr>
        <sz val="10"/>
        <rFont val="맑은 고딕"/>
        <family val="0"/>
        <charset val="1"/>
      </rPr>
      <t xml:space="preserve">.</t>
    </r>
  </si>
  <si>
    <t xml:space="preserve">레시피</t>
  </si>
  <si>
    <r>
      <rPr>
        <sz val="10"/>
        <rFont val="WenQuanYi Zen Hei"/>
        <family val="2"/>
      </rPr>
      <t xml:space="preserve">메뉴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인분에 들어가는 재료와 사용량</t>
    </r>
    <r>
      <rPr>
        <sz val="10"/>
        <rFont val="맑은 고딕"/>
        <family val="0"/>
        <charset val="1"/>
      </rPr>
      <t xml:space="preserve">(g·ml·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품목은 드롭다운으로 선택하세요</t>
    </r>
    <r>
      <rPr>
        <sz val="10"/>
        <rFont val="맑은 고딕"/>
        <family val="0"/>
        <charset val="1"/>
      </rPr>
      <t xml:space="preserve">.</t>
    </r>
  </si>
  <si>
    <t xml:space="preserve">메뉴원가표</t>
  </si>
  <si>
    <r>
      <rPr>
        <sz val="10"/>
        <rFont val="WenQuanYi Zen Hei"/>
        <family val="2"/>
      </rPr>
      <t xml:space="preserve">메뉴별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인분 원가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원가율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공헌이익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월 판매수량 입력 시 이론원가와 메뉴분석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스타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정리검토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까지 표시</t>
    </r>
    <r>
      <rPr>
        <sz val="10"/>
        <rFont val="맑은 고딕"/>
        <family val="0"/>
        <charset val="1"/>
      </rPr>
      <t xml:space="preserve">.</t>
    </r>
  </si>
  <si>
    <t xml:space="preserve">매출일보</t>
  </si>
  <si>
    <r>
      <rPr>
        <sz val="10"/>
        <rFont val="WenQuanYi Zen Hei"/>
        <family val="2"/>
      </rPr>
      <t xml:space="preserve">매일 마감 후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줄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지점별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카드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배달 매출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그중 주류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음료 매출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객수 입력</t>
    </r>
    <r>
      <rPr>
        <sz val="10"/>
        <rFont val="맑은 고딕"/>
        <family val="0"/>
        <charset val="1"/>
      </rPr>
      <t xml:space="preserve">.</t>
    </r>
  </si>
  <si>
    <t xml:space="preserve">매입장</t>
  </si>
  <si>
    <r>
      <rPr>
        <sz val="10"/>
        <rFont val="WenQuanYi Zen Hei"/>
        <family val="2"/>
      </rPr>
      <t xml:space="preserve">거래명세서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영수증 받을 때마다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줄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품목을 고르면 분류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단위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과세구분이 자동으로 채워집니다</t>
    </r>
    <r>
      <rPr>
        <sz val="10"/>
        <rFont val="맑은 고딕"/>
        <family val="0"/>
        <charset val="1"/>
      </rPr>
      <t xml:space="preserve">.</t>
    </r>
  </si>
  <si>
    <t xml:space="preserve">재고실사</t>
  </si>
  <si>
    <r>
      <rPr>
        <sz val="10"/>
        <rFont val="WenQuanYi Zen Hei"/>
        <family val="2"/>
      </rPr>
      <t xml:space="preserve">매월 말일 영업 종료 후 남은 수량을 해당 월 칸에 입력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구매단위 기준</t>
    </r>
    <r>
      <rPr>
        <sz val="10"/>
        <rFont val="맑은 고딕"/>
        <family val="0"/>
        <charset val="1"/>
      </rPr>
      <t xml:space="preserve">: kg, </t>
    </r>
    <r>
      <rPr>
        <sz val="10"/>
        <rFont val="WenQuanYi Zen Hei"/>
        <family val="2"/>
      </rPr>
      <t xml:space="preserve">박스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병 등</t>
    </r>
    <r>
      <rPr>
        <sz val="10"/>
        <rFont val="맑은 고딕"/>
        <family val="0"/>
        <charset val="1"/>
      </rPr>
      <t xml:space="preserve">).</t>
    </r>
  </si>
  <si>
    <t xml:space="preserve">매출원가계산서</t>
  </si>
  <si>
    <r>
      <rPr>
        <sz val="10"/>
        <rFont val="WenQuanYi Zen Hei"/>
        <family val="2"/>
      </rPr>
      <t xml:space="preserve">조회월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조회지점의 매출 → 매출원가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분류별</t>
    </r>
    <r>
      <rPr>
        <sz val="10"/>
        <rFont val="맑은 고딕"/>
        <family val="0"/>
        <charset val="1"/>
      </rPr>
      <t xml:space="preserve">) → </t>
    </r>
    <r>
      <rPr>
        <sz val="10"/>
        <rFont val="WenQuanYi Zen Hei"/>
        <family val="2"/>
      </rPr>
      <t xml:space="preserve">원가율 판정 → 매출총이익 → 이론 </t>
    </r>
    <r>
      <rPr>
        <sz val="10"/>
        <rFont val="맑은 고딕"/>
        <family val="0"/>
        <charset val="1"/>
      </rPr>
      <t xml:space="preserve">vs </t>
    </r>
    <r>
      <rPr>
        <sz val="10"/>
        <rFont val="WenQuanYi Zen Hei"/>
        <family val="2"/>
      </rPr>
      <t xml:space="preserve">실제 → 의제매입 참고</t>
    </r>
    <r>
      <rPr>
        <sz val="10"/>
        <rFont val="맑은 고딕"/>
        <family val="0"/>
        <charset val="1"/>
      </rPr>
      <t xml:space="preserve">.</t>
    </r>
  </si>
  <si>
    <t xml:space="preserve">연간요약</t>
  </si>
  <si>
    <r>
      <rPr>
        <sz val="10"/>
        <rFont val="맑은 고딕"/>
        <family val="0"/>
        <charset val="1"/>
      </rPr>
      <t xml:space="preserve">1~12</t>
    </r>
    <r>
      <rPr>
        <sz val="10"/>
        <rFont val="WenQuanYi Zen Hei"/>
        <family val="2"/>
      </rPr>
      <t xml:space="preserve">월 원가율 추이를 한 표로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재고실사를 안 한 달은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미입력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표시됩니다</t>
    </r>
    <r>
      <rPr>
        <sz val="10"/>
        <rFont val="맑은 고딕"/>
        <family val="0"/>
        <charset val="1"/>
      </rPr>
      <t xml:space="preserve">.</t>
    </r>
  </si>
  <si>
    <t xml:space="preserve">■ 셀 색상 규칙</t>
  </si>
  <si>
    <r>
      <rPr>
        <b val="true"/>
        <sz val="10"/>
        <color rgb="FF0000FF"/>
        <rFont val="WenQuanYi Zen Hei"/>
        <family val="2"/>
      </rPr>
      <t xml:space="preserve">노란 바탕 </t>
    </r>
    <r>
      <rPr>
        <b val="true"/>
        <sz val="10"/>
        <color rgb="FF0000FF"/>
        <rFont val="맑은 고딕"/>
        <family val="0"/>
        <charset val="1"/>
      </rPr>
      <t xml:space="preserve">+ </t>
    </r>
    <r>
      <rPr>
        <b val="true"/>
        <sz val="10"/>
        <color rgb="FF0000FF"/>
        <rFont val="WenQuanYi Zen Hei"/>
        <family val="2"/>
      </rPr>
      <t xml:space="preserve">파란 글씨</t>
    </r>
  </si>
  <si>
    <r>
      <rPr>
        <sz val="10"/>
        <rFont val="WenQuanYi Zen Hei"/>
        <family val="2"/>
      </rPr>
      <t xml:space="preserve">직접 입력하는 칸입니다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여기만 입력하세요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</si>
  <si>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흰 바탕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검은 글씨</t>
    </r>
  </si>
  <si>
    <r>
      <rPr>
        <sz val="10"/>
        <rFont val="WenQuanYi Zen Hei"/>
        <family val="2"/>
      </rPr>
      <t xml:space="preserve">자동 계산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칸입니다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지우거나 덮어쓰지 마세요</t>
    </r>
    <r>
      <rPr>
        <sz val="10"/>
        <rFont val="맑은 고딕"/>
        <family val="0"/>
        <charset val="1"/>
      </rPr>
      <t xml:space="preserve">.</t>
    </r>
  </si>
  <si>
    <t xml:space="preserve">초록 글씨</t>
  </si>
  <si>
    <r>
      <rPr>
        <sz val="10"/>
        <rFont val="WenQuanYi Zen Hei"/>
        <family val="2"/>
      </rPr>
      <t xml:space="preserve">다른 시트에서 자동으로 불러온 값입니다</t>
    </r>
    <r>
      <rPr>
        <sz val="10"/>
        <rFont val="맑은 고딕"/>
        <family val="0"/>
        <charset val="1"/>
      </rPr>
      <t xml:space="preserve">.</t>
    </r>
  </si>
  <si>
    <t xml:space="preserve">■ 운영 루틴</t>
  </si>
  <si>
    <r>
      <rPr>
        <b val="true"/>
        <sz val="10"/>
        <rFont val="WenQuanYi Zen Hei"/>
        <family val="2"/>
      </rPr>
      <t xml:space="preserve">매일 </t>
    </r>
    <r>
      <rPr>
        <b val="true"/>
        <sz val="10"/>
        <rFont val="맑은 고딕"/>
        <family val="0"/>
        <charset val="1"/>
      </rPr>
      <t xml:space="preserve">(3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</si>
  <si>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매출일보에 </t>
    </r>
    <r>
      <rPr>
        <sz val="10"/>
        <rFont val="맑은 고딕"/>
        <family val="0"/>
        <charset val="1"/>
      </rPr>
      <t xml:space="preserve">POS </t>
    </r>
    <r>
      <rPr>
        <sz val="10"/>
        <rFont val="WenQuanYi Zen Hei"/>
        <family val="2"/>
      </rPr>
      <t xml:space="preserve">마감 금액 입력  ② 들어온 거래명세서를 매입장에 입력</t>
    </r>
  </si>
  <si>
    <r>
      <rPr>
        <b val="true"/>
        <sz val="10"/>
        <rFont val="WenQuanYi Zen Hei"/>
        <family val="2"/>
      </rPr>
      <t xml:space="preserve">매주 </t>
    </r>
    <r>
      <rPr>
        <b val="true"/>
        <sz val="10"/>
        <rFont val="맑은 고딕"/>
        <family val="0"/>
        <charset val="1"/>
      </rPr>
      <t xml:space="preserve">(10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</si>
  <si>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식자재단가 시트에서 단가가 오른 품목 확인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변동률 </t>
    </r>
    <r>
      <rPr>
        <sz val="10"/>
        <rFont val="맑은 고딕"/>
        <family val="0"/>
        <charset val="1"/>
      </rPr>
      <t xml:space="preserve">10% </t>
    </r>
    <r>
      <rPr>
        <sz val="10"/>
        <rFont val="WenQuanYi Zen Hei"/>
        <family val="2"/>
      </rPr>
      <t xml:space="preserve">이상은 빨간색</t>
    </r>
    <r>
      <rPr>
        <sz val="10"/>
        <rFont val="맑은 고딕"/>
        <family val="0"/>
        <charset val="1"/>
      </rPr>
      <t xml:space="preserve">). </t>
    </r>
    <r>
      <rPr>
        <sz val="10"/>
        <rFont val="WenQuanYi Zen Hei"/>
        <family val="2"/>
      </rPr>
      <t xml:space="preserve">양고기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주류 단가는 특히 자주 확인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</si>
  <si>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매월 말일 </t>
    </r>
    <r>
      <rPr>
        <b val="true"/>
        <sz val="10"/>
        <rFont val="맑은 고딕"/>
        <family val="0"/>
        <charset val="1"/>
      </rPr>
      <t xml:space="preserve">(30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</si>
  <si>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① 재고실사 해당 월 칸 입력  ② 기본설정 조회월 변경  ③ 메뉴원가표에 </t>
    </r>
    <r>
      <rPr>
        <sz val="10"/>
        <rFont val="맑은 고딕"/>
        <family val="0"/>
        <charset val="1"/>
      </rPr>
      <t xml:space="preserve">POS </t>
    </r>
    <r>
      <rPr>
        <sz val="10"/>
        <rFont val="WenQuanYi Zen Hei"/>
        <family val="2"/>
      </rPr>
      <t xml:space="preserve">메뉴별 판매수량 입력  ④ 매출원가계산서 확인</t>
    </r>
  </si>
  <si>
    <t xml:space="preserve">■ 계산 원리</t>
  </si>
  <si>
    <t xml:space="preserve">매출원가</t>
  </si>
  <si>
    <r>
      <rPr>
        <sz val="10"/>
        <rFont val="WenQuanYi Zen Hei"/>
        <family val="2"/>
      </rPr>
      <t xml:space="preserve">기초재고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당월매입 − 기말재고 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전월 말 재고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이번 달 기초재고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자동 연결</t>
    </r>
    <r>
      <rPr>
        <sz val="10"/>
        <rFont val="맑은 고딕"/>
        <family val="0"/>
        <charset val="1"/>
      </rPr>
      <t xml:space="preserve">)</t>
    </r>
  </si>
  <si>
    <t xml:space="preserve">원가율</t>
  </si>
  <si>
    <r>
      <rPr>
        <sz val="10"/>
        <rFont val="WenQuanYi Zen Hei"/>
        <family val="2"/>
      </rPr>
      <t xml:space="preserve">매출원가 </t>
    </r>
    <r>
      <rPr>
        <sz val="10"/>
        <rFont val="맑은 고딕"/>
        <family val="0"/>
        <charset val="1"/>
      </rPr>
      <t xml:space="preserve">÷ </t>
    </r>
    <r>
      <rPr>
        <sz val="10"/>
        <rFont val="WenQuanYi Zen Hei"/>
        <family val="2"/>
      </rPr>
      <t xml:space="preserve">매출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공급가액</t>
    </r>
    <r>
      <rPr>
        <sz val="10"/>
        <rFont val="맑은 고딕"/>
        <family val="0"/>
        <charset val="1"/>
      </rPr>
      <t xml:space="preserve">, VAT </t>
    </r>
    <r>
      <rPr>
        <sz val="10"/>
        <rFont val="WenQuanYi Zen Hei"/>
        <family val="2"/>
      </rPr>
      <t xml:space="preserve">제외</t>
    </r>
    <r>
      <rPr>
        <sz val="10"/>
        <rFont val="맑은 고딕"/>
        <family val="0"/>
        <charset val="1"/>
      </rPr>
      <t xml:space="preserve">).  </t>
    </r>
    <r>
      <rPr>
        <sz val="10"/>
        <rFont val="WenQuanYi Zen Hei"/>
        <family val="2"/>
      </rPr>
      <t xml:space="preserve">식재료는 음식매출과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주류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음료는 주류매출과 비교합니다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</si>
  <si>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이론원가 </t>
    </r>
    <r>
      <rPr>
        <b val="true"/>
        <sz val="10"/>
        <rFont val="맑은 고딕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실제원가</t>
    </r>
  </si>
  <si>
    <r>
      <rPr>
        <sz val="10"/>
        <rFont val="WenQuanYi Zen Hei"/>
        <family val="2"/>
      </rPr>
      <t xml:space="preserve">이론원가 </t>
    </r>
    <r>
      <rPr>
        <sz val="10"/>
        <rFont val="맑은 고딕"/>
        <family val="0"/>
        <charset val="1"/>
      </rPr>
      <t xml:space="preserve">= </t>
    </r>
    <r>
      <rPr>
        <sz val="10"/>
        <rFont val="WenQuanYi Zen Hei"/>
        <family val="2"/>
      </rPr>
      <t xml:space="preserve">레시피 원가 </t>
    </r>
    <r>
      <rPr>
        <sz val="10"/>
        <rFont val="맑은 고딕"/>
        <family val="0"/>
        <charset val="1"/>
      </rPr>
      <t xml:space="preserve">× </t>
    </r>
    <r>
      <rPr>
        <sz val="10"/>
        <rFont val="WenQuanYi Zen Hei"/>
        <family val="2"/>
      </rPr>
      <t xml:space="preserve">판매수량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실제원가가 이론보다 </t>
    </r>
    <r>
      <rPr>
        <sz val="10"/>
        <rFont val="맑은 고딕"/>
        <family val="0"/>
        <charset val="1"/>
      </rPr>
      <t xml:space="preserve">5% </t>
    </r>
    <r>
      <rPr>
        <sz val="10"/>
        <rFont val="WenQuanYi Zen Hei"/>
        <family val="2"/>
      </rPr>
      <t xml:space="preserve">이상 크면 로스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과다투입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서비스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도난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매입 오기를 점검하세요</t>
    </r>
    <r>
      <rPr>
        <sz val="10"/>
        <rFont val="맑은 고딕"/>
        <family val="0"/>
        <charset val="1"/>
      </rPr>
      <t xml:space="preserve">.</t>
    </r>
  </si>
  <si>
    <t xml:space="preserve">금액 기준</t>
  </si>
  <si>
    <r>
      <rPr>
        <sz val="10"/>
        <rFont val="WenQuanYi Zen Hei"/>
        <family val="2"/>
      </rPr>
      <t xml:space="preserve">모든 원가는 공급가액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부가세 제외</t>
    </r>
    <r>
      <rPr>
        <sz val="10"/>
        <rFont val="맑은 고딕"/>
        <family val="0"/>
        <charset val="1"/>
      </rPr>
      <t xml:space="preserve">)</t>
    </r>
    <r>
      <rPr>
        <sz val="10"/>
        <rFont val="WenQuanYi Zen Hei"/>
        <family val="2"/>
      </rPr>
      <t xml:space="preserve">으로 계산합니다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매출도 </t>
    </r>
    <r>
      <rPr>
        <sz val="10"/>
        <rFont val="맑은 고딕"/>
        <family val="0"/>
        <charset val="1"/>
      </rPr>
      <t xml:space="preserve">÷1.1 </t>
    </r>
    <r>
      <rPr>
        <sz val="10"/>
        <rFont val="WenQuanYi Zen Hei"/>
        <family val="2"/>
      </rPr>
      <t xml:space="preserve">해서 공급가액으로 비교합니다</t>
    </r>
    <r>
      <rPr>
        <sz val="10"/>
        <rFont val="맑은 고딕"/>
        <family val="0"/>
        <charset val="1"/>
      </rPr>
      <t xml:space="preserve">.</t>
    </r>
  </si>
  <si>
    <t xml:space="preserve">■ 왕징 맞춤 관리 포인트</t>
  </si>
  <si>
    <t xml:space="preserve">양고기</t>
  </si>
  <si>
    <r>
      <rPr>
        <sz val="10"/>
        <rFont val="WenQuanYi Zen Hei"/>
        <family val="2"/>
      </rPr>
      <t xml:space="preserve">원가의 가장 큰 비중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양다리는 해동 손실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수율 </t>
    </r>
    <r>
      <rPr>
        <sz val="10"/>
        <rFont val="맑은 고딕"/>
        <family val="0"/>
        <charset val="1"/>
      </rPr>
      <t xml:space="preserve">95%)</t>
    </r>
    <r>
      <rPr>
        <sz val="10"/>
        <rFont val="WenQuanYi Zen Hei"/>
        <family val="2"/>
      </rPr>
      <t xml:space="preserve">을 반영했고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수율은 실제로 무게를 달아 고치면 더 정확해집니다</t>
    </r>
    <r>
      <rPr>
        <sz val="10"/>
        <rFont val="맑은 고딕"/>
        <family val="0"/>
        <charset val="1"/>
      </rPr>
      <t xml:space="preserve">.</t>
    </r>
  </si>
  <si>
    <t xml:space="preserve">완제품 꼬치</t>
  </si>
  <si>
    <r>
      <rPr>
        <sz val="10"/>
        <rFont val="WenQuanYi Zen Hei"/>
        <family val="2"/>
      </rPr>
      <t xml:space="preserve">양꼬치는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박스</t>
    </r>
    <r>
      <rPr>
        <sz val="10"/>
        <rFont val="맑은 고딕"/>
        <family val="0"/>
        <charset val="1"/>
      </rPr>
      <t xml:space="preserve">(100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)' </t>
    </r>
    <r>
      <rPr>
        <sz val="10"/>
        <rFont val="WenQuanYi Zen Hei"/>
        <family val="2"/>
      </rPr>
      <t xml:space="preserve">단위로 매입하고 레시피는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단위로 사용합니다</t>
    </r>
    <r>
      <rPr>
        <sz val="10"/>
        <rFont val="맑은 고딕"/>
        <family val="0"/>
        <charset val="1"/>
      </rPr>
      <t xml:space="preserve">. 1</t>
    </r>
    <r>
      <rPr>
        <sz val="10"/>
        <rFont val="WenQuanYi Zen Hei"/>
        <family val="2"/>
      </rPr>
      <t xml:space="preserve">인분 꼬치 개수가 다르면 레시피에서 수정</t>
    </r>
    <r>
      <rPr>
        <sz val="10"/>
        <rFont val="맑은 고딕"/>
        <family val="0"/>
        <charset val="1"/>
      </rPr>
      <t xml:space="preserve">.</t>
    </r>
  </si>
  <si>
    <t xml:space="preserve">주류</t>
  </si>
  <si>
    <r>
      <rPr>
        <sz val="10"/>
        <rFont val="WenQuanYi Zen Hei"/>
        <family val="2"/>
      </rPr>
      <t xml:space="preserve">주류는 원가율이 낮은 효자 상품입니다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음식과 분리해서 보는 이유입니다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하이볼은 위스키 </t>
    </r>
    <r>
      <rPr>
        <sz val="10"/>
        <rFont val="맑은 고딕"/>
        <family val="0"/>
        <charset val="1"/>
      </rPr>
      <t xml:space="preserve">45ml(</t>
    </r>
    <r>
      <rPr>
        <sz val="10"/>
        <rFont val="WenQuanYi Zen Hei"/>
        <family val="2"/>
      </rPr>
      <t xml:space="preserve">연태 </t>
    </r>
    <r>
      <rPr>
        <sz val="10"/>
        <rFont val="맑은 고딕"/>
        <family val="0"/>
        <charset val="1"/>
      </rPr>
      <t xml:space="preserve">30ml) </t>
    </r>
    <r>
      <rPr>
        <sz val="10"/>
        <rFont val="WenQuanYi Zen Hei"/>
        <family val="2"/>
      </rPr>
      <t xml:space="preserve">기준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</si>
  <si>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숯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소모품</t>
    </r>
  </si>
  <si>
    <r>
      <rPr>
        <sz val="10"/>
        <rFont val="WenQuanYi Zen Hei"/>
        <family val="2"/>
      </rPr>
      <t xml:space="preserve">숯은 메뉴별로 나누기 어려워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소모품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원가로 따로 집계하고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계산서에서 포함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제외 원가율을 둘 다 보여줍니다</t>
    </r>
    <r>
      <rPr>
        <sz val="10"/>
        <rFont val="맑은 고딕"/>
        <family val="0"/>
        <charset val="1"/>
      </rPr>
      <t xml:space="preserve">.</t>
    </r>
  </si>
  <si>
    <t xml:space="preserve">의제매입세액</t>
  </si>
  <si>
    <r>
      <rPr>
        <sz val="10"/>
        <rFont val="WenQuanYi Zen Hei"/>
        <family val="2"/>
      </rPr>
      <t xml:space="preserve">양고기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채소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두부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계란 등 면세 농축수산물 매입은 부가세 신고 때 공제받을 수 있습니다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계산서 </t>
    </r>
    <r>
      <rPr>
        <sz val="10"/>
        <rFont val="맑은 고딕"/>
        <family val="0"/>
        <charset val="1"/>
      </rPr>
      <t xml:space="preserve">6</t>
    </r>
    <r>
      <rPr>
        <sz val="10"/>
        <rFont val="WenQuanYi Zen Hei"/>
        <family val="2"/>
      </rPr>
      <t xml:space="preserve">번 참고</t>
    </r>
    <r>
      <rPr>
        <sz val="10"/>
        <rFont val="맑은 고딕"/>
        <family val="0"/>
        <charset val="1"/>
      </rPr>
      <t xml:space="preserve">).</t>
    </r>
  </si>
  <si>
    <t xml:space="preserve">■ 미리 넣어둔 값에 대해</t>
  </si>
  <si>
    <r>
      <rPr>
        <b val="true"/>
        <sz val="10"/>
        <rFont val="WenQuanYi Zen Hei"/>
        <family val="2"/>
      </rPr>
      <t xml:space="preserve">단가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레시피</t>
    </r>
  </si>
  <si>
    <r>
      <rPr>
        <sz val="10"/>
        <rFont val="WenQuanYi Zen Hei"/>
        <family val="2"/>
      </rPr>
      <t xml:space="preserve">식자재 단가와 레시피 사용량은 </t>
    </r>
    <r>
      <rPr>
        <sz val="10"/>
        <rFont val="맑은 고딕"/>
        <family val="0"/>
        <charset val="1"/>
      </rPr>
      <t xml:space="preserve">2026</t>
    </r>
    <r>
      <rPr>
        <sz val="10"/>
        <rFont val="WenQuanYi Zen Hei"/>
        <family val="2"/>
      </rPr>
      <t xml:space="preserve">년 도매 시세 기준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예시 추정치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반드시 실제 거래명세서와 주방 계량값으로 바꿔주세요</t>
    </r>
    <r>
      <rPr>
        <sz val="10"/>
        <rFont val="맑은 고딕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</si>
  <si>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메뉴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판매가</t>
    </r>
  </si>
  <si>
    <r>
      <rPr>
        <sz val="10"/>
        <rFont val="WenQuanYi Zen Hei"/>
        <family val="2"/>
      </rPr>
      <t xml:space="preserve">홈페이지 메뉴판</t>
    </r>
    <r>
      <rPr>
        <sz val="10"/>
        <rFont val="맑은 고딕"/>
        <family val="0"/>
        <charset val="1"/>
      </rPr>
      <t xml:space="preserve">(44</t>
    </r>
    <r>
      <rPr>
        <sz val="10"/>
        <rFont val="WenQuanYi Zen Hei"/>
        <family val="2"/>
      </rPr>
      <t xml:space="preserve">개 메뉴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가격을 그대로 넣었습니다</t>
    </r>
    <r>
      <rPr>
        <sz val="10"/>
        <rFont val="맑은 고딕"/>
        <family val="0"/>
        <charset val="1"/>
      </rPr>
      <t xml:space="preserve">.</t>
    </r>
  </si>
  <si>
    <t xml:space="preserve">예시 행</t>
  </si>
  <si>
    <r>
      <rPr>
        <sz val="10"/>
        <rFont val="WenQuanYi Zen Hei"/>
        <family val="2"/>
      </rPr>
      <t xml:space="preserve">매출일보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매입장의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예시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삭제</t>
    </r>
    <r>
      <rPr>
        <sz val="10"/>
        <rFont val="맑은 고딕"/>
        <family val="0"/>
        <charset val="1"/>
      </rPr>
      <t xml:space="preserve">)' </t>
    </r>
    <r>
      <rPr>
        <sz val="10"/>
        <rFont val="WenQuanYi Zen Hei"/>
        <family val="2"/>
      </rPr>
      <t xml:space="preserve">행은 입력 형식 참고용입니다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확인 후 행을 지우고 사용하세요</t>
    </r>
    <r>
      <rPr>
        <sz val="10"/>
        <rFont val="맑은 고딕"/>
        <family val="0"/>
        <charset val="1"/>
      </rPr>
      <t xml:space="preserve">.</t>
    </r>
  </si>
  <si>
    <t xml:space="preserve">지점</t>
  </si>
  <si>
    <r>
      <rPr>
        <sz val="10"/>
        <rFont val="WenQuanYi Zen Hei"/>
        <family val="2"/>
      </rPr>
      <t xml:space="preserve">판교점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모란점이 기본입니다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기본설정 지점목록에서 이름을 바꾸거나 추가할 수 있습니다</t>
    </r>
    <r>
      <rPr>
        <sz val="10"/>
        <rFont val="맑은 고딕"/>
        <family val="0"/>
        <charset val="1"/>
      </rPr>
      <t xml:space="preserve">.</t>
    </r>
  </si>
  <si>
    <r>
      <rPr>
        <sz val="9"/>
        <color rgb="FF716969"/>
        <rFont val="WenQuanYi Zen Hei"/>
        <family val="2"/>
      </rPr>
      <t xml:space="preserve">노란 칸만 수정하세요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매월 </t>
    </r>
    <r>
      <rPr>
        <sz val="9"/>
        <color rgb="FF716969"/>
        <rFont val="맑은 고딕"/>
        <family val="0"/>
        <charset val="1"/>
      </rPr>
      <t xml:space="preserve">[</t>
    </r>
    <r>
      <rPr>
        <sz val="9"/>
        <color rgb="FF716969"/>
        <rFont val="WenQuanYi Zen Hei"/>
        <family val="2"/>
      </rPr>
      <t xml:space="preserve">조회월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을 바꾸면 매출원가계산서가 해당 월로 바뀝니다</t>
    </r>
    <r>
      <rPr>
        <sz val="9"/>
        <color rgb="FF716969"/>
        <rFont val="맑은 고딕"/>
        <family val="0"/>
        <charset val="1"/>
      </rPr>
      <t xml:space="preserve">.</t>
    </r>
  </si>
  <si>
    <t xml:space="preserve">상호</t>
  </si>
  <si>
    <t xml:space="preserve">왕징양다리양꼬치</t>
  </si>
  <si>
    <t xml:space="preserve">지점목록</t>
  </si>
  <si>
    <t xml:space="preserve">분류</t>
  </si>
  <si>
    <t xml:space="preserve">원가그룹</t>
  </si>
  <si>
    <t xml:space="preserve">포함 품목 예시</t>
  </si>
  <si>
    <t xml:space="preserve">사업자 유형</t>
  </si>
  <si>
    <t xml:space="preserve">공제율</t>
  </si>
  <si>
    <t xml:space="preserve">과세구분</t>
  </si>
  <si>
    <t xml:space="preserve">결제방법</t>
  </si>
  <si>
    <t xml:space="preserve">증빙</t>
  </si>
  <si>
    <t xml:space="preserve">연도</t>
  </si>
  <si>
    <t xml:space="preserve">전체</t>
  </si>
  <si>
    <t xml:space="preserve">식재료</t>
  </si>
  <si>
    <r>
      <rPr>
        <sz val="10"/>
        <rFont val="WenQuanYi Zen Hei"/>
        <family val="2"/>
      </rPr>
      <t xml:space="preserve">양다리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양갈비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양꼬치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완제품 꼬치 포함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볶음용 양고기</t>
    </r>
  </si>
  <si>
    <r>
      <rPr>
        <sz val="10"/>
        <rFont val="WenQuanYi Zen Hei"/>
        <family val="2"/>
      </rPr>
      <t xml:space="preserve">개인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과세표준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억 이하</t>
    </r>
    <r>
      <rPr>
        <sz val="10"/>
        <rFont val="맑은 고딕"/>
        <family val="0"/>
        <charset val="1"/>
      </rPr>
      <t xml:space="preserve">)</t>
    </r>
  </si>
  <si>
    <t xml:space="preserve">과세</t>
  </si>
  <si>
    <t xml:space="preserve">카드</t>
  </si>
  <si>
    <t xml:space="preserve">세금계산서</t>
  </si>
  <si>
    <r>
      <rPr>
        <b val="true"/>
        <sz val="10"/>
        <rFont val="WenQuanYi Zen Hei"/>
        <family val="2"/>
      </rPr>
      <t xml:space="preserve">조회월 </t>
    </r>
    <r>
      <rPr>
        <b val="true"/>
        <sz val="10"/>
        <rFont val="맑은 고딕"/>
        <family val="0"/>
        <charset val="1"/>
      </rPr>
      <t xml:space="preserve">(1~12)</t>
    </r>
  </si>
  <si>
    <t xml:space="preserve">판교점</t>
  </si>
  <si>
    <t xml:space="preserve">기타육류</t>
  </si>
  <si>
    <r>
      <rPr>
        <sz val="10"/>
        <rFont val="WenQuanYi Zen Hei"/>
        <family val="2"/>
      </rPr>
      <t xml:space="preserve">돼지고기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꿔바로우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육사용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닭고기 등</t>
    </r>
  </si>
  <si>
    <r>
      <rPr>
        <sz val="10"/>
        <rFont val="WenQuanYi Zen Hei"/>
        <family val="2"/>
      </rPr>
      <t xml:space="preserve">개인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과세표준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억 초과</t>
    </r>
    <r>
      <rPr>
        <sz val="10"/>
        <rFont val="맑은 고딕"/>
        <family val="0"/>
        <charset val="1"/>
      </rPr>
      <t xml:space="preserve">)</t>
    </r>
  </si>
  <si>
    <t xml:space="preserve">면세</t>
  </si>
  <si>
    <t xml:space="preserve">계좌이체</t>
  </si>
  <si>
    <r>
      <rPr>
        <sz val="10"/>
        <rFont val="WenQuanYi Zen Hei"/>
        <family val="2"/>
      </rPr>
      <t xml:space="preserve">계산서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면세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</si>
  <si>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주류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음료</t>
    </r>
  </si>
  <si>
    <t xml:space="preserve">조회지점</t>
  </si>
  <si>
    <t xml:space="preserve">모란점</t>
  </si>
  <si>
    <t xml:space="preserve">수산물</t>
  </si>
  <si>
    <r>
      <rPr>
        <sz val="10"/>
        <rFont val="WenQuanYi Zen Hei"/>
        <family val="2"/>
      </rPr>
      <t xml:space="preserve">대하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새우꼬치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민물가재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소룽샤</t>
    </r>
    <r>
      <rPr>
        <sz val="10"/>
        <rFont val="맑은 고딕"/>
        <family val="0"/>
        <charset val="1"/>
      </rPr>
      <t xml:space="preserve">)</t>
    </r>
  </si>
  <si>
    <t xml:space="preserve">법인</t>
  </si>
  <si>
    <t xml:space="preserve">현금</t>
  </si>
  <si>
    <t xml:space="preserve">카드전표</t>
  </si>
  <si>
    <t xml:space="preserve">소모품</t>
  </si>
  <si>
    <r>
      <rPr>
        <b val="true"/>
        <sz val="10"/>
        <rFont val="WenQuanYi Zen Hei"/>
        <family val="2"/>
      </rPr>
      <t xml:space="preserve">잡재료 가산율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양념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기본찬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</si>
  <si>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채소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과일</t>
    </r>
  </si>
  <si>
    <r>
      <rPr>
        <sz val="10"/>
        <rFont val="WenQuanYi Zen Hei"/>
        <family val="2"/>
      </rPr>
      <t xml:space="preserve">가지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토마토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감자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피망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고수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레몬 등</t>
    </r>
  </si>
  <si>
    <t xml:space="preserve">외상</t>
  </si>
  <si>
    <t xml:space="preserve">현금영수증</t>
  </si>
  <si>
    <t xml:space="preserve">목표 식재료 원가율</t>
  </si>
  <si>
    <r>
      <rPr>
        <sz val="10"/>
        <color rgb="FF0000FF"/>
        <rFont val="WenQuanYi Zen Hei"/>
        <family val="2"/>
      </rPr>
      <t xml:space="preserve">두부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계란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곡류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면</t>
    </r>
  </si>
  <si>
    <r>
      <rPr>
        <sz val="10"/>
        <rFont val="WenQuanYi Zen Hei"/>
        <family val="2"/>
      </rPr>
      <t xml:space="preserve">두부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건두부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면류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분모자</t>
    </r>
  </si>
  <si>
    <t xml:space="preserve">간이영수증</t>
  </si>
  <si>
    <r>
      <rPr>
        <b val="true"/>
        <sz val="10"/>
        <rFont val="WenQuanYi Zen Hei"/>
        <family val="2"/>
      </rPr>
      <t xml:space="preserve">목표 주류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음료 원가율</t>
    </r>
  </si>
  <si>
    <r>
      <rPr>
        <sz val="10"/>
        <color rgb="FF0000FF"/>
        <rFont val="WenQuanYi Zen Hei"/>
        <family val="2"/>
      </rPr>
      <t xml:space="preserve">냉동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가공식품</t>
    </r>
  </si>
  <si>
    <r>
      <rPr>
        <sz val="10"/>
        <rFont val="WenQuanYi Zen Hei"/>
        <family val="2"/>
      </rPr>
      <t xml:space="preserve">물만두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꽃빵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피쉬볼 등 완제품</t>
    </r>
  </si>
  <si>
    <r>
      <rPr>
        <b val="true"/>
        <sz val="10"/>
        <rFont val="WenQuanYi Zen Hei"/>
        <family val="2"/>
      </rPr>
      <t xml:space="preserve">경고 허용폭 </t>
    </r>
    <r>
      <rPr>
        <b val="true"/>
        <sz val="10"/>
        <rFont val="맑은 고딕"/>
        <family val="0"/>
        <charset val="1"/>
      </rPr>
      <t xml:space="preserve">(%p)</t>
    </r>
  </si>
  <si>
    <r>
      <rPr>
        <sz val="10"/>
        <color rgb="FF0000FF"/>
        <rFont val="WenQuanYi Zen Hei"/>
        <family val="2"/>
      </rPr>
      <t xml:space="preserve">양념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향신료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소스</t>
    </r>
  </si>
  <si>
    <r>
      <rPr>
        <sz val="10"/>
        <rFont val="WenQuanYi Zen Hei"/>
        <family val="2"/>
      </rPr>
      <t xml:space="preserve">쯔란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마라소스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두반장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춘장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간장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설탕 등</t>
    </r>
  </si>
  <si>
    <r>
      <rPr>
        <b val="true"/>
        <sz val="10"/>
        <rFont val="WenQuanYi Zen Hei"/>
        <family val="2"/>
      </rPr>
      <t xml:space="preserve">사업자 유형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의제매입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</si>
  <si>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개인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과세표준 </t>
    </r>
    <r>
      <rPr>
        <sz val="10"/>
        <color rgb="FF0000FF"/>
        <rFont val="맑은 고딕"/>
        <family val="0"/>
        <charset val="1"/>
      </rPr>
      <t xml:space="preserve">2</t>
    </r>
    <r>
      <rPr>
        <sz val="10"/>
        <color rgb="FF0000FF"/>
        <rFont val="WenQuanYi Zen Hei"/>
        <family val="2"/>
      </rPr>
      <t xml:space="preserve">억 이하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</si>
  <si>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유지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기타식재료</t>
    </r>
  </si>
  <si>
    <r>
      <rPr>
        <sz val="10"/>
        <rFont val="WenQuanYi Zen Hei"/>
        <family val="2"/>
      </rPr>
      <t xml:space="preserve">식용유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참기름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땅콩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기본찬 재료</t>
    </r>
  </si>
  <si>
    <t xml:space="preserve">의제매입세액 공제율</t>
  </si>
  <si>
    <r>
      <rPr>
        <sz val="10"/>
        <color rgb="FF0000FF"/>
        <rFont val="WenQuanYi Zen Hei"/>
        <family val="2"/>
      </rPr>
      <t xml:space="preserve">주류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음료</t>
    </r>
  </si>
  <si>
    <r>
      <rPr>
        <sz val="10"/>
        <rFont val="WenQuanYi Zen Hei"/>
        <family val="2"/>
      </rPr>
      <t xml:space="preserve">백주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연태구냥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설원 등</t>
    </r>
    <r>
      <rPr>
        <sz val="10"/>
        <rFont val="맑은 고딕"/>
        <family val="0"/>
        <charset val="1"/>
      </rPr>
      <t xml:space="preserve">)·</t>
    </r>
    <r>
      <rPr>
        <sz val="10"/>
        <rFont val="WenQuanYi Zen Hei"/>
        <family val="2"/>
      </rPr>
      <t xml:space="preserve">맥주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하이볼용 위스키</t>
    </r>
  </si>
  <si>
    <r>
      <rPr>
        <b val="true"/>
        <sz val="10"/>
        <rFont val="WenQuanYi Zen Hei"/>
        <family val="2"/>
      </rPr>
      <t xml:space="preserve">이론</t>
    </r>
    <r>
      <rPr>
        <b val="true"/>
        <sz val="10"/>
        <rFont val="맑은 고딕"/>
        <family val="0"/>
        <charset val="1"/>
      </rPr>
      <t xml:space="preserve">-</t>
    </r>
    <r>
      <rPr>
        <b val="true"/>
        <sz val="10"/>
        <rFont val="WenQuanYi Zen Hei"/>
        <family val="2"/>
      </rPr>
      <t xml:space="preserve">실제 허용 차이율</t>
    </r>
  </si>
  <si>
    <r>
      <rPr>
        <sz val="10"/>
        <color rgb="FF0000FF"/>
        <rFont val="WenQuanYi Zen Hei"/>
        <family val="2"/>
      </rPr>
      <t xml:space="preserve">음료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얼음</t>
    </r>
  </si>
  <si>
    <r>
      <rPr>
        <sz val="10"/>
        <rFont val="WenQuanYi Zen Hei"/>
        <family val="2"/>
      </rPr>
      <t xml:space="preserve">탄산수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콜라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사이다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얼음</t>
    </r>
  </si>
  <si>
    <r>
      <rPr>
        <sz val="10"/>
        <color rgb="FF0000FF"/>
        <rFont val="WenQuanYi Zen Hei"/>
        <family val="2"/>
      </rPr>
      <t xml:space="preserve">숯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소모품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포장</t>
    </r>
  </si>
  <si>
    <r>
      <rPr>
        <sz val="10"/>
        <rFont val="WenQuanYi Zen Hei"/>
        <family val="2"/>
      </rPr>
      <t xml:space="preserve">숯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꼬치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물티슈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앞치마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포장용기</t>
    </r>
  </si>
  <si>
    <r>
      <rPr>
        <sz val="9"/>
        <color rgb="FF716969"/>
        <rFont val="WenQuanYi Zen Hei"/>
        <family val="2"/>
      </rPr>
      <t xml:space="preserve">※ 목표 원가율은 업계 통상치를 참고한 출발값입니다</t>
    </r>
    <r>
      <rPr>
        <sz val="9"/>
        <color rgb="FF716969"/>
        <rFont val="맑은 고딕"/>
        <family val="0"/>
        <charset val="1"/>
      </rPr>
      <t xml:space="preserve">. 3</t>
    </r>
    <r>
      <rPr>
        <sz val="9"/>
        <color rgb="FF716969"/>
        <rFont val="WenQuanYi Zen Hei"/>
        <family val="2"/>
      </rPr>
      <t xml:space="preserve">개월 실적을 본 뒤 사장님 기준으로 조정하세요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</si>
  <si>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sz val="9"/>
        <color rgb="FF716969"/>
        <rFont val="WenQuanYi Zen Hei"/>
        <family val="2"/>
      </rPr>
      <t xml:space="preserve">※ 의제매입세액 공제율은 </t>
    </r>
    <r>
      <rPr>
        <sz val="9"/>
        <color rgb="FF716969"/>
        <rFont val="맑은 고딕"/>
        <family val="0"/>
        <charset val="1"/>
      </rPr>
      <t xml:space="preserve">2026</t>
    </r>
    <r>
      <rPr>
        <sz val="9"/>
        <color rgb="FF716969"/>
        <rFont val="WenQuanYi Zen Hei"/>
        <family val="2"/>
      </rPr>
      <t xml:space="preserve">년 현행 기준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개인 음식점 과표 </t>
    </r>
    <r>
      <rPr>
        <sz val="9"/>
        <color rgb="FF716969"/>
        <rFont val="맑은 고딕"/>
        <family val="0"/>
        <charset val="1"/>
      </rPr>
      <t xml:space="preserve">2</t>
    </r>
    <r>
      <rPr>
        <sz val="9"/>
        <color rgb="FF716969"/>
        <rFont val="WenQuanYi Zen Hei"/>
        <family val="2"/>
      </rPr>
      <t xml:space="preserve">억 이하 </t>
    </r>
    <r>
      <rPr>
        <sz val="9"/>
        <color rgb="FF716969"/>
        <rFont val="맑은 고딕"/>
        <family val="0"/>
        <charset val="1"/>
      </rPr>
      <t xml:space="preserve">9/109 </t>
    </r>
    <r>
      <rPr>
        <sz val="9"/>
        <color rgb="FF716969"/>
        <rFont val="WenQuanYi Zen Hei"/>
        <family val="2"/>
      </rPr>
      <t xml:space="preserve">특례</t>
    </r>
    <r>
      <rPr>
        <sz val="9"/>
        <color rgb="FF716969"/>
        <rFont val="맑은 고딕"/>
        <family val="0"/>
        <charset val="1"/>
      </rPr>
      <t xml:space="preserve">). </t>
    </r>
    <r>
      <rPr>
        <sz val="9"/>
        <color rgb="FF716969"/>
        <rFont val="WenQuanYi Zen Hei"/>
        <family val="2"/>
      </rPr>
      <t xml:space="preserve">세법 개정 시 </t>
    </r>
    <r>
      <rPr>
        <sz val="9"/>
        <color rgb="FF716969"/>
        <rFont val="맑은 고딕"/>
        <family val="0"/>
        <charset val="1"/>
      </rPr>
      <t xml:space="preserve">K~L</t>
    </r>
    <r>
      <rPr>
        <sz val="9"/>
        <color rgb="FF716969"/>
        <rFont val="WenQuanYi Zen Hei"/>
        <family val="2"/>
      </rPr>
      <t xml:space="preserve">열을 수정하세요</t>
    </r>
    <r>
      <rPr>
        <sz val="9"/>
        <color rgb="FF716969"/>
        <rFont val="맑은 고딕"/>
        <family val="0"/>
        <charset val="1"/>
      </rPr>
      <t xml:space="preserve">.</t>
    </r>
  </si>
  <si>
    <t xml:space="preserve">항목</t>
  </si>
  <si>
    <t xml:space="preserve">매출대비</t>
  </si>
  <si>
    <r>
      <rPr>
        <b val="true"/>
        <sz val="10"/>
        <color rgb="FFFFFFFF"/>
        <rFont val="WenQuanYi Zen Hei"/>
        <family val="2"/>
      </rPr>
      <t xml:space="preserve">실적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조회월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</si>
  <si>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차이</t>
  </si>
  <si>
    <r>
      <rPr>
        <b val="true"/>
        <sz val="10"/>
        <rFont val="WenQuanYi Zen Hei"/>
        <family val="2"/>
      </rPr>
      <t xml:space="preserve">월 매출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부가세 포함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</si>
  <si>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인건비 </t>
    </r>
    <r>
      <rPr>
        <b val="true"/>
        <sz val="10"/>
        <rFont val="맑은 고딕"/>
        <family val="0"/>
        <charset val="1"/>
      </rPr>
      <t xml:space="preserve">(4</t>
    </r>
    <r>
      <rPr>
        <b val="true"/>
        <sz val="10"/>
        <rFont val="WenQuanYi Zen Hei"/>
        <family val="2"/>
      </rPr>
      <t xml:space="preserve">대보험 포함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</si>
  <si>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수도광열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가스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숯</t>
    </r>
  </si>
  <si>
    <t xml:space="preserve">① 부가세 실납부</t>
  </si>
  <si>
    <r>
      <rPr>
        <sz val="10"/>
        <rFont val="WenQuanYi Zen Hei"/>
        <family val="2"/>
      </rPr>
      <t xml:space="preserve">② 식재료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주류</t>
    </r>
  </si>
  <si>
    <r>
      <rPr>
        <sz val="10"/>
        <rFont val="WenQuanYi Zen Hei"/>
        <family val="2"/>
      </rPr>
      <t xml:space="preserve">③ 카드수수료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소모품</t>
    </r>
  </si>
  <si>
    <t xml:space="preserve">④ 인건비</t>
  </si>
  <si>
    <r>
      <rPr>
        <sz val="10"/>
        <rFont val="WenQuanYi Zen Hei"/>
        <family val="2"/>
      </rPr>
      <t xml:space="preserve">⑤ 수도광열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숯</t>
    </r>
  </si>
  <si>
    <r>
      <rPr>
        <sz val="10"/>
        <rFont val="WenQuanYi Zen Hei"/>
        <family val="2"/>
      </rPr>
      <t xml:space="preserve">⑥ 월세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부가세</t>
    </r>
  </si>
  <si>
    <t xml:space="preserve">⑦ 관리비</t>
  </si>
  <si>
    <t xml:space="preserve">⑧ 발렛파킹</t>
  </si>
  <si>
    <t xml:space="preserve">⑨ 마케팅</t>
  </si>
  <si>
    <t xml:space="preserve">⑩ 기타 고정비</t>
  </si>
  <si>
    <r>
      <rPr>
        <b val="true"/>
        <sz val="10"/>
        <rFont val="WenQuanYi Zen Hei"/>
        <family val="2"/>
      </rPr>
      <t xml:space="preserve">총 비용 </t>
    </r>
    <r>
      <rPr>
        <b val="true"/>
        <sz val="10"/>
        <rFont val="맑은 고딕"/>
        <family val="0"/>
        <charset val="1"/>
      </rPr>
      <t xml:space="preserve">(①~⑩)</t>
    </r>
  </si>
  <si>
    <r>
      <rPr>
        <b val="true"/>
        <sz val="10"/>
        <rFont val="WenQuanYi Zen Hei"/>
        <family val="2"/>
      </rPr>
      <t xml:space="preserve">월 영업이익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세전</t>
    </r>
    <r>
      <rPr>
        <b val="true"/>
        <sz val="10"/>
        <rFont val="맑은 고딕"/>
        <family val="0"/>
        <charset val="1"/>
      </rPr>
      <t xml:space="preserve">)</t>
    </r>
  </si>
  <si>
    <t xml:space="preserve">영업이익률</t>
  </si>
  <si>
    <r>
      <rPr>
        <sz val="9"/>
        <color rgb="FF716969"/>
        <rFont val="WenQuanYi Zen Hei"/>
        <family val="2"/>
      </rPr>
      <t xml:space="preserve">외식업 평균 </t>
    </r>
    <r>
      <rPr>
        <sz val="9"/>
        <color rgb="FF716969"/>
        <rFont val="맑은 고딕"/>
        <family val="0"/>
        <charset val="1"/>
      </rPr>
      <t xml:space="preserve">5~15%</t>
    </r>
  </si>
  <si>
    <r>
      <rPr>
        <sz val="10"/>
        <rFont val="WenQuanYi Zen Hei"/>
        <family val="2"/>
      </rPr>
      <t xml:space="preserve">임대 관련 비용 비율 </t>
    </r>
    <r>
      <rPr>
        <sz val="10"/>
        <rFont val="맑은 고딕"/>
        <family val="0"/>
        <charset val="1"/>
      </rPr>
      <t xml:space="preserve">(⑥+⑦+⑧)</t>
    </r>
  </si>
  <si>
    <r>
      <rPr>
        <sz val="9"/>
        <color rgb="FF716969"/>
        <rFont val="맑은 고딕"/>
        <family val="0"/>
        <charset val="1"/>
      </rPr>
      <t xml:space="preserve">10~15% </t>
    </r>
    <r>
      <rPr>
        <sz val="9"/>
        <color rgb="FF716969"/>
        <rFont val="WenQuanYi Zen Hei"/>
        <family val="2"/>
      </rPr>
      <t xml:space="preserve">이내 권장</t>
    </r>
  </si>
  <si>
    <r>
      <rPr>
        <sz val="10"/>
        <rFont val="WenQuanYi Zen Hei"/>
        <family val="2"/>
      </rPr>
      <t xml:space="preserve">식재료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주류 원가율 </t>
    </r>
    <r>
      <rPr>
        <sz val="10"/>
        <rFont val="맑은 고딕"/>
        <family val="0"/>
        <charset val="1"/>
      </rPr>
      <t xml:space="preserve">(②)</t>
    </r>
  </si>
  <si>
    <t xml:space="preserve">부가세 포함 매출 기준</t>
  </si>
  <si>
    <r>
      <rPr>
        <sz val="10"/>
        <rFont val="WenQuanYi Zen Hei"/>
        <family val="2"/>
      </rPr>
      <t xml:space="preserve">인건비율 </t>
    </r>
    <r>
      <rPr>
        <sz val="10"/>
        <rFont val="맑은 고딕"/>
        <family val="0"/>
        <charset val="1"/>
      </rPr>
      <t xml:space="preserve">(④)</t>
    </r>
  </si>
  <si>
    <r>
      <rPr>
        <sz val="9"/>
        <color rgb="FF716969"/>
        <rFont val="맑은 고딕"/>
        <family val="0"/>
        <charset val="1"/>
      </rPr>
      <t xml:space="preserve">25~30% </t>
    </r>
    <r>
      <rPr>
        <sz val="9"/>
        <color rgb="FF716969"/>
        <rFont val="WenQuanYi Zen Hei"/>
        <family val="2"/>
      </rPr>
      <t xml:space="preserve">권장</t>
    </r>
  </si>
  <si>
    <r>
      <rPr>
        <sz val="10"/>
        <rFont val="맑은 고딕"/>
        <family val="0"/>
        <charset val="1"/>
      </rPr>
      <t xml:space="preserve">FL </t>
    </r>
    <r>
      <rPr>
        <sz val="10"/>
        <rFont val="WenQuanYi Zen Hei"/>
        <family val="2"/>
      </rPr>
      <t xml:space="preserve">비율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식재료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인건비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</si>
  <si>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외식업 핵심 지표</t>
    </r>
    <r>
      <rPr>
        <sz val="9"/>
        <color rgb="FF716969"/>
        <rFont val="맑은 고딕"/>
        <family val="0"/>
        <charset val="1"/>
      </rPr>
      <t xml:space="preserve">, 60~65% </t>
    </r>
    <r>
      <rPr>
        <sz val="9"/>
        <color rgb="FF716969"/>
        <rFont val="WenQuanYi Zen Hei"/>
        <family val="2"/>
      </rPr>
      <t xml:space="preserve">이하 권장</t>
    </r>
  </si>
  <si>
    <r>
      <rPr>
        <sz val="10"/>
        <rFont val="WenQuanYi Zen Hei"/>
        <family val="2"/>
      </rPr>
      <t xml:space="preserve">마케팅비율 </t>
    </r>
    <r>
      <rPr>
        <sz val="10"/>
        <rFont val="맑은 고딕"/>
        <family val="0"/>
        <charset val="1"/>
      </rPr>
      <t xml:space="preserve">(⑨)</t>
    </r>
  </si>
  <si>
    <r>
      <rPr>
        <sz val="9"/>
        <color rgb="FF716969"/>
        <rFont val="맑은 고딕"/>
        <family val="0"/>
        <charset val="1"/>
      </rPr>
      <t xml:space="preserve">3~8% </t>
    </r>
    <r>
      <rPr>
        <sz val="9"/>
        <color rgb="FF716969"/>
        <rFont val="WenQuanYi Zen Hei"/>
        <family val="2"/>
      </rPr>
      <t xml:space="preserve">권장</t>
    </r>
  </si>
  <si>
    <r>
      <rPr>
        <b val="true"/>
        <sz val="12"/>
        <color rgb="FFF54B1E"/>
        <rFont val="WenQuanYi Zen Hei"/>
        <family val="2"/>
      </rPr>
      <t xml:space="preserve">■ 손익분기점 </t>
    </r>
    <r>
      <rPr>
        <b val="true"/>
        <sz val="12"/>
        <color rgb="FFF54B1E"/>
        <rFont val="맑은 고딕"/>
        <family val="0"/>
        <charset val="1"/>
      </rPr>
      <t xml:space="preserve">· </t>
    </r>
    <r>
      <rPr>
        <b val="true"/>
        <sz val="12"/>
        <color rgb="FFF54B1E"/>
        <rFont val="WenQuanYi Zen Hei"/>
        <family val="2"/>
      </rPr>
      <t xml:space="preserve">매출 시나리오 </t>
    </r>
    <r>
      <rPr>
        <b val="true"/>
        <sz val="12"/>
        <color rgb="FFF54B1E"/>
        <rFont val="맑은 고딕"/>
        <family val="0"/>
        <charset val="1"/>
      </rPr>
      <t xml:space="preserve">(</t>
    </r>
    <r>
      <rPr>
        <b val="true"/>
        <sz val="12"/>
        <color rgb="FFF54B1E"/>
        <rFont val="WenQuanYi Zen Hei"/>
        <family val="2"/>
      </rPr>
      <t xml:space="preserve">계획 기준</t>
    </r>
    <r>
      <rPr>
        <b val="true"/>
        <sz val="12"/>
        <color rgb="FFF54B1E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</si>
  <si>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변동비율 </t>
    </r>
    <r>
      <rPr>
        <b val="true"/>
        <sz val="10"/>
        <rFont val="맑은 고딕"/>
        <family val="0"/>
        <charset val="1"/>
      </rPr>
      <t xml:space="preserve">(①+②+③) ÷ </t>
    </r>
    <r>
      <rPr>
        <b val="true"/>
        <sz val="10"/>
        <rFont val="WenQuanYi Zen Hei"/>
        <family val="2"/>
      </rPr>
      <t xml:space="preserve">매출</t>
    </r>
  </si>
  <si>
    <t xml:space="preserve">매출이 늘면 같이 늘어나는 비용</t>
  </si>
  <si>
    <r>
      <rPr>
        <b val="true"/>
        <sz val="10"/>
        <rFont val="WenQuanYi Zen Hei"/>
        <family val="2"/>
      </rPr>
      <t xml:space="preserve">월 고정비 </t>
    </r>
    <r>
      <rPr>
        <b val="true"/>
        <sz val="10"/>
        <rFont val="맑은 고딕"/>
        <family val="0"/>
        <charset val="1"/>
      </rPr>
      <t xml:space="preserve">(④~⑩)</t>
    </r>
  </si>
  <si>
    <t xml:space="preserve">매출과 관계없이 나가는 비용</t>
  </si>
  <si>
    <t xml:space="preserve">손익분기 월매출</t>
  </si>
  <si>
    <t xml:space="preserve">이 매출을 넘어야 이익이 남습니다</t>
  </si>
  <si>
    <t xml:space="preserve">현재 계획 매출 − 손익분기</t>
  </si>
  <si>
    <r>
      <rPr>
        <sz val="9"/>
        <color rgb="FF716969"/>
        <rFont val="WenQuanYi Zen Hei"/>
        <family val="2"/>
      </rPr>
      <t xml:space="preserve">여유 매출 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마이너스면 적자 구간</t>
    </r>
    <r>
      <rPr>
        <sz val="9"/>
        <color rgb="FF716969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</si>
  <si>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하루 손익분기 매출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월 </t>
    </r>
    <r>
      <rPr>
        <b val="true"/>
        <sz val="10"/>
        <rFont val="맑은 고딕"/>
        <family val="0"/>
        <charset val="1"/>
      </rPr>
      <t xml:space="preserve">30</t>
    </r>
    <r>
      <rPr>
        <b val="true"/>
        <sz val="10"/>
        <rFont val="WenQuanYi Zen Hei"/>
        <family val="2"/>
      </rPr>
      <t xml:space="preserve">일 영업</t>
    </r>
    <r>
      <rPr>
        <b val="true"/>
        <sz val="10"/>
        <rFont val="맑은 고딕"/>
        <family val="0"/>
        <charset val="1"/>
      </rPr>
      <t xml:space="preserve">)</t>
    </r>
  </si>
  <si>
    <t xml:space="preserve">휴무일이 있으면 영업일수로 나눠 보세요</t>
  </si>
  <si>
    <r>
      <rPr>
        <b val="true"/>
        <sz val="10"/>
        <color rgb="FFFFFFFF"/>
        <rFont val="WenQuanYi Zen Hei"/>
        <family val="2"/>
      </rPr>
      <t xml:space="preserve">월 매출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시나리오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</si>
  <si>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변동비</t>
  </si>
  <si>
    <t xml:space="preserve">고정비</t>
  </si>
  <si>
    <t xml:space="preserve">영업이익</t>
  </si>
  <si>
    <r>
      <rPr>
        <sz val="9"/>
        <color rgb="FF716969"/>
        <rFont val="WenQuanYi Zen Hei"/>
        <family val="2"/>
      </rPr>
      <t xml:space="preserve">※ 시나리오는 계획의 변동비율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고정비를 그대로 적용한 추정입니다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실제로는 매출이 늘면 아르바이트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전기료도 조금씩 늘어납니다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</si>
  <si>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sz val="9"/>
        <color rgb="FF716969"/>
        <rFont val="WenQuanYi Zen Hei"/>
        <family val="2"/>
      </rPr>
      <t xml:space="preserve">※ 비율은 부가세 포함 매출 대비입니다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실적 열은 </t>
    </r>
    <r>
      <rPr>
        <sz val="9"/>
        <color rgb="FF716969"/>
        <rFont val="맑은 고딕"/>
        <family val="0"/>
        <charset val="1"/>
      </rPr>
      <t xml:space="preserve">[</t>
    </r>
    <r>
      <rPr>
        <sz val="9"/>
        <color rgb="FF716969"/>
        <rFont val="WenQuanYi Zen Hei"/>
        <family val="2"/>
      </rPr>
      <t xml:space="preserve">월손익상세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에 그 달 실제 지출을 입력해야 채워집니다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</si>
  <si>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b val="true"/>
        <sz val="16"/>
        <color rgb="FF1E1928"/>
        <rFont val="WenQuanYi Zen Hei"/>
        <family val="2"/>
      </rPr>
      <t xml:space="preserve">월 손익 상세 </t>
    </r>
    <r>
      <rPr>
        <b val="true"/>
        <sz val="16"/>
        <color rgb="FF1E1928"/>
        <rFont val="맑은 고딕"/>
        <family val="0"/>
        <charset val="1"/>
      </rPr>
      <t xml:space="preserve">(</t>
    </r>
    <r>
      <rPr>
        <b val="true"/>
        <sz val="16"/>
        <color rgb="FF1E1928"/>
        <rFont val="WenQuanYi Zen Hei"/>
        <family val="2"/>
      </rPr>
      <t xml:space="preserve">단위</t>
    </r>
    <r>
      <rPr>
        <b val="true"/>
        <sz val="16"/>
        <color rgb="FF1E1928"/>
        <rFont val="맑은 고딕"/>
        <family val="0"/>
        <charset val="1"/>
      </rPr>
      <t xml:space="preserve">: </t>
    </r>
    <r>
      <rPr>
        <b val="true"/>
        <sz val="16"/>
        <color rgb="FF1E1928"/>
        <rFont val="WenQuanYi Zen Hei"/>
        <family val="2"/>
      </rPr>
      <t xml:space="preserve">만원</t>
    </r>
    <r>
      <rPr>
        <b val="true"/>
        <sz val="16"/>
        <color rgb="FF1E1928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</si>
  <si>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노란 칸만 입력</t>
    </r>
    <r>
      <rPr>
        <sz val="9"/>
        <color rgb="FF716969"/>
        <rFont val="맑은 고딕"/>
        <family val="0"/>
        <charset val="1"/>
      </rPr>
      <t xml:space="preserve">. [</t>
    </r>
    <r>
      <rPr>
        <sz val="9"/>
        <color rgb="FF716969"/>
        <rFont val="WenQuanYi Zen Hei"/>
        <family val="2"/>
      </rPr>
      <t xml:space="preserve">계획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은 목표 월매출 기준 예산</t>
    </r>
    <r>
      <rPr>
        <sz val="9"/>
        <color rgb="FF716969"/>
        <rFont val="맑은 고딕"/>
        <family val="0"/>
        <charset val="1"/>
      </rPr>
      <t xml:space="preserve">, [</t>
    </r>
    <r>
      <rPr>
        <sz val="9"/>
        <color rgb="FF716969"/>
        <rFont val="WenQuanYi Zen Hei"/>
        <family val="2"/>
      </rPr>
      <t xml:space="preserve">실적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은 기본설정 조회월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조회지점 기준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매출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식재료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의제매입은 매출원가계산서에서 자동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나머지는 통장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카드 내역으로 입력</t>
    </r>
    <r>
      <rPr>
        <sz val="9"/>
        <color rgb="FF716969"/>
        <rFont val="맑은 고딕"/>
        <family val="0"/>
        <charset val="1"/>
      </rPr>
      <t xml:space="preserve">).</t>
    </r>
  </si>
  <si>
    <r>
      <rPr>
        <b val="true"/>
        <sz val="12"/>
        <color rgb="FFF54B1E"/>
        <rFont val="WenQuanYi Zen Hei"/>
        <family val="2"/>
      </rPr>
      <t xml:space="preserve">■ 가정 </t>
    </r>
    <r>
      <rPr>
        <b val="true"/>
        <sz val="12"/>
        <color rgb="FFF54B1E"/>
        <rFont val="맑은 고딕"/>
        <family val="0"/>
        <charset val="1"/>
      </rPr>
      <t xml:space="preserve">(</t>
    </r>
    <r>
      <rPr>
        <b val="true"/>
        <sz val="12"/>
        <color rgb="FFF54B1E"/>
        <rFont val="WenQuanYi Zen Hei"/>
        <family val="2"/>
      </rPr>
      <t xml:space="preserve">입력</t>
    </r>
    <r>
      <rPr>
        <b val="true"/>
        <sz val="12"/>
        <color rgb="FFF54B1E"/>
        <rFont val="맑은 고딕"/>
        <family val="0"/>
        <charset val="1"/>
      </rPr>
      <t xml:space="preserve">)</t>
    </r>
  </si>
  <si>
    <t xml:space="preserve">계획</t>
  </si>
  <si>
    <r>
      <rPr>
        <b val="true"/>
        <sz val="10"/>
        <color rgb="FFFFFFFF"/>
        <rFont val="WenQuanYi Zen Hei"/>
        <family val="2"/>
      </rPr>
      <t xml:space="preserve">실적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조회월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</si>
  <si>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실적은 매출일보 합계에서 자동</t>
  </si>
  <si>
    <t xml:space="preserve">카드결제 비중</t>
  </si>
  <si>
    <t xml:space="preserve">총매출 중 카드 결제 비율</t>
  </si>
  <si>
    <t xml:space="preserve">카드수수료율</t>
  </si>
  <si>
    <r>
      <rPr>
        <sz val="9"/>
        <color rgb="FF716969"/>
        <rFont val="WenQuanYi Zen Hei"/>
        <family val="2"/>
      </rPr>
      <t xml:space="preserve">연매출 </t>
    </r>
    <r>
      <rPr>
        <sz val="9"/>
        <color rgb="FF716969"/>
        <rFont val="맑은 고딕"/>
        <family val="0"/>
        <charset val="1"/>
      </rPr>
      <t xml:space="preserve">5~10</t>
    </r>
    <r>
      <rPr>
        <sz val="9"/>
        <color rgb="FF716969"/>
        <rFont val="WenQuanYi Zen Hei"/>
        <family val="2"/>
      </rPr>
      <t xml:space="preserve">억 중소가맹점 신용카드 우대수수료 수준</t>
    </r>
    <r>
      <rPr>
        <sz val="9"/>
        <color rgb="FF716969"/>
        <rFont val="맑은 고딕"/>
        <family val="0"/>
        <charset val="1"/>
      </rPr>
      <t xml:space="preserve">(2026). </t>
    </r>
    <r>
      <rPr>
        <sz val="9"/>
        <color rgb="FF716969"/>
        <rFont val="WenQuanYi Zen Hei"/>
        <family val="2"/>
      </rPr>
      <t xml:space="preserve">카드사 안내 문자로 확인</t>
    </r>
  </si>
  <si>
    <t xml:space="preserve">식재료 중 면세 비중</t>
  </si>
  <si>
    <r>
      <rPr>
        <sz val="9"/>
        <color rgb="FF716969"/>
        <rFont val="WenQuanYi Zen Hei"/>
        <family val="2"/>
      </rPr>
      <t xml:space="preserve">양고기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채소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두부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계란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수산물 등 면세 매입이 식재료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주류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음료 제외</t>
    </r>
    <r>
      <rPr>
        <sz val="9"/>
        <color rgb="FF716969"/>
        <rFont val="맑은 고딕"/>
        <family val="0"/>
        <charset val="1"/>
      </rPr>
      <t xml:space="preserve">)</t>
    </r>
    <r>
      <rPr>
        <sz val="9"/>
        <color rgb="FF716969"/>
        <rFont val="WenQuanYi Zen Hei"/>
        <family val="2"/>
      </rPr>
      <t xml:space="preserve">에서 차지하는 비율</t>
    </r>
  </si>
  <si>
    <t xml:space="preserve">신용카드매출세액공제율</t>
  </si>
  <si>
    <r>
      <rPr>
        <sz val="9"/>
        <color rgb="FF716969"/>
        <rFont val="WenQuanYi Zen Hei"/>
        <family val="2"/>
      </rPr>
      <t xml:space="preserve">개인사업자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연 매출 </t>
    </r>
    <r>
      <rPr>
        <sz val="9"/>
        <color rgb="FF716969"/>
        <rFont val="맑은 고딕"/>
        <family val="0"/>
        <charset val="1"/>
      </rPr>
      <t xml:space="preserve">10</t>
    </r>
    <r>
      <rPr>
        <sz val="9"/>
        <color rgb="FF716969"/>
        <rFont val="WenQuanYi Zen Hei"/>
        <family val="2"/>
      </rPr>
      <t xml:space="preserve">억 이하</t>
    </r>
    <r>
      <rPr>
        <sz val="9"/>
        <color rgb="FF716969"/>
        <rFont val="맑은 고딕"/>
        <family val="0"/>
        <charset val="1"/>
      </rPr>
      <t xml:space="preserve">) </t>
    </r>
    <r>
      <rPr>
        <sz val="9"/>
        <color rgb="FF716969"/>
        <rFont val="WenQuanYi Zen Hei"/>
        <family val="2"/>
      </rPr>
      <t xml:space="preserve">카드매출의 </t>
    </r>
    <r>
      <rPr>
        <sz val="9"/>
        <color rgb="FF716969"/>
        <rFont val="맑은 고딕"/>
        <family val="0"/>
        <charset val="1"/>
      </rPr>
      <t xml:space="preserve">1.3%, </t>
    </r>
    <r>
      <rPr>
        <sz val="9"/>
        <color rgb="FF716969"/>
        <rFont val="WenQuanYi Zen Hei"/>
        <family val="2"/>
      </rPr>
      <t xml:space="preserve">연 </t>
    </r>
    <r>
      <rPr>
        <sz val="9"/>
        <color rgb="FF716969"/>
        <rFont val="맑은 고딕"/>
        <family val="0"/>
        <charset val="1"/>
      </rPr>
      <t xml:space="preserve">1,000</t>
    </r>
    <r>
      <rPr>
        <sz val="9"/>
        <color rgb="FF716969"/>
        <rFont val="WenQuanYi Zen Hei"/>
        <family val="2"/>
      </rPr>
      <t xml:space="preserve">만원 한도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법인은 </t>
    </r>
    <r>
      <rPr>
        <sz val="9"/>
        <color rgb="FF716969"/>
        <rFont val="맑은 고딕"/>
        <family val="0"/>
        <charset val="1"/>
      </rPr>
      <t xml:space="preserve">0%</t>
    </r>
    <r>
      <rPr>
        <sz val="9"/>
        <color rgb="FF716969"/>
        <rFont val="WenQuanYi Zen Hei"/>
        <family val="2"/>
      </rPr>
      <t xml:space="preserve">로 바꾸세요</t>
    </r>
  </si>
  <si>
    <t xml:space="preserve">기본설정에서 자동</t>
  </si>
  <si>
    <t xml:space="preserve">■ 비용 상세</t>
  </si>
  <si>
    <t xml:space="preserve">구분</t>
  </si>
  <si>
    <t xml:space="preserve">세부항목</t>
  </si>
  <si>
    <r>
      <rPr>
        <b val="true"/>
        <sz val="10"/>
        <color rgb="FFFFFFFF"/>
        <rFont val="WenQuanYi Zen Hei"/>
        <family val="2"/>
      </rPr>
      <t xml:space="preserve">계획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만원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</si>
  <si>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매출
대비</t>
  </si>
  <si>
    <r>
      <rPr>
        <b val="true"/>
        <sz val="10"/>
        <color rgb="FFFFFFFF"/>
        <rFont val="WenQuanYi Zen Hei"/>
        <family val="2"/>
      </rPr>
      <t xml:space="preserve">실적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만원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</si>
  <si>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차이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실적−계획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</si>
  <si>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기준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메모</t>
    </r>
  </si>
  <si>
    <t xml:space="preserve">소계</t>
  </si>
  <si>
    <r>
      <rPr>
        <sz val="9"/>
        <color rgb="FF716969"/>
        <rFont val="WenQuanYi Zen Hei"/>
        <family val="2"/>
      </rPr>
      <t xml:space="preserve">부가세는 </t>
    </r>
    <r>
      <rPr>
        <sz val="9"/>
        <color rgb="FF716969"/>
        <rFont val="맑은 고딕"/>
        <family val="0"/>
        <charset val="1"/>
      </rPr>
      <t xml:space="preserve">1·7</t>
    </r>
    <r>
      <rPr>
        <sz val="9"/>
        <color rgb="FF716969"/>
        <rFont val="WenQuanYi Zen Hei"/>
        <family val="2"/>
      </rPr>
      <t xml:space="preserve">월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개인</t>
    </r>
    <r>
      <rPr>
        <sz val="9"/>
        <color rgb="FF716969"/>
        <rFont val="맑은 고딕"/>
        <family val="0"/>
        <charset val="1"/>
      </rPr>
      <t xml:space="preserve">)</t>
    </r>
    <r>
      <rPr>
        <sz val="9"/>
        <color rgb="FF716969"/>
        <rFont val="WenQuanYi Zen Hei"/>
        <family val="2"/>
      </rPr>
      <t xml:space="preserve">에 내지만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매달 이만큼 따로 떼어 적립하세요</t>
    </r>
  </si>
  <si>
    <r>
      <rPr>
        <sz val="10"/>
        <rFont val="WenQuanYi Zen Hei"/>
        <family val="2"/>
      </rPr>
      <t xml:space="preserve">매출세액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매출 </t>
    </r>
    <r>
      <rPr>
        <sz val="10"/>
        <rFont val="맑은 고딕"/>
        <family val="0"/>
        <charset val="1"/>
      </rPr>
      <t xml:space="preserve">÷ 11)</t>
    </r>
  </si>
  <si>
    <t xml:space="preserve">손님에게 받아둔 부가세</t>
  </si>
  <si>
    <r>
      <rPr>
        <sz val="10"/>
        <rFont val="맑은 고딕"/>
        <family val="0"/>
        <charset val="1"/>
      </rPr>
      <t xml:space="preserve">(−) </t>
    </r>
    <r>
      <rPr>
        <sz val="10"/>
        <rFont val="WenQuanYi Zen Hei"/>
        <family val="2"/>
      </rPr>
      <t xml:space="preserve">과세 매입세액</t>
    </r>
  </si>
  <si>
    <r>
      <rPr>
        <sz val="9"/>
        <color rgb="FF716969"/>
        <rFont val="WenQuanYi Zen Hei"/>
        <family val="2"/>
      </rPr>
      <t xml:space="preserve">식재료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주류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소모품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경비의 세금계산서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카드 매입 부가세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매입장 </t>
    </r>
    <r>
      <rPr>
        <sz val="9"/>
        <color rgb="FF716969"/>
        <rFont val="맑은 고딕"/>
        <family val="0"/>
        <charset val="1"/>
      </rPr>
      <t xml:space="preserve">'</t>
    </r>
    <r>
      <rPr>
        <sz val="9"/>
        <color rgb="FF716969"/>
        <rFont val="WenQuanYi Zen Hei"/>
        <family val="2"/>
      </rPr>
      <t xml:space="preserve">부가세</t>
    </r>
    <r>
      <rPr>
        <sz val="9"/>
        <color rgb="FF716969"/>
        <rFont val="맑은 고딕"/>
        <family val="0"/>
        <charset val="1"/>
      </rPr>
      <t xml:space="preserve">' </t>
    </r>
    <r>
      <rPr>
        <sz val="9"/>
        <color rgb="FF716969"/>
        <rFont val="WenQuanYi Zen Hei"/>
        <family val="2"/>
      </rPr>
      <t xml:space="preserve">열 합계 </t>
    </r>
    <r>
      <rPr>
        <sz val="9"/>
        <color rgb="FF716969"/>
        <rFont val="맑은 고딕"/>
        <family val="0"/>
        <charset val="1"/>
      </rPr>
      <t xml:space="preserve">+ </t>
    </r>
    <r>
      <rPr>
        <sz val="9"/>
        <color rgb="FF716969"/>
        <rFont val="WenQuanYi Zen Hei"/>
        <family val="2"/>
      </rPr>
      <t xml:space="preserve">경비 부가세</t>
    </r>
  </si>
  <si>
    <r>
      <rPr>
        <sz val="10"/>
        <rFont val="맑은 고딕"/>
        <family val="0"/>
        <charset val="1"/>
      </rPr>
      <t xml:space="preserve">(−) </t>
    </r>
    <r>
      <rPr>
        <sz val="10"/>
        <rFont val="WenQuanYi Zen Hei"/>
        <family val="2"/>
      </rPr>
      <t xml:space="preserve">의제매입세액 공제</t>
    </r>
  </si>
  <si>
    <r>
      <rPr>
        <sz val="9"/>
        <color rgb="FF716969"/>
        <rFont val="WenQuanYi Zen Hei"/>
        <family val="2"/>
      </rPr>
      <t xml:space="preserve">면세 식재료 </t>
    </r>
    <r>
      <rPr>
        <sz val="9"/>
        <color rgb="FF716969"/>
        <rFont val="맑은 고딕"/>
        <family val="0"/>
        <charset val="1"/>
      </rPr>
      <t xml:space="preserve">× </t>
    </r>
    <r>
      <rPr>
        <sz val="9"/>
        <color rgb="FF716969"/>
        <rFont val="WenQuanYi Zen Hei"/>
        <family val="2"/>
      </rPr>
      <t xml:space="preserve">공제율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실적은 매출원가계산서 </t>
    </r>
    <r>
      <rPr>
        <sz val="9"/>
        <color rgb="FF716969"/>
        <rFont val="맑은 고딕"/>
        <family val="0"/>
        <charset val="1"/>
      </rPr>
      <t xml:space="preserve">6</t>
    </r>
    <r>
      <rPr>
        <sz val="9"/>
        <color rgb="FF716969"/>
        <rFont val="WenQuanYi Zen Hei"/>
        <family val="2"/>
      </rPr>
      <t xml:space="preserve">번에서 자동</t>
    </r>
  </si>
  <si>
    <r>
      <rPr>
        <sz val="10"/>
        <rFont val="맑은 고딕"/>
        <family val="0"/>
        <charset val="1"/>
      </rPr>
      <t xml:space="preserve">(−) </t>
    </r>
    <r>
      <rPr>
        <sz val="10"/>
        <rFont val="WenQuanYi Zen Hei"/>
        <family val="2"/>
      </rPr>
      <t xml:space="preserve">임대료 부가세 공제</t>
    </r>
  </si>
  <si>
    <t xml:space="preserve">⑥ 월세 부가세는 세금계산서 받으면 공제</t>
  </si>
  <si>
    <r>
      <rPr>
        <sz val="10"/>
        <rFont val="맑은 고딕"/>
        <family val="0"/>
        <charset val="1"/>
      </rPr>
      <t xml:space="preserve">(−) </t>
    </r>
    <r>
      <rPr>
        <sz val="10"/>
        <rFont val="WenQuanYi Zen Hei"/>
        <family val="2"/>
      </rPr>
      <t xml:space="preserve">신용카드매출세액공제</t>
    </r>
  </si>
  <si>
    <r>
      <rPr>
        <sz val="9"/>
        <color rgb="FF716969"/>
        <rFont val="WenQuanYi Zen Hei"/>
        <family val="2"/>
      </rPr>
      <t xml:space="preserve">월 한도 약 </t>
    </r>
    <r>
      <rPr>
        <sz val="9"/>
        <color rgb="FF716969"/>
        <rFont val="맑은 고딕"/>
        <family val="0"/>
        <charset val="1"/>
      </rPr>
      <t xml:space="preserve">83</t>
    </r>
    <r>
      <rPr>
        <sz val="9"/>
        <color rgb="FF716969"/>
        <rFont val="WenQuanYi Zen Hei"/>
        <family val="2"/>
      </rPr>
      <t xml:space="preserve">만원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연 </t>
    </r>
    <r>
      <rPr>
        <sz val="9"/>
        <color rgb="FF716969"/>
        <rFont val="맑은 고딕"/>
        <family val="0"/>
        <charset val="1"/>
      </rPr>
      <t xml:space="preserve">1,000</t>
    </r>
    <r>
      <rPr>
        <sz val="9"/>
        <color rgb="FF716969"/>
        <rFont val="WenQuanYi Zen Hei"/>
        <family val="2"/>
      </rPr>
      <t xml:space="preserve">만원</t>
    </r>
    <r>
      <rPr>
        <sz val="9"/>
        <color rgb="FF716969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</si>
  <si>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② 식재료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주류</t>
    </r>
  </si>
  <si>
    <r>
      <rPr>
        <sz val="9"/>
        <color rgb="FF716969"/>
        <rFont val="WenQuanYi Zen Hei"/>
        <family val="2"/>
      </rPr>
      <t xml:space="preserve">실적은 매출원가계산서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기초재고</t>
    </r>
    <r>
      <rPr>
        <sz val="9"/>
        <color rgb="FF716969"/>
        <rFont val="맑은 고딕"/>
        <family val="0"/>
        <charset val="1"/>
      </rPr>
      <t xml:space="preserve">+</t>
    </r>
    <r>
      <rPr>
        <sz val="9"/>
        <color rgb="FF716969"/>
        <rFont val="WenQuanYi Zen Hei"/>
        <family val="2"/>
      </rPr>
      <t xml:space="preserve">매입−기말재고</t>
    </r>
    <r>
      <rPr>
        <sz val="9"/>
        <color rgb="FF716969"/>
        <rFont val="맑은 고딕"/>
        <family val="0"/>
        <charset val="1"/>
      </rPr>
      <t xml:space="preserve">)</t>
    </r>
    <r>
      <rPr>
        <sz val="9"/>
        <color rgb="FF716969"/>
        <rFont val="WenQuanYi Zen Hei"/>
        <family val="2"/>
      </rPr>
      <t xml:space="preserve">에서 자동</t>
    </r>
  </si>
  <si>
    <r>
      <rPr>
        <sz val="9"/>
        <color rgb="FF716969"/>
        <rFont val="WenQuanYi Zen Hei"/>
        <family val="2"/>
      </rPr>
      <t xml:space="preserve">양다리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양갈비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양꼬치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완제품 꼬치 포함</t>
    </r>
    <r>
      <rPr>
        <sz val="9"/>
        <color rgb="FF716969"/>
        <rFont val="맑은 고딕"/>
        <family val="0"/>
        <charset val="1"/>
      </rPr>
      <t xml:space="preserve">)·</t>
    </r>
    <r>
      <rPr>
        <sz val="9"/>
        <color rgb="FF716969"/>
        <rFont val="WenQuanYi Zen Hei"/>
        <family val="2"/>
      </rPr>
      <t xml:space="preserve">볶음용 양고기</t>
    </r>
  </si>
  <si>
    <r>
      <rPr>
        <sz val="9"/>
        <color rgb="FF716969"/>
        <rFont val="WenQuanYi Zen Hei"/>
        <family val="2"/>
      </rPr>
      <t xml:space="preserve">돼지고기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꿔바로우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육사용</t>
    </r>
    <r>
      <rPr>
        <sz val="9"/>
        <color rgb="FF716969"/>
        <rFont val="맑은 고딕"/>
        <family val="0"/>
        <charset val="1"/>
      </rPr>
      <t xml:space="preserve">), </t>
    </r>
    <r>
      <rPr>
        <sz val="9"/>
        <color rgb="FF716969"/>
        <rFont val="WenQuanYi Zen Hei"/>
        <family val="2"/>
      </rPr>
      <t xml:space="preserve">닭고기 등</t>
    </r>
  </si>
  <si>
    <r>
      <rPr>
        <sz val="9"/>
        <color rgb="FF716969"/>
        <rFont val="WenQuanYi Zen Hei"/>
        <family val="2"/>
      </rPr>
      <t xml:space="preserve">대하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새우꼬치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민물가재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소룽샤</t>
    </r>
    <r>
      <rPr>
        <sz val="9"/>
        <color rgb="FF716969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</si>
  <si>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채소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과일</t>
    </r>
  </si>
  <si>
    <r>
      <rPr>
        <sz val="9"/>
        <color rgb="FF716969"/>
        <rFont val="WenQuanYi Zen Hei"/>
        <family val="2"/>
      </rPr>
      <t xml:space="preserve">가지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토마토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감자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피망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고수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레몬 등</t>
    </r>
  </si>
  <si>
    <r>
      <rPr>
        <sz val="10"/>
        <rFont val="WenQuanYi Zen Hei"/>
        <family val="2"/>
      </rPr>
      <t xml:space="preserve">두부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계란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곡류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면</t>
    </r>
  </si>
  <si>
    <r>
      <rPr>
        <sz val="9"/>
        <color rgb="FF716969"/>
        <rFont val="WenQuanYi Zen Hei"/>
        <family val="2"/>
      </rPr>
      <t xml:space="preserve">두부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건두부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계란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면류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분모자</t>
    </r>
  </si>
  <si>
    <r>
      <rPr>
        <sz val="10"/>
        <rFont val="WenQuanYi Zen Hei"/>
        <family val="2"/>
      </rPr>
      <t xml:space="preserve">냉동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가공식품</t>
    </r>
  </si>
  <si>
    <r>
      <rPr>
        <sz val="9"/>
        <color rgb="FF716969"/>
        <rFont val="WenQuanYi Zen Hei"/>
        <family val="2"/>
      </rPr>
      <t xml:space="preserve">물만두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꽃빵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피쉬볼 등 완제품</t>
    </r>
  </si>
  <si>
    <r>
      <rPr>
        <sz val="10"/>
        <rFont val="WenQuanYi Zen Hei"/>
        <family val="2"/>
      </rPr>
      <t xml:space="preserve">양념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향신료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소스</t>
    </r>
  </si>
  <si>
    <r>
      <rPr>
        <sz val="9"/>
        <color rgb="FF716969"/>
        <rFont val="WenQuanYi Zen Hei"/>
        <family val="2"/>
      </rPr>
      <t xml:space="preserve">쯔란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마라소스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두반장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춘장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간장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설탕 등</t>
    </r>
  </si>
  <si>
    <r>
      <rPr>
        <sz val="10"/>
        <rFont val="WenQuanYi Zen Hei"/>
        <family val="2"/>
      </rPr>
      <t xml:space="preserve">유지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기타식재료</t>
    </r>
  </si>
  <si>
    <r>
      <rPr>
        <sz val="9"/>
        <color rgb="FF716969"/>
        <rFont val="WenQuanYi Zen Hei"/>
        <family val="2"/>
      </rPr>
      <t xml:space="preserve">식용유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참기름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땅콩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기본찬 재료</t>
    </r>
  </si>
  <si>
    <r>
      <rPr>
        <sz val="9"/>
        <color rgb="FF716969"/>
        <rFont val="WenQuanYi Zen Hei"/>
        <family val="2"/>
      </rPr>
      <t xml:space="preserve">백주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연태구냥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설원 등</t>
    </r>
    <r>
      <rPr>
        <sz val="9"/>
        <color rgb="FF716969"/>
        <rFont val="맑은 고딕"/>
        <family val="0"/>
        <charset val="1"/>
      </rPr>
      <t xml:space="preserve">)·</t>
    </r>
    <r>
      <rPr>
        <sz val="9"/>
        <color rgb="FF716969"/>
        <rFont val="WenQuanYi Zen Hei"/>
        <family val="2"/>
      </rPr>
      <t xml:space="preserve">맥주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하이볼용 위스키</t>
    </r>
  </si>
  <si>
    <r>
      <rPr>
        <sz val="10"/>
        <rFont val="WenQuanYi Zen Hei"/>
        <family val="2"/>
      </rPr>
      <t xml:space="preserve">음료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얼음</t>
    </r>
  </si>
  <si>
    <r>
      <rPr>
        <sz val="9"/>
        <color rgb="FF716969"/>
        <rFont val="WenQuanYi Zen Hei"/>
        <family val="2"/>
      </rPr>
      <t xml:space="preserve">탄산수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콜라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사이다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얼음</t>
    </r>
  </si>
  <si>
    <r>
      <rPr>
        <b val="true"/>
        <sz val="10"/>
        <rFont val="WenQuanYi Zen Hei"/>
        <family val="2"/>
      </rPr>
      <t xml:space="preserve">③ 카드수수료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소모품</t>
    </r>
  </si>
  <si>
    <t xml:space="preserve">카드수수료</t>
  </si>
  <si>
    <r>
      <rPr>
        <sz val="9"/>
        <color rgb="FF716969"/>
        <rFont val="WenQuanYi Zen Hei"/>
        <family val="2"/>
      </rPr>
      <t xml:space="preserve">매출 </t>
    </r>
    <r>
      <rPr>
        <sz val="9"/>
        <color rgb="FF716969"/>
        <rFont val="맑은 고딕"/>
        <family val="0"/>
        <charset val="1"/>
      </rPr>
      <t xml:space="preserve">× </t>
    </r>
    <r>
      <rPr>
        <sz val="9"/>
        <color rgb="FF716969"/>
        <rFont val="WenQuanYi Zen Hei"/>
        <family val="2"/>
      </rPr>
      <t xml:space="preserve">카드비중 </t>
    </r>
    <r>
      <rPr>
        <sz val="9"/>
        <color rgb="FF716969"/>
        <rFont val="맑은 고딕"/>
        <family val="0"/>
        <charset val="1"/>
      </rPr>
      <t xml:space="preserve">× </t>
    </r>
    <r>
      <rPr>
        <sz val="9"/>
        <color rgb="FF716969"/>
        <rFont val="WenQuanYi Zen Hei"/>
        <family val="2"/>
      </rPr>
      <t xml:space="preserve">수수료율 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자동 추정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실제 금액으로 덮어써도 됨</t>
    </r>
    <r>
      <rPr>
        <sz val="9"/>
        <color rgb="FF716969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</si>
  <si>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배달앱 수수료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배달대행비</t>
    </r>
  </si>
  <si>
    <r>
      <rPr>
        <sz val="9"/>
        <color rgb="FF716969"/>
        <rFont val="WenQuanYi Zen Hei"/>
        <family val="2"/>
      </rPr>
      <t xml:space="preserve">배민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쿠팡이츠 중개수수료 </t>
    </r>
    <r>
      <rPr>
        <sz val="9"/>
        <color rgb="FF716969"/>
        <rFont val="맑은 고딕"/>
        <family val="0"/>
        <charset val="1"/>
      </rPr>
      <t xml:space="preserve">+ </t>
    </r>
    <r>
      <rPr>
        <sz val="9"/>
        <color rgb="FF716969"/>
        <rFont val="WenQuanYi Zen Hei"/>
        <family val="2"/>
      </rPr>
      <t xml:space="preserve">배달비 </t>
    </r>
    <r>
      <rPr>
        <sz val="9"/>
        <color rgb="FF716969"/>
        <rFont val="맑은 고딕"/>
        <family val="0"/>
        <charset val="1"/>
      </rPr>
      <t xml:space="preserve">+ </t>
    </r>
    <r>
      <rPr>
        <sz val="9"/>
        <color rgb="FF716969"/>
        <rFont val="WenQuanYi Zen Hei"/>
        <family val="2"/>
      </rPr>
      <t xml:space="preserve">결제수수료</t>
    </r>
  </si>
  <si>
    <t xml:space="preserve">홀 소모품</t>
  </si>
  <si>
    <r>
      <rPr>
        <sz val="9"/>
        <color rgb="FF716969"/>
        <rFont val="WenQuanYi Zen Hei"/>
        <family val="2"/>
      </rPr>
      <t xml:space="preserve">물티슈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냅킨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일회용 앞치마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이쑤시개</t>
    </r>
  </si>
  <si>
    <r>
      <rPr>
        <sz val="10"/>
        <rFont val="WenQuanYi Zen Hei"/>
        <family val="2"/>
      </rPr>
      <t xml:space="preserve">포장용기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비닐</t>
    </r>
  </si>
  <si>
    <r>
      <rPr>
        <sz val="9"/>
        <color rgb="FF716969"/>
        <rFont val="WenQuanYi Zen Hei"/>
        <family val="2"/>
      </rPr>
      <t xml:space="preserve">포장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배달 용기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봉투</t>
    </r>
  </si>
  <si>
    <t xml:space="preserve">주방 소모품</t>
  </si>
  <si>
    <r>
      <rPr>
        <sz val="9"/>
        <color rgb="FF716969"/>
        <rFont val="WenQuanYi Zen Hei"/>
        <family val="2"/>
      </rPr>
      <t xml:space="preserve">세제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랩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호일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위생장갑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수세미</t>
    </r>
  </si>
  <si>
    <r>
      <rPr>
        <b val="true"/>
        <sz val="10"/>
        <rFont val="WenQuanYi Zen Hei"/>
        <family val="2"/>
      </rPr>
      <t xml:space="preserve">④ 인건비 </t>
    </r>
    <r>
      <rPr>
        <b val="true"/>
        <sz val="10"/>
        <rFont val="맑은 고딕"/>
        <family val="0"/>
        <charset val="1"/>
      </rPr>
      <t xml:space="preserve">(4</t>
    </r>
    <r>
      <rPr>
        <b val="true"/>
        <sz val="10"/>
        <rFont val="WenQuanYi Zen Hei"/>
        <family val="2"/>
      </rPr>
      <t xml:space="preserve">대보험 포함</t>
    </r>
    <r>
      <rPr>
        <b val="true"/>
        <sz val="10"/>
        <rFont val="맑은 고딕"/>
        <family val="0"/>
        <charset val="1"/>
      </rPr>
      <t xml:space="preserve">)</t>
    </r>
  </si>
  <si>
    <t xml:space="preserve">주방 직원 급여</t>
  </si>
  <si>
    <r>
      <rPr>
        <sz val="9"/>
        <color rgb="FF716969"/>
        <rFont val="WenQuanYi Zen Hei"/>
        <family val="2"/>
      </rPr>
      <t xml:space="preserve">주방장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주방 보조 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세전 급여</t>
    </r>
    <r>
      <rPr>
        <sz val="9"/>
        <color rgb="FF716969"/>
        <rFont val="맑은 고딕"/>
        <family val="0"/>
        <charset val="1"/>
      </rPr>
      <t xml:space="preserve">)</t>
    </r>
  </si>
  <si>
    <t xml:space="preserve">홀 직원 급여</t>
  </si>
  <si>
    <r>
      <rPr>
        <sz val="9"/>
        <color rgb="FF716969"/>
        <rFont val="WenQuanYi Zen Hei"/>
        <family val="2"/>
      </rPr>
      <t xml:space="preserve">홀 매니저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정직원</t>
    </r>
  </si>
  <si>
    <r>
      <rPr>
        <sz val="10"/>
        <rFont val="WenQuanYi Zen Hei"/>
        <family val="2"/>
      </rPr>
      <t xml:space="preserve">아르바이트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주휴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야간수당 포함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</si>
  <si>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시급 </t>
    </r>
    <r>
      <rPr>
        <sz val="9"/>
        <color rgb="FF716969"/>
        <rFont val="맑은 고딕"/>
        <family val="0"/>
        <charset val="1"/>
      </rPr>
      <t xml:space="preserve">× </t>
    </r>
    <r>
      <rPr>
        <sz val="9"/>
        <color rgb="FF716969"/>
        <rFont val="WenQuanYi Zen Hei"/>
        <family val="2"/>
      </rPr>
      <t xml:space="preserve">근무시간</t>
    </r>
    <r>
      <rPr>
        <sz val="9"/>
        <color rgb="FF716969"/>
        <rFont val="맑은 고딕"/>
        <family val="0"/>
        <charset val="1"/>
      </rPr>
      <t xml:space="preserve">. 2026 </t>
    </r>
    <r>
      <rPr>
        <sz val="9"/>
        <color rgb="FF716969"/>
        <rFont val="WenQuanYi Zen Hei"/>
        <family val="2"/>
      </rPr>
      <t xml:space="preserve">최저시급 이상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주 </t>
    </r>
    <r>
      <rPr>
        <sz val="9"/>
        <color rgb="FF716969"/>
        <rFont val="맑은 고딕"/>
        <family val="0"/>
        <charset val="1"/>
      </rPr>
      <t xml:space="preserve">15</t>
    </r>
    <r>
      <rPr>
        <sz val="9"/>
        <color rgb="FF716969"/>
        <rFont val="WenQuanYi Zen Hei"/>
        <family val="2"/>
      </rPr>
      <t xml:space="preserve">시간 이상은 주휴수당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</si>
  <si>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대보험 사업주 부담</t>
    </r>
  </si>
  <si>
    <r>
      <rPr>
        <sz val="9"/>
        <color rgb="FF716969"/>
        <rFont val="WenQuanYi Zen Hei"/>
        <family val="2"/>
      </rPr>
      <t xml:space="preserve">급여의 약 </t>
    </r>
    <r>
      <rPr>
        <sz val="9"/>
        <color rgb="FF716969"/>
        <rFont val="맑은 고딕"/>
        <family val="0"/>
        <charset val="1"/>
      </rPr>
      <t xml:space="preserve">10~11% (</t>
    </r>
    <r>
      <rPr>
        <sz val="9"/>
        <color rgb="FF716969"/>
        <rFont val="WenQuanYi Zen Hei"/>
        <family val="2"/>
      </rPr>
      <t xml:space="preserve">국민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건강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고용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산재</t>
    </r>
    <r>
      <rPr>
        <sz val="9"/>
        <color rgb="FF716969"/>
        <rFont val="맑은 고딕"/>
        <family val="0"/>
        <charset val="1"/>
      </rPr>
      <t xml:space="preserve">)</t>
    </r>
  </si>
  <si>
    <t xml:space="preserve">퇴직금 적립</t>
  </si>
  <si>
    <r>
      <rPr>
        <sz val="9"/>
        <color rgb="FF716969"/>
        <rFont val="맑은 고딕"/>
        <family val="0"/>
        <charset val="1"/>
      </rPr>
      <t xml:space="preserve">1</t>
    </r>
    <r>
      <rPr>
        <sz val="9"/>
        <color rgb="FF716969"/>
        <rFont val="WenQuanYi Zen Hei"/>
        <family val="2"/>
      </rPr>
      <t xml:space="preserve">년 이상 근무자 월급의 </t>
    </r>
    <r>
      <rPr>
        <sz val="9"/>
        <color rgb="FF716969"/>
        <rFont val="맑은 고딕"/>
        <family val="0"/>
        <charset val="1"/>
      </rPr>
      <t xml:space="preserve">1/12</t>
    </r>
  </si>
  <si>
    <r>
      <rPr>
        <sz val="10"/>
        <rFont val="WenQuanYi Zen Hei"/>
        <family val="2"/>
      </rPr>
      <t xml:space="preserve">직원 식대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복리후생</t>
    </r>
  </si>
  <si>
    <r>
      <rPr>
        <sz val="9"/>
        <color rgb="FF716969"/>
        <rFont val="WenQuanYi Zen Hei"/>
        <family val="2"/>
      </rPr>
      <t xml:space="preserve">직원 식사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명절 선물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회식</t>
    </r>
  </si>
  <si>
    <r>
      <rPr>
        <b val="true"/>
        <sz val="10"/>
        <rFont val="WenQuanYi Zen Hei"/>
        <family val="2"/>
      </rPr>
      <t xml:space="preserve">⑤ 수도광열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가스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WenQuanYi Zen Hei"/>
        <family val="2"/>
      </rPr>
      <t xml:space="preserve">숯</t>
    </r>
  </si>
  <si>
    <t xml:space="preserve">전기요금</t>
  </si>
  <si>
    <r>
      <rPr>
        <sz val="9"/>
        <color rgb="FF716969"/>
        <rFont val="WenQuanYi Zen Hei"/>
        <family val="2"/>
      </rPr>
      <t xml:space="preserve">환기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냉난방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냉동고 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여름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겨울 증가</t>
    </r>
    <r>
      <rPr>
        <sz val="9"/>
        <color rgb="FF716969"/>
        <rFont val="맑은 고딕"/>
        <family val="0"/>
        <charset val="1"/>
      </rPr>
      <t xml:space="preserve">)</t>
    </r>
  </si>
  <si>
    <t xml:space="preserve">가스요금</t>
  </si>
  <si>
    <r>
      <rPr>
        <sz val="9"/>
        <color rgb="FF716969"/>
        <rFont val="WenQuanYi Zen Hei"/>
        <family val="2"/>
      </rPr>
      <t xml:space="preserve">주방 화구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웍</t>
    </r>
  </si>
  <si>
    <t xml:space="preserve">수도요금</t>
  </si>
  <si>
    <t xml:space="preserve">숯</t>
  </si>
  <si>
    <r>
      <rPr>
        <sz val="9"/>
        <color rgb="FF716969"/>
        <rFont val="WenQuanYi Zen Hei"/>
        <family val="2"/>
      </rPr>
      <t xml:space="preserve">테이블 숯불 </t>
    </r>
    <r>
      <rPr>
        <sz val="9"/>
        <color rgb="FF716969"/>
        <rFont val="맑은 고딕"/>
        <family val="0"/>
        <charset val="1"/>
      </rPr>
      <t xml:space="preserve">+ </t>
    </r>
    <r>
      <rPr>
        <sz val="9"/>
        <color rgb="FF716969"/>
        <rFont val="WenQuanYi Zen Hei"/>
        <family val="2"/>
      </rPr>
      <t xml:space="preserve">양다리 굽기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매입장 </t>
    </r>
    <r>
      <rPr>
        <sz val="9"/>
        <color rgb="FF716969"/>
        <rFont val="맑은 고딕"/>
        <family val="0"/>
        <charset val="1"/>
      </rPr>
      <t xml:space="preserve">'</t>
    </r>
    <r>
      <rPr>
        <sz val="9"/>
        <color rgb="FF716969"/>
        <rFont val="WenQuanYi Zen Hei"/>
        <family val="2"/>
      </rPr>
      <t xml:space="preserve">숯</t>
    </r>
    <r>
      <rPr>
        <sz val="9"/>
        <color rgb="FF716969"/>
        <rFont val="맑은 고딕"/>
        <family val="0"/>
        <charset val="1"/>
      </rPr>
      <t xml:space="preserve">' </t>
    </r>
    <r>
      <rPr>
        <sz val="9"/>
        <color rgb="FF716969"/>
        <rFont val="WenQuanYi Zen Hei"/>
        <family val="2"/>
      </rPr>
      <t xml:space="preserve">합계 참고</t>
    </r>
  </si>
  <si>
    <r>
      <rPr>
        <sz val="10"/>
        <rFont val="WenQuanYi Zen Hei"/>
        <family val="2"/>
      </rPr>
      <t xml:space="preserve">기타 연료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정수</t>
    </r>
  </si>
  <si>
    <r>
      <rPr>
        <sz val="9"/>
        <color rgb="FF716969"/>
        <rFont val="WenQuanYi Zen Hei"/>
        <family val="2"/>
      </rPr>
      <t xml:space="preserve">착화제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토치 가스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정수 필터</t>
    </r>
  </si>
  <si>
    <r>
      <rPr>
        <b val="true"/>
        <sz val="10"/>
        <rFont val="WenQuanYi Zen Hei"/>
        <family val="2"/>
      </rPr>
      <t xml:space="preserve">⑥ 월세 </t>
    </r>
    <r>
      <rPr>
        <b val="true"/>
        <sz val="10"/>
        <rFont val="맑은 고딕"/>
        <family val="0"/>
        <charset val="1"/>
      </rPr>
      <t xml:space="preserve">+ </t>
    </r>
    <r>
      <rPr>
        <b val="true"/>
        <sz val="10"/>
        <rFont val="WenQuanYi Zen Hei"/>
        <family val="2"/>
      </rPr>
      <t xml:space="preserve">부가세</t>
    </r>
  </si>
  <si>
    <t xml:space="preserve">월세</t>
  </si>
  <si>
    <t xml:space="preserve">임대차계약서 기준</t>
  </si>
  <si>
    <r>
      <rPr>
        <sz val="10"/>
        <rFont val="WenQuanYi Zen Hei"/>
        <family val="2"/>
      </rPr>
      <t xml:space="preserve">월세 부가세 </t>
    </r>
    <r>
      <rPr>
        <sz val="10"/>
        <rFont val="맑은 고딕"/>
        <family val="0"/>
        <charset val="1"/>
      </rPr>
      <t xml:space="preserve">(10%)</t>
    </r>
  </si>
  <si>
    <t xml:space="preserve">세금계산서 받으면 ① 부가세에서 공제</t>
  </si>
  <si>
    <t xml:space="preserve">건물 관리비</t>
  </si>
  <si>
    <r>
      <rPr>
        <sz val="9"/>
        <color rgb="FF716969"/>
        <rFont val="WenQuanYi Zen Hei"/>
        <family val="2"/>
      </rPr>
      <t xml:space="preserve">공용 전기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청소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엘리베이터</t>
    </r>
  </si>
  <si>
    <t xml:space="preserve">발렛 용역비</t>
  </si>
  <si>
    <t xml:space="preserve">발렛 업체 월 계약금</t>
  </si>
  <si>
    <r>
      <rPr>
        <sz val="10"/>
        <rFont val="WenQuanYi Zen Hei"/>
        <family val="2"/>
      </rPr>
      <t xml:space="preserve">네이버 플레이스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검색광고</t>
    </r>
  </si>
  <si>
    <r>
      <rPr>
        <sz val="9"/>
        <color rgb="FF716969"/>
        <rFont val="WenQuanYi Zen Hei"/>
        <family val="2"/>
      </rPr>
      <t xml:space="preserve">플레이스 광고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파워링크 클릭비</t>
    </r>
  </si>
  <si>
    <r>
      <rPr>
        <sz val="10"/>
        <rFont val="WenQuanYi Zen Hei"/>
        <family val="2"/>
      </rPr>
      <t xml:space="preserve">인스타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체험단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인플루언서</t>
    </r>
  </si>
  <si>
    <r>
      <rPr>
        <sz val="9"/>
        <color rgb="FF716969"/>
        <rFont val="WenQuanYi Zen Hei"/>
        <family val="2"/>
      </rPr>
      <t xml:space="preserve">체험단 원가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광고비</t>
    </r>
  </si>
  <si>
    <r>
      <rPr>
        <sz val="10"/>
        <rFont val="WenQuanYi Zen Hei"/>
        <family val="2"/>
      </rPr>
      <t xml:space="preserve">리뷰 이벤트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서비스 메뉴</t>
    </r>
  </si>
  <si>
    <r>
      <rPr>
        <sz val="9"/>
        <color rgb="FF716969"/>
        <rFont val="WenQuanYi Zen Hei"/>
        <family val="2"/>
      </rPr>
      <t xml:space="preserve">리뷰 작성 서비스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꽃빵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음료 등</t>
    </r>
    <r>
      <rPr>
        <sz val="9"/>
        <color rgb="FF716969"/>
        <rFont val="맑은 고딕"/>
        <family val="0"/>
        <charset val="1"/>
      </rPr>
      <t xml:space="preserve">) </t>
    </r>
    <r>
      <rPr>
        <sz val="9"/>
        <color rgb="FF716969"/>
        <rFont val="WenQuanYi Zen Hei"/>
        <family val="2"/>
      </rPr>
      <t xml:space="preserve">원가</t>
    </r>
  </si>
  <si>
    <t xml:space="preserve">배달앱 광고</t>
  </si>
  <si>
    <r>
      <rPr>
        <sz val="9"/>
        <color rgb="FF716969"/>
        <rFont val="WenQuanYi Zen Hei"/>
        <family val="2"/>
      </rPr>
      <t xml:space="preserve">배민 울트라콜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오픈리스트 등</t>
    </r>
  </si>
  <si>
    <r>
      <rPr>
        <sz val="10"/>
        <rFont val="WenQuanYi Zen Hei"/>
        <family val="2"/>
      </rPr>
      <t xml:space="preserve">전단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현수막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쿠폰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명함</t>
    </r>
  </si>
  <si>
    <r>
      <rPr>
        <sz val="10"/>
        <rFont val="WenQuanYi Zen Hei"/>
        <family val="2"/>
      </rPr>
      <t xml:space="preserve">홈페이지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스레드 운영</t>
    </r>
  </si>
  <si>
    <r>
      <rPr>
        <sz val="9"/>
        <color rgb="FF716969"/>
        <rFont val="WenQuanYi Zen Hei"/>
        <family val="2"/>
      </rPr>
      <t xml:space="preserve">도메인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호스팅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콘텐츠 제작</t>
    </r>
  </si>
  <si>
    <r>
      <rPr>
        <sz val="10"/>
        <rFont val="맑은 고딕"/>
        <family val="0"/>
        <charset val="1"/>
      </rPr>
      <t xml:space="preserve">POS·</t>
    </r>
    <r>
      <rPr>
        <sz val="10"/>
        <rFont val="WenQuanYi Zen Hei"/>
        <family val="2"/>
      </rPr>
      <t xml:space="preserve">카드단말기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테이블오더</t>
    </r>
  </si>
  <si>
    <r>
      <rPr>
        <sz val="10"/>
        <rFont val="WenQuanYi Zen Hei"/>
        <family val="2"/>
      </rPr>
      <t xml:space="preserve">통신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인터넷</t>
    </r>
    <r>
      <rPr>
        <sz val="10"/>
        <rFont val="맑은 고딕"/>
        <family val="0"/>
        <charset val="1"/>
      </rPr>
      <t xml:space="preserve">·CCTV</t>
    </r>
  </si>
  <si>
    <r>
      <rPr>
        <sz val="10"/>
        <rFont val="WenQuanYi Zen Hei"/>
        <family val="2"/>
      </rPr>
      <t xml:space="preserve">방역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세스코 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</si>
  <si>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화재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영업배상 보험</t>
    </r>
  </si>
  <si>
    <t xml:space="preserve">세무 기장료</t>
  </si>
  <si>
    <t xml:space="preserve">세무사 월 기장료</t>
  </si>
  <si>
    <r>
      <rPr>
        <sz val="10"/>
        <rFont val="WenQuanYi Zen Hei"/>
        <family val="2"/>
      </rPr>
      <t xml:space="preserve">렌탈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식기세척기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정수기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</si>
  <si>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수선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유지보수</t>
    </r>
  </si>
  <si>
    <r>
      <rPr>
        <sz val="9"/>
        <color rgb="FF716969"/>
        <rFont val="WenQuanYi Zen Hei"/>
        <family val="2"/>
      </rPr>
      <t xml:space="preserve">설비 고장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인테리어 보수 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월 평균</t>
    </r>
    <r>
      <rPr>
        <sz val="9"/>
        <color rgb="FF716969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</si>
  <si>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음식물쓰레기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위생</t>
    </r>
  </si>
  <si>
    <r>
      <rPr>
        <sz val="9"/>
        <color rgb="FF716969"/>
        <rFont val="WenQuanYi Zen Hei"/>
        <family val="2"/>
      </rPr>
      <t xml:space="preserve">음식물 처리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위생교육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보건증</t>
    </r>
  </si>
  <si>
    <t xml:space="preserve">잡비</t>
  </si>
  <si>
    <r>
      <rPr>
        <sz val="9"/>
        <color rgb="FF716969"/>
        <rFont val="WenQuanYi Zen Hei"/>
        <family val="2"/>
      </rPr>
      <t xml:space="preserve">은행 수수료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사무용품 등</t>
    </r>
  </si>
  <si>
    <t xml:space="preserve">매출 − 총비용</t>
  </si>
  <si>
    <r>
      <rPr>
        <b val="true"/>
        <sz val="12"/>
        <color rgb="FFF54B1E"/>
        <rFont val="WenQuanYi Zen Hei"/>
        <family val="2"/>
      </rPr>
      <t xml:space="preserve">■ 참고</t>
    </r>
    <r>
      <rPr>
        <b val="true"/>
        <sz val="12"/>
        <color rgb="FFF54B1E"/>
        <rFont val="맑은 고딕"/>
        <family val="0"/>
        <charset val="1"/>
      </rPr>
      <t xml:space="preserve">: </t>
    </r>
    <r>
      <rPr>
        <b val="true"/>
        <sz val="12"/>
        <color rgb="FFF54B1E"/>
        <rFont val="WenQuanYi Zen Hei"/>
        <family val="2"/>
      </rPr>
      <t xml:space="preserve">영업이익에서 더 빠지는 돈 </t>
    </r>
    <r>
      <rPr>
        <b val="true"/>
        <sz val="12"/>
        <color rgb="FFF54B1E"/>
        <rFont val="맑은 고딕"/>
        <family val="0"/>
        <charset val="1"/>
      </rPr>
      <t xml:space="preserve">(</t>
    </r>
    <r>
      <rPr>
        <b val="true"/>
        <sz val="12"/>
        <color rgb="FFF54B1E"/>
        <rFont val="WenQuanYi Zen Hei"/>
        <family val="2"/>
      </rPr>
      <t xml:space="preserve">실제 손에 남는 돈 계산</t>
    </r>
    <r>
      <rPr>
        <b val="true"/>
        <sz val="12"/>
        <color rgb="FFF54B1E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</si>
  <si>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영업이익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위에서</t>
    </r>
    <r>
      <rPr>
        <b val="true"/>
        <sz val="10"/>
        <rFont val="맑은 고딕"/>
        <family val="0"/>
        <charset val="1"/>
      </rPr>
      <t xml:space="preserve">)</t>
    </r>
  </si>
  <si>
    <t xml:space="preserve">대출이자</t>
  </si>
  <si>
    <r>
      <rPr>
        <sz val="9"/>
        <color rgb="FF716969"/>
        <rFont val="WenQuanYi Zen Hei"/>
        <family val="2"/>
      </rPr>
      <t xml:space="preserve">창업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운전자금 대출 월 이자</t>
    </r>
  </si>
  <si>
    <r>
      <rPr>
        <sz val="10"/>
        <rFont val="WenQuanYi Zen Hei"/>
        <family val="2"/>
      </rPr>
      <t xml:space="preserve">감가상각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인테리어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설비 회수</t>
    </r>
    <r>
      <rPr>
        <sz val="10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</si>
  <si>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인테리어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주방설비 총액 </t>
    </r>
    <r>
      <rPr>
        <sz val="9"/>
        <color rgb="FF716969"/>
        <rFont val="맑은 고딕"/>
        <family val="0"/>
        <charset val="1"/>
      </rPr>
      <t xml:space="preserve">÷ 60</t>
    </r>
    <r>
      <rPr>
        <sz val="9"/>
        <color rgb="FF716969"/>
        <rFont val="WenQuanYi Zen Hei"/>
        <family val="2"/>
      </rPr>
      <t xml:space="preserve">개월</t>
    </r>
  </si>
  <si>
    <t xml:space="preserve">사장님 본인 인건비</t>
  </si>
  <si>
    <r>
      <rPr>
        <sz val="9"/>
        <color rgb="FF716969"/>
        <rFont val="WenQuanYi Zen Hei"/>
        <family val="2"/>
      </rPr>
      <t xml:space="preserve">직접 근무하는 노동의 대가 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영업이익과 구분해서 보기</t>
    </r>
    <r>
      <rPr>
        <sz val="9"/>
        <color rgb="FF716969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</si>
  <si>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종합소득세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지방세 적립</t>
    </r>
  </si>
  <si>
    <r>
      <rPr>
        <sz val="9"/>
        <color rgb="FF716969"/>
        <rFont val="WenQuanYi Zen Hei"/>
        <family val="2"/>
      </rPr>
      <t xml:space="preserve">영업이익의 약 </t>
    </r>
    <r>
      <rPr>
        <sz val="9"/>
        <color rgb="FF716969"/>
        <rFont val="맑은 고딕"/>
        <family val="0"/>
        <charset val="1"/>
      </rPr>
      <t xml:space="preserve">10~20% (</t>
    </r>
    <r>
      <rPr>
        <sz val="9"/>
        <color rgb="FF716969"/>
        <rFont val="WenQuanYi Zen Hei"/>
        <family val="2"/>
      </rPr>
      <t xml:space="preserve">세무사와 확인</t>
    </r>
    <r>
      <rPr>
        <sz val="9"/>
        <color rgb="FF716969"/>
        <rFont val="맑은 고딕"/>
        <family val="0"/>
        <charset val="1"/>
      </rPr>
      <t xml:space="preserve">)</t>
    </r>
  </si>
  <si>
    <t xml:space="preserve">실제 손에 남는 돈</t>
  </si>
  <si>
    <t xml:space="preserve">영업이익 − 위 항목</t>
  </si>
  <si>
    <r>
      <rPr>
        <sz val="9"/>
        <color rgb="FF716969"/>
        <rFont val="WenQuanYi Zen Hei"/>
        <family val="2"/>
      </rPr>
      <t xml:space="preserve">※ 이 시트의 비율은 부가세 포함 매출 대비입니다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매출원가계산서는 공급가 기준이라 원가율이 약 </t>
    </r>
    <r>
      <rPr>
        <sz val="9"/>
        <color rgb="FF716969"/>
        <rFont val="맑은 고딕"/>
        <family val="0"/>
        <charset val="1"/>
      </rPr>
      <t xml:space="preserve">10% </t>
    </r>
    <r>
      <rPr>
        <sz val="9"/>
        <color rgb="FF716969"/>
        <rFont val="WenQuanYi Zen Hei"/>
        <family val="2"/>
      </rPr>
      <t xml:space="preserve">더 높게 나옵니다</t>
    </r>
    <r>
      <rPr>
        <sz val="9"/>
        <color rgb="FF716969"/>
        <rFont val="맑은 고딕"/>
        <family val="0"/>
        <charset val="1"/>
      </rPr>
      <t xml:space="preserve">).</t>
    </r>
  </si>
  <si>
    <r>
      <rPr>
        <sz val="9"/>
        <color rgb="FF716969"/>
        <rFont val="WenQuanYi Zen Hei"/>
        <family val="2"/>
      </rPr>
      <t xml:space="preserve">※ 미리 넣은 계획 금액은 월매출 </t>
    </r>
    <r>
      <rPr>
        <sz val="9"/>
        <color rgb="FF716969"/>
        <rFont val="맑은 고딕"/>
        <family val="0"/>
        <charset val="1"/>
      </rPr>
      <t xml:space="preserve">5,000</t>
    </r>
    <r>
      <rPr>
        <sz val="9"/>
        <color rgb="FF716969"/>
        <rFont val="WenQuanYi Zen Hei"/>
        <family val="2"/>
      </rPr>
      <t xml:space="preserve">만원 기준 예시입니다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사장님 실제 금액으로 바꿔주세요</t>
    </r>
    <r>
      <rPr>
        <sz val="9"/>
        <color rgb="FF716969"/>
        <rFont val="맑은 고딕"/>
        <family val="0"/>
        <charset val="1"/>
      </rPr>
      <t xml:space="preserve">.</t>
    </r>
  </si>
  <si>
    <t xml:space="preserve">시작일</t>
  </si>
  <si>
    <r>
      <rPr>
        <sz val="9"/>
        <color rgb="FF716969"/>
        <rFont val="WenQuanYi Zen Hei"/>
        <family val="2"/>
      </rPr>
      <t xml:space="preserve">종료일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미만</t>
    </r>
    <r>
      <rPr>
        <sz val="9"/>
        <color rgb="FF716969"/>
        <rFont val="맑은 고딕"/>
        <family val="0"/>
        <charset val="1"/>
      </rPr>
      <t xml:space="preserve">)</t>
    </r>
  </si>
  <si>
    <r>
      <rPr>
        <b val="true"/>
        <sz val="12"/>
        <color rgb="FFF54B1E"/>
        <rFont val="맑은 고딕"/>
        <family val="0"/>
        <charset val="1"/>
      </rPr>
      <t xml:space="preserve">1. </t>
    </r>
    <r>
      <rPr>
        <b val="true"/>
        <sz val="12"/>
        <color rgb="FFF54B1E"/>
        <rFont val="WenQuanYi Zen Hei"/>
        <family val="2"/>
      </rPr>
      <t xml:space="preserve">매출 현황</t>
    </r>
  </si>
  <si>
    <r>
      <rPr>
        <b val="true"/>
        <sz val="10"/>
        <color rgb="FFFFFFFF"/>
        <rFont val="WenQuanYi Zen Hei"/>
        <family val="2"/>
      </rPr>
      <t xml:space="preserve">매출 </t>
    </r>
    <r>
      <rPr>
        <b val="true"/>
        <sz val="10"/>
        <color rgb="FFFFFFFF"/>
        <rFont val="맑은 고딕"/>
        <family val="0"/>
        <charset val="1"/>
      </rPr>
      <t xml:space="preserve">(VAT</t>
    </r>
    <r>
      <rPr>
        <b val="true"/>
        <sz val="10"/>
        <color rgb="FFFFFFFF"/>
        <rFont val="WenQuanYi Zen Hei"/>
        <family val="2"/>
      </rPr>
      <t xml:space="preserve">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</si>
  <si>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매출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</si>
  <si>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구성비</t>
  </si>
  <si>
    <t xml:space="preserve">음식 매출</t>
  </si>
  <si>
    <r>
      <rPr>
        <b val="true"/>
        <sz val="10"/>
        <rFont val="WenQuanYi Zen Hei"/>
        <family val="2"/>
      </rPr>
      <t xml:space="preserve">주류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음료 매출</t>
    </r>
  </si>
  <si>
    <t xml:space="preserve">매출 합계</t>
  </si>
  <si>
    <r>
      <rPr>
        <b val="true"/>
        <sz val="10"/>
        <rFont val="WenQuanYi Zen Hei"/>
        <family val="2"/>
      </rPr>
      <t xml:space="preserve">객수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</si>
  <si>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객단가 </t>
    </r>
    <r>
      <rPr>
        <b val="true"/>
        <sz val="10"/>
        <rFont val="맑은 고딕"/>
        <family val="0"/>
        <charset val="1"/>
      </rPr>
      <t xml:space="preserve">(VAT</t>
    </r>
    <r>
      <rPr>
        <b val="true"/>
        <sz val="10"/>
        <rFont val="WenQuanYi Zen Hei"/>
        <family val="2"/>
      </rPr>
      <t xml:space="preserve">포함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</si>
  <si>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2"/>
        <color rgb="FFF54B1E"/>
        <rFont val="맑은 고딕"/>
        <family val="0"/>
        <charset val="1"/>
      </rPr>
      <t xml:space="preserve">2. </t>
    </r>
    <r>
      <rPr>
        <b val="true"/>
        <sz val="12"/>
        <color rgb="FFF54B1E"/>
        <rFont val="WenQuanYi Zen Hei"/>
        <family val="2"/>
      </rPr>
      <t xml:space="preserve">매출원가  </t>
    </r>
    <r>
      <rPr>
        <b val="true"/>
        <sz val="12"/>
        <color rgb="FFF54B1E"/>
        <rFont val="맑은 고딕"/>
        <family val="0"/>
        <charset val="1"/>
      </rPr>
      <t xml:space="preserve">=  </t>
    </r>
    <r>
      <rPr>
        <b val="true"/>
        <sz val="12"/>
        <color rgb="FFF54B1E"/>
        <rFont val="WenQuanYi Zen Hei"/>
        <family val="2"/>
      </rPr>
      <t xml:space="preserve">기초재고 </t>
    </r>
    <r>
      <rPr>
        <b val="true"/>
        <sz val="12"/>
        <color rgb="FFF54B1E"/>
        <rFont val="맑은 고딕"/>
        <family val="0"/>
        <charset val="1"/>
      </rPr>
      <t xml:space="preserve">+ </t>
    </r>
    <r>
      <rPr>
        <b val="true"/>
        <sz val="12"/>
        <color rgb="FFF54B1E"/>
        <rFont val="WenQuanYi Zen Hei"/>
        <family val="2"/>
      </rPr>
      <t xml:space="preserve">당월매입 − 기말재고</t>
    </r>
  </si>
  <si>
    <t xml:space="preserve">기초재고</t>
  </si>
  <si>
    <t xml:space="preserve">당월매입</t>
  </si>
  <si>
    <t xml:space="preserve">기말재고</t>
  </si>
  <si>
    <t xml:space="preserve">원가 구성비</t>
  </si>
  <si>
    <t xml:space="preserve">관련매출 대비</t>
  </si>
  <si>
    <t xml:space="preserve">식재료 소계</t>
  </si>
  <si>
    <r>
      <rPr>
        <b val="true"/>
        <sz val="10"/>
        <rFont val="WenQuanYi Zen Hei"/>
        <family val="2"/>
      </rPr>
      <t xml:space="preserve">주류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음료 소계</t>
    </r>
  </si>
  <si>
    <r>
      <rPr>
        <b val="true"/>
        <sz val="10"/>
        <rFont val="WenQuanYi Zen Hei"/>
        <family val="2"/>
      </rPr>
      <t xml:space="preserve">주류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음료</t>
    </r>
  </si>
  <si>
    <t xml:space="preserve">소모품 소계</t>
  </si>
  <si>
    <t xml:space="preserve">매출원가 합계</t>
  </si>
  <si>
    <r>
      <rPr>
        <sz val="9"/>
        <color rgb="FF716969"/>
        <rFont val="WenQuanYi Zen Hei"/>
        <family val="2"/>
      </rPr>
      <t xml:space="preserve">※ 기초재고 </t>
    </r>
    <r>
      <rPr>
        <sz val="9"/>
        <color rgb="FF716969"/>
        <rFont val="맑은 고딕"/>
        <family val="0"/>
        <charset val="1"/>
      </rPr>
      <t xml:space="preserve">= </t>
    </r>
    <r>
      <rPr>
        <sz val="9"/>
        <color rgb="FF716969"/>
        <rFont val="WenQuanYi Zen Hei"/>
        <family val="2"/>
      </rPr>
      <t xml:space="preserve">재고실사의 전월말 수량 </t>
    </r>
    <r>
      <rPr>
        <sz val="9"/>
        <color rgb="FF716969"/>
        <rFont val="맑은 고딕"/>
        <family val="0"/>
        <charset val="1"/>
      </rPr>
      <t xml:space="preserve">× </t>
    </r>
    <r>
      <rPr>
        <sz val="9"/>
        <color rgb="FF716969"/>
        <rFont val="WenQuanYi Zen Hei"/>
        <family val="2"/>
      </rPr>
      <t xml:space="preserve">현재 단가</t>
    </r>
    <r>
      <rPr>
        <sz val="9"/>
        <color rgb="FF716969"/>
        <rFont val="맑은 고딕"/>
        <family val="0"/>
        <charset val="1"/>
      </rPr>
      <t xml:space="preserve">,  </t>
    </r>
    <r>
      <rPr>
        <sz val="9"/>
        <color rgb="FF716969"/>
        <rFont val="WenQuanYi Zen Hei"/>
        <family val="2"/>
      </rPr>
      <t xml:space="preserve">기말재고 </t>
    </r>
    <r>
      <rPr>
        <sz val="9"/>
        <color rgb="FF716969"/>
        <rFont val="맑은 고딕"/>
        <family val="0"/>
        <charset val="1"/>
      </rPr>
      <t xml:space="preserve">= </t>
    </r>
    <r>
      <rPr>
        <sz val="9"/>
        <color rgb="FF716969"/>
        <rFont val="WenQuanYi Zen Hei"/>
        <family val="2"/>
      </rPr>
      <t xml:space="preserve">조회월말 수량 </t>
    </r>
    <r>
      <rPr>
        <sz val="9"/>
        <color rgb="FF716969"/>
        <rFont val="맑은 고딕"/>
        <family val="0"/>
        <charset val="1"/>
      </rPr>
      <t xml:space="preserve">× </t>
    </r>
    <r>
      <rPr>
        <sz val="9"/>
        <color rgb="FF716969"/>
        <rFont val="WenQuanYi Zen Hei"/>
        <family val="2"/>
      </rPr>
      <t xml:space="preserve">현재 단가</t>
    </r>
    <r>
      <rPr>
        <sz val="9"/>
        <color rgb="FF716969"/>
        <rFont val="맑은 고딕"/>
        <family val="0"/>
        <charset val="1"/>
      </rPr>
      <t xml:space="preserve">.  '</t>
    </r>
    <r>
      <rPr>
        <sz val="9"/>
        <color rgb="FF716969"/>
        <rFont val="WenQuanYi Zen Hei"/>
        <family val="2"/>
      </rPr>
      <t xml:space="preserve">관련매출 대비</t>
    </r>
    <r>
      <rPr>
        <sz val="9"/>
        <color rgb="FF716969"/>
        <rFont val="맑은 고딕"/>
        <family val="0"/>
        <charset val="1"/>
      </rPr>
      <t xml:space="preserve">'</t>
    </r>
    <r>
      <rPr>
        <sz val="9"/>
        <color rgb="FF716969"/>
        <rFont val="WenQuanYi Zen Hei"/>
        <family val="2"/>
      </rPr>
      <t xml:space="preserve">는 식재료→음식매출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주류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음료→주류매출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소모품→총매출 기준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</si>
  <si>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b val="true"/>
        <sz val="12"/>
        <color rgb="FFF54B1E"/>
        <rFont val="맑은 고딕"/>
        <family val="0"/>
        <charset val="1"/>
      </rPr>
      <t xml:space="preserve">3. </t>
    </r>
    <r>
      <rPr>
        <b val="true"/>
        <sz val="12"/>
        <color rgb="FFF54B1E"/>
        <rFont val="WenQuanYi Zen Hei"/>
        <family val="2"/>
      </rPr>
      <t xml:space="preserve">원가율 분석 </t>
    </r>
    <r>
      <rPr>
        <b val="true"/>
        <sz val="12"/>
        <color rgb="FFF54B1E"/>
        <rFont val="맑은 고딕"/>
        <family val="0"/>
        <charset val="1"/>
      </rPr>
      <t xml:space="preserve">(</t>
    </r>
    <r>
      <rPr>
        <b val="true"/>
        <sz val="12"/>
        <color rgb="FFF54B1E"/>
        <rFont val="WenQuanYi Zen Hei"/>
        <family val="2"/>
      </rPr>
      <t xml:space="preserve">목표 대비</t>
    </r>
    <r>
      <rPr>
        <b val="true"/>
        <sz val="12"/>
        <color rgb="FFF54B1E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</si>
  <si>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</si>
  <si>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실제 원가율</t>
  </si>
  <si>
    <t xml:space="preserve">목표 원가율</t>
  </si>
  <si>
    <r>
      <rPr>
        <b val="true"/>
        <sz val="10"/>
        <color rgb="FFFFFFFF"/>
        <rFont val="WenQuanYi Zen Hei"/>
        <family val="2"/>
      </rPr>
      <t xml:space="preserve">차이</t>
    </r>
    <r>
      <rPr>
        <b val="true"/>
        <sz val="10"/>
        <color rgb="FFFFFFFF"/>
        <rFont val="맑은 고딕"/>
        <family val="0"/>
        <charset val="1"/>
      </rPr>
      <t xml:space="preserve">(%p)</t>
    </r>
  </si>
  <si>
    <t xml:space="preserve">판정</t>
  </si>
  <si>
    <t xml:space="preserve">식재료 원가율</t>
  </si>
  <si>
    <r>
      <rPr>
        <b val="true"/>
        <sz val="10"/>
        <rFont val="WenQuanYi Zen Hei"/>
        <family val="2"/>
      </rPr>
      <t xml:space="preserve">주류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음료 원가율</t>
    </r>
  </si>
  <si>
    <r>
      <rPr>
        <b val="true"/>
        <sz val="10"/>
        <rFont val="WenQuanYi Zen Hei"/>
        <family val="2"/>
      </rPr>
      <t xml:space="preserve">식재료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WenQuanYi Zen Hei"/>
        <family val="2"/>
      </rPr>
      <t xml:space="preserve">주류 원가율</t>
    </r>
  </si>
  <si>
    <t xml:space="preserve">소모품 포함 총원가율</t>
  </si>
  <si>
    <t xml:space="preserve">참고용</t>
  </si>
  <si>
    <r>
      <rPr>
        <b val="true"/>
        <sz val="12"/>
        <color rgb="FFF54B1E"/>
        <rFont val="맑은 고딕"/>
        <family val="0"/>
        <charset val="1"/>
      </rPr>
      <t xml:space="preserve">4. </t>
    </r>
    <r>
      <rPr>
        <b val="true"/>
        <sz val="12"/>
        <color rgb="FFF54B1E"/>
        <rFont val="WenQuanYi Zen Hei"/>
        <family val="2"/>
      </rPr>
      <t xml:space="preserve">매출총이익</t>
    </r>
  </si>
  <si>
    <r>
      <rPr>
        <b val="true"/>
        <sz val="10"/>
        <rFont val="WenQuanYi Zen Hei"/>
        <family val="2"/>
      </rPr>
      <t xml:space="preserve">매출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공급가액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</si>
  <si>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맑은 고딕"/>
        <family val="0"/>
        <charset val="1"/>
      </rPr>
      <t xml:space="preserve">(−) </t>
    </r>
    <r>
      <rPr>
        <b val="true"/>
        <sz val="10"/>
        <rFont val="WenQuanYi Zen Hei"/>
        <family val="2"/>
      </rPr>
      <t xml:space="preserve">매출원가</t>
    </r>
  </si>
  <si>
    <t xml:space="preserve">매출총이익</t>
  </si>
  <si>
    <t xml:space="preserve">매출총이익률</t>
  </si>
  <si>
    <r>
      <rPr>
        <b val="true"/>
        <sz val="10"/>
        <rFont val="맑은 고딕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인당 매출원가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객수 기준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</si>
  <si>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※ 인건비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임대료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공과금 등 판매관리비는 포함하지 않은 </t>
    </r>
    <r>
      <rPr>
        <sz val="9"/>
        <color rgb="FF716969"/>
        <rFont val="맑은 고딕"/>
        <family val="0"/>
        <charset val="1"/>
      </rPr>
      <t xml:space="preserve">'</t>
    </r>
    <r>
      <rPr>
        <sz val="9"/>
        <color rgb="FF716969"/>
        <rFont val="WenQuanYi Zen Hei"/>
        <family val="2"/>
      </rPr>
      <t xml:space="preserve">매출총이익</t>
    </r>
    <r>
      <rPr>
        <sz val="9"/>
        <color rgb="FF716969"/>
        <rFont val="맑은 고딕"/>
        <family val="0"/>
        <charset val="1"/>
      </rPr>
      <t xml:space="preserve">'</t>
    </r>
    <r>
      <rPr>
        <sz val="9"/>
        <color rgb="FF716969"/>
        <rFont val="WenQuanYi Zen Hei"/>
        <family val="2"/>
      </rPr>
      <t xml:space="preserve">입니다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</si>
  <si>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b val="true"/>
        <sz val="12"/>
        <color rgb="FFF54B1E"/>
        <rFont val="맑은 고딕"/>
        <family val="0"/>
        <charset val="1"/>
      </rPr>
      <t xml:space="preserve">5. </t>
    </r>
    <r>
      <rPr>
        <b val="true"/>
        <sz val="12"/>
        <color rgb="FFF54B1E"/>
        <rFont val="WenQuanYi Zen Hei"/>
        <family val="2"/>
      </rPr>
      <t xml:space="preserve">이론원가</t>
    </r>
    <r>
      <rPr>
        <b val="true"/>
        <sz val="12"/>
        <color rgb="FFF54B1E"/>
        <rFont val="맑은 고딕"/>
        <family val="0"/>
        <charset val="1"/>
      </rPr>
      <t xml:space="preserve">(</t>
    </r>
    <r>
      <rPr>
        <b val="true"/>
        <sz val="12"/>
        <color rgb="FFF54B1E"/>
        <rFont val="WenQuanYi Zen Hei"/>
        <family val="2"/>
      </rPr>
      <t xml:space="preserve">레시피</t>
    </r>
    <r>
      <rPr>
        <b val="true"/>
        <sz val="12"/>
        <color rgb="FFF54B1E"/>
        <rFont val="맑은 고딕"/>
        <family val="0"/>
        <charset val="1"/>
      </rPr>
      <t xml:space="preserve">) vs </t>
    </r>
    <r>
      <rPr>
        <b val="true"/>
        <sz val="12"/>
        <color rgb="FFF54B1E"/>
        <rFont val="WenQuanYi Zen Hei"/>
        <family val="2"/>
      </rPr>
      <t xml:space="preserve">실제원가 — 로스 점검</t>
    </r>
  </si>
  <si>
    <t xml:space="preserve">이론원가</t>
  </si>
  <si>
    <t xml:space="preserve">실제원가</t>
  </si>
  <si>
    <r>
      <rPr>
        <b val="true"/>
        <sz val="10"/>
        <color rgb="FFFFFFFF"/>
        <rFont val="WenQuanYi Zen Hei"/>
        <family val="2"/>
      </rPr>
      <t xml:space="preserve">차이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실제−이론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</si>
  <si>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차이율</t>
  </si>
  <si>
    <t xml:space="preserve">점검 결과</t>
  </si>
  <si>
    <r>
      <rPr>
        <sz val="9"/>
        <color rgb="FF716969"/>
        <rFont val="WenQuanYi Zen Hei"/>
        <family val="2"/>
      </rPr>
      <t xml:space="preserve">※ 이론원가는 전 지점 합산 판매수량 기준입니다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지점별로 보려면 해당 지점 판매수량을 메뉴원가표에 입력하세요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</si>
  <si>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b val="true"/>
        <sz val="12"/>
        <color rgb="FFF54B1E"/>
        <rFont val="맑은 고딕"/>
        <family val="0"/>
        <charset val="1"/>
      </rPr>
      <t xml:space="preserve">6. </t>
    </r>
    <r>
      <rPr>
        <b val="true"/>
        <sz val="12"/>
        <color rgb="FFF54B1E"/>
        <rFont val="WenQuanYi Zen Hei"/>
        <family val="2"/>
      </rPr>
      <t xml:space="preserve">참고</t>
    </r>
    <r>
      <rPr>
        <b val="true"/>
        <sz val="12"/>
        <color rgb="FFF54B1E"/>
        <rFont val="맑은 고딕"/>
        <family val="0"/>
        <charset val="1"/>
      </rPr>
      <t xml:space="preserve">: </t>
    </r>
    <r>
      <rPr>
        <b val="true"/>
        <sz val="12"/>
        <color rgb="FFF54B1E"/>
        <rFont val="WenQuanYi Zen Hei"/>
        <family val="2"/>
      </rPr>
      <t xml:space="preserve">의제매입세액 공제 예상 </t>
    </r>
    <r>
      <rPr>
        <b val="true"/>
        <sz val="12"/>
        <color rgb="FFF54B1E"/>
        <rFont val="맑은 고딕"/>
        <family val="0"/>
        <charset val="1"/>
      </rPr>
      <t xml:space="preserve">(</t>
    </r>
    <r>
      <rPr>
        <b val="true"/>
        <sz val="12"/>
        <color rgb="FFF54B1E"/>
        <rFont val="WenQuanYi Zen Hei"/>
        <family val="2"/>
      </rPr>
      <t xml:space="preserve">부가세 신고용</t>
    </r>
    <r>
      <rPr>
        <b val="true"/>
        <sz val="12"/>
        <color rgb="FFF54B1E"/>
        <rFont val="맑은 고딕"/>
        <family val="0"/>
        <charset val="1"/>
      </rPr>
      <t xml:space="preserve">)</t>
    </r>
  </si>
  <si>
    <t xml:space="preserve">당월 면세 식재료 매입액</t>
  </si>
  <si>
    <t xml:space="preserve">공제 예상액</t>
  </si>
  <si>
    <r>
      <rPr>
        <sz val="9"/>
        <color rgb="FF716969"/>
        <rFont val="WenQuanYi Zen Hei"/>
        <family val="2"/>
      </rPr>
      <t xml:space="preserve">※ 계산서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신용카드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현금영수증 등 적격증빙이 있는 면세 농축수산물만 공제됩니다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과세표준 대비 한도가 있으니 신고 시 세무사와 확인하세요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</si>
  <si>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b val="true"/>
        <sz val="12"/>
        <color rgb="FFF54B1E"/>
        <rFont val="맑은 고딕"/>
        <family val="0"/>
        <charset val="1"/>
      </rPr>
      <t xml:space="preserve">7. </t>
    </r>
    <r>
      <rPr>
        <b val="true"/>
        <sz val="12"/>
        <color rgb="FFF54B1E"/>
        <rFont val="WenQuanYi Zen Hei"/>
        <family val="2"/>
      </rPr>
      <t xml:space="preserve">입력 점검</t>
    </r>
  </si>
  <si>
    <t xml:space="preserve">조회월 기말재고 입력</t>
  </si>
  <si>
    <t xml:space="preserve">매입장 분류 누락 건수</t>
  </si>
  <si>
    <t xml:space="preserve">매입장 지점 누락 건수</t>
  </si>
  <si>
    <t xml:space="preserve">레시피 미입력 메뉴 수</t>
  </si>
  <si>
    <r>
      <rPr>
        <b val="true"/>
        <sz val="10"/>
        <rFont val="WenQuanYi Zen Hei"/>
        <family val="2"/>
      </rPr>
      <t xml:space="preserve">원가율 </t>
    </r>
    <r>
      <rPr>
        <b val="true"/>
        <sz val="10"/>
        <rFont val="맑은 고딕"/>
        <family val="0"/>
        <charset val="1"/>
      </rPr>
      <t xml:space="preserve">'</t>
    </r>
    <r>
      <rPr>
        <b val="true"/>
        <sz val="10"/>
        <rFont val="WenQuanYi Zen Hei"/>
        <family val="2"/>
      </rPr>
      <t xml:space="preserve">위험</t>
    </r>
    <r>
      <rPr>
        <b val="true"/>
        <sz val="10"/>
        <rFont val="맑은 고딕"/>
        <family val="0"/>
        <charset val="1"/>
      </rPr>
      <t xml:space="preserve">' </t>
    </r>
    <r>
      <rPr>
        <b val="true"/>
        <sz val="10"/>
        <rFont val="WenQuanYi Zen Hei"/>
        <family val="2"/>
      </rPr>
      <t xml:space="preserve">메뉴 수</t>
    </r>
  </si>
  <si>
    <r>
      <rPr>
        <b val="true"/>
        <sz val="16"/>
        <color rgb="FF1E1928"/>
        <rFont val="WenQuanYi Zen Hei"/>
        <family val="2"/>
      </rPr>
      <t xml:space="preserve">연간 요약 </t>
    </r>
    <r>
      <rPr>
        <b val="true"/>
        <sz val="16"/>
        <color rgb="FF1E1928"/>
        <rFont val="맑은 고딕"/>
        <family val="0"/>
        <charset val="1"/>
      </rPr>
      <t xml:space="preserve">(</t>
    </r>
    <r>
      <rPr>
        <b val="true"/>
        <sz val="16"/>
        <color rgb="FF1E1928"/>
        <rFont val="WenQuanYi Zen Hei"/>
        <family val="2"/>
      </rPr>
      <t xml:space="preserve">월별 원가율 추이</t>
    </r>
    <r>
      <rPr>
        <b val="true"/>
        <sz val="16"/>
        <color rgb="FF1E1928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</si>
  <si>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기본설정의 연도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조회지점 기준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재고실사를 하지 않은 달은 원가가 부정확하니 </t>
    </r>
    <r>
      <rPr>
        <sz val="9"/>
        <color rgb="FF716969"/>
        <rFont val="맑은 고딕"/>
        <family val="0"/>
        <charset val="1"/>
      </rPr>
      <t xml:space="preserve">[</t>
    </r>
    <r>
      <rPr>
        <sz val="9"/>
        <color rgb="FF716969"/>
        <rFont val="WenQuanYi Zen Hei"/>
        <family val="2"/>
      </rPr>
      <t xml:space="preserve">재고실사</t>
    </r>
    <r>
      <rPr>
        <sz val="9"/>
        <color rgb="FF716969"/>
        <rFont val="맑은 고딕"/>
        <family val="0"/>
        <charset val="1"/>
      </rPr>
      <t xml:space="preserve">] </t>
    </r>
    <r>
      <rPr>
        <sz val="9"/>
        <color rgb="FF716969"/>
        <rFont val="WenQuanYi Zen Hei"/>
        <family val="2"/>
      </rPr>
      <t xml:space="preserve">열을 확인하세요</t>
    </r>
    <r>
      <rPr>
        <sz val="9"/>
        <color rgb="FF716969"/>
        <rFont val="맑은 고딕"/>
        <family val="0"/>
        <charset val="1"/>
      </rPr>
      <t xml:space="preserve">.</t>
    </r>
  </si>
  <si>
    <t xml:space="preserve">월</t>
  </si>
  <si>
    <r>
      <rPr>
        <b val="true"/>
        <sz val="10"/>
        <color rgb="FFFFFFFF"/>
        <rFont val="WenQuanYi Zen Hei"/>
        <family val="2"/>
      </rPr>
      <t xml:space="preserve">총매출
</t>
    </r>
    <r>
      <rPr>
        <b val="true"/>
        <sz val="10"/>
        <color rgb="FFFFFFFF"/>
        <rFont val="맑은 고딕"/>
        <family val="0"/>
        <charset val="1"/>
      </rPr>
      <t xml:space="preserve">(VAT</t>
    </r>
    <r>
      <rPr>
        <b val="true"/>
        <sz val="10"/>
        <color rgb="FFFFFFFF"/>
        <rFont val="WenQuanYi Zen Hei"/>
        <family val="2"/>
      </rPr>
      <t xml:space="preserve">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</si>
  <si>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음식매출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</si>
  <si>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주류매출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</si>
  <si>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매출 합계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</si>
  <si>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식재료
매입</t>
  </si>
  <si>
    <t xml:space="preserve">식재료
원가</t>
  </si>
  <si>
    <t xml:space="preserve">식재료
원가율</t>
  </si>
  <si>
    <r>
      <rPr>
        <b val="true"/>
        <sz val="10"/>
        <color rgb="FFFFFFFF"/>
        <rFont val="WenQuanYi Zen Hei"/>
        <family val="2"/>
      </rPr>
      <t xml:space="preserve">주류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음료
매입</t>
    </r>
  </si>
  <si>
    <r>
      <rPr>
        <b val="true"/>
        <sz val="10"/>
        <color rgb="FFFFFFFF"/>
        <rFont val="WenQuanYi Zen Hei"/>
        <family val="2"/>
      </rPr>
      <t xml:space="preserve">주류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음료
원가</t>
    </r>
  </si>
  <si>
    <t xml:space="preserve">주류
원가율</t>
  </si>
  <si>
    <t xml:space="preserve">소모품
원가</t>
  </si>
  <si>
    <t xml:space="preserve">총
매출원가</t>
  </si>
  <si>
    <t xml:space="preserve">총
원가율</t>
  </si>
  <si>
    <t xml:space="preserve">매출
총이익</t>
  </si>
  <si>
    <t xml:space="preserve">총이익률</t>
  </si>
  <si>
    <t xml:space="preserve">객수</t>
  </si>
  <si>
    <t xml:space="preserve">객단가</t>
  </si>
  <si>
    <t xml:space="preserve">합계</t>
  </si>
  <si>
    <r>
      <rPr>
        <sz val="9"/>
        <color rgb="FF716969"/>
        <rFont val="WenQuanYi Zen Hei"/>
        <family val="2"/>
      </rPr>
      <t xml:space="preserve">※ 원가율 색상</t>
    </r>
    <r>
      <rPr>
        <sz val="9"/>
        <color rgb="FF716969"/>
        <rFont val="맑은 고딕"/>
        <family val="0"/>
        <charset val="1"/>
      </rPr>
      <t xml:space="preserve">: </t>
    </r>
    <r>
      <rPr>
        <sz val="9"/>
        <color rgb="FF716969"/>
        <rFont val="WenQuanYi Zen Hei"/>
        <family val="2"/>
      </rPr>
      <t xml:space="preserve">초록 </t>
    </r>
    <r>
      <rPr>
        <sz val="9"/>
        <color rgb="FF716969"/>
        <rFont val="맑은 고딕"/>
        <family val="0"/>
        <charset val="1"/>
      </rPr>
      <t xml:space="preserve">= </t>
    </r>
    <r>
      <rPr>
        <sz val="9"/>
        <color rgb="FF716969"/>
        <rFont val="WenQuanYi Zen Hei"/>
        <family val="2"/>
      </rPr>
      <t xml:space="preserve">목표 이하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주황 </t>
    </r>
    <r>
      <rPr>
        <sz val="9"/>
        <color rgb="FF716969"/>
        <rFont val="맑은 고딕"/>
        <family val="0"/>
        <charset val="1"/>
      </rPr>
      <t xml:space="preserve">= </t>
    </r>
    <r>
      <rPr>
        <sz val="9"/>
        <color rgb="FF716969"/>
        <rFont val="WenQuanYi Zen Hei"/>
        <family val="2"/>
      </rPr>
      <t xml:space="preserve">목표 초과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빨강 </t>
    </r>
    <r>
      <rPr>
        <sz val="9"/>
        <color rgb="FF716969"/>
        <rFont val="맑은 고딕"/>
        <family val="0"/>
        <charset val="1"/>
      </rPr>
      <t xml:space="preserve">= </t>
    </r>
    <r>
      <rPr>
        <sz val="9"/>
        <color rgb="FF716969"/>
        <rFont val="WenQuanYi Zen Hei"/>
        <family val="2"/>
      </rPr>
      <t xml:space="preserve">목표 </t>
    </r>
    <r>
      <rPr>
        <sz val="9"/>
        <color rgb="FF716969"/>
        <rFont val="맑은 고딕"/>
        <family val="0"/>
        <charset val="1"/>
      </rPr>
      <t xml:space="preserve">+ </t>
    </r>
    <r>
      <rPr>
        <sz val="9"/>
        <color rgb="FF716969"/>
        <rFont val="WenQuanYi Zen Hei"/>
        <family val="2"/>
      </rPr>
      <t xml:space="preserve">허용폭 초과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</si>
  <si>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b val="true"/>
        <sz val="16"/>
        <color rgb="FF1E1928"/>
        <rFont val="WenQuanYi Zen Hei"/>
        <family val="2"/>
      </rPr>
      <t xml:space="preserve">식자재 단가표 </t>
    </r>
    <r>
      <rPr>
        <b val="true"/>
        <sz val="16"/>
        <color rgb="FF1E1928"/>
        <rFont val="맑은 고딕"/>
        <family val="0"/>
        <charset val="1"/>
      </rPr>
      <t xml:space="preserve">(</t>
    </r>
    <r>
      <rPr>
        <b val="true"/>
        <sz val="16"/>
        <color rgb="FF1E1928"/>
        <rFont val="WenQuanYi Zen Hei"/>
        <family val="2"/>
      </rPr>
      <t xml:space="preserve">품목 마스터</t>
    </r>
    <r>
      <rPr>
        <b val="true"/>
        <sz val="16"/>
        <color rgb="FF1E1928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</si>
  <si>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구매가격은 공급가액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부가세 제외</t>
    </r>
    <r>
      <rPr>
        <sz val="9"/>
        <color rgb="FF716969"/>
        <rFont val="맑은 고딕"/>
        <family val="0"/>
        <charset val="1"/>
      </rPr>
      <t xml:space="preserve">). </t>
    </r>
    <r>
      <rPr>
        <sz val="9"/>
        <color rgb="FF716969"/>
        <rFont val="WenQuanYi Zen Hei"/>
        <family val="2"/>
      </rPr>
      <t xml:space="preserve">단가가 바뀌면 </t>
    </r>
    <r>
      <rPr>
        <sz val="9"/>
        <color rgb="FF716969"/>
        <rFont val="맑은 고딕"/>
        <family val="0"/>
        <charset val="1"/>
      </rPr>
      <t xml:space="preserve">[</t>
    </r>
    <r>
      <rPr>
        <sz val="9"/>
        <color rgb="FF716969"/>
        <rFont val="WenQuanYi Zen Hei"/>
        <family val="2"/>
      </rPr>
      <t xml:space="preserve">이전 구매가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에 옛 가격을 옮기고 </t>
    </r>
    <r>
      <rPr>
        <sz val="9"/>
        <color rgb="FF716969"/>
        <rFont val="맑은 고딕"/>
        <family val="0"/>
        <charset val="1"/>
      </rPr>
      <t xml:space="preserve">[</t>
    </r>
    <r>
      <rPr>
        <sz val="9"/>
        <color rgb="FF716969"/>
        <rFont val="WenQuanYi Zen Hei"/>
        <family val="2"/>
      </rPr>
      <t xml:space="preserve">구매가격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을 고치면 변동률이 표시됩니다</t>
    </r>
    <r>
      <rPr>
        <sz val="9"/>
        <color rgb="FF716969"/>
        <rFont val="맑은 고딕"/>
        <family val="0"/>
        <charset val="1"/>
      </rPr>
      <t xml:space="preserve">. ※ </t>
    </r>
    <r>
      <rPr>
        <sz val="9"/>
        <color rgb="FF716969"/>
        <rFont val="WenQuanYi Zen Hei"/>
        <family val="2"/>
      </rPr>
      <t xml:space="preserve">미리 넣은 단가는 예시 추정치 — 실제 거래명세서 단가로 교체하세요</t>
    </r>
    <r>
      <rPr>
        <sz val="9"/>
        <color rgb="FF716969"/>
        <rFont val="맑은 고딕"/>
        <family val="0"/>
        <charset val="1"/>
      </rPr>
      <t xml:space="preserve">.</t>
    </r>
  </si>
  <si>
    <t xml:space="preserve">코드</t>
  </si>
  <si>
    <t xml:space="preserve">품목명</t>
  </si>
  <si>
    <r>
      <rPr>
        <b val="true"/>
        <sz val="10"/>
        <color rgb="FFFFFFFF"/>
        <rFont val="WenQuanYi Zen Hei"/>
        <family val="2"/>
      </rPr>
      <t xml:space="preserve">규격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원산지</t>
    </r>
  </si>
  <si>
    <t xml:space="preserve">주거래처</t>
  </si>
  <si>
    <t xml:space="preserve">구매단위</t>
  </si>
  <si>
    <r>
      <rPr>
        <b val="true"/>
        <sz val="10"/>
        <color rgb="FFFFFFFF"/>
        <rFont val="WenQuanYi Zen Hei"/>
        <family val="2"/>
      </rPr>
      <t xml:space="preserve">구매가격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맑은 고딕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</si>
  <si>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구매단위당
용량</t>
  </si>
  <si>
    <t xml:space="preserve">기준
단위</t>
  </si>
  <si>
    <r>
      <rPr>
        <b val="true"/>
        <sz val="10"/>
        <color rgb="FFFFFFFF"/>
        <rFont val="WenQuanYi Zen Hei"/>
        <family val="2"/>
      </rPr>
      <t xml:space="preserve">기준단위당
단가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</si>
  <si>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수율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손질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해동후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</si>
  <si>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실사용 단가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기준단위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</si>
  <si>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과세
구분</t>
  </si>
  <si>
    <t xml:space="preserve">단가
변경일</t>
  </si>
  <si>
    <t xml:space="preserve">이전
구매가</t>
  </si>
  <si>
    <t xml:space="preserve">단가
변동률</t>
  </si>
  <si>
    <t xml:space="preserve">M01</t>
  </si>
  <si>
    <r>
      <rPr>
        <sz val="10"/>
        <color rgb="FF0000FF"/>
        <rFont val="WenQuanYi Zen Hei"/>
        <family val="2"/>
      </rPr>
      <t xml:space="preserve">양다리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뼈포함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냉동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</si>
  <si>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호주산</t>
  </si>
  <si>
    <t xml:space="preserve">양고기 거래처</t>
  </si>
  <si>
    <t xml:space="preserve">kg</t>
  </si>
  <si>
    <t xml:space="preserve">g</t>
  </si>
  <si>
    <t xml:space="preserve">M02</t>
  </si>
  <si>
    <r>
      <rPr>
        <sz val="10"/>
        <color rgb="FF0000FF"/>
        <rFont val="WenQuanYi Zen Hei"/>
        <family val="2"/>
      </rPr>
      <t xml:space="preserve">양갈비 프렌치랙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냉동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</si>
  <si>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M03</t>
  </si>
  <si>
    <r>
      <rPr>
        <sz val="10"/>
        <color rgb="FF0000FF"/>
        <rFont val="WenQuanYi Zen Hei"/>
        <family val="2"/>
      </rPr>
      <t xml:space="preserve">생양꼬치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완제품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</si>
  <si>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개입</t>
    </r>
  </si>
  <si>
    <t xml:space="preserve">양꼬치 거래처</t>
  </si>
  <si>
    <t xml:space="preserve">박스</t>
  </si>
  <si>
    <t xml:space="preserve">개</t>
  </si>
  <si>
    <t xml:space="preserve">M04</t>
  </si>
  <si>
    <r>
      <rPr>
        <sz val="10"/>
        <color rgb="FF0000FF"/>
        <rFont val="WenQuanYi Zen Hei"/>
        <family val="2"/>
      </rPr>
      <t xml:space="preserve">양념양꼬치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완제품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</si>
  <si>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M05</t>
  </si>
  <si>
    <r>
      <rPr>
        <sz val="10"/>
        <color rgb="FF0000FF"/>
        <rFont val="WenQuanYi Zen Hei"/>
        <family val="2"/>
      </rPr>
      <t xml:space="preserve">양갈비살꼬치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완제품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</si>
  <si>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M06</t>
  </si>
  <si>
    <r>
      <rPr>
        <sz val="10"/>
        <color rgb="FF0000FF"/>
        <rFont val="WenQuanYi Zen Hei"/>
        <family val="2"/>
      </rPr>
      <t xml:space="preserve">양어깨살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볶음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탕용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</si>
  <si>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P01</t>
  </si>
  <si>
    <r>
      <rPr>
        <sz val="10"/>
        <color rgb="FF0000FF"/>
        <rFont val="WenQuanYi Zen Hei"/>
        <family val="2"/>
      </rPr>
      <t xml:space="preserve">돼지 등심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꿔바로우용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</si>
  <si>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국내산</t>
  </si>
  <si>
    <t xml:space="preserve">정육 거래처</t>
  </si>
  <si>
    <t xml:space="preserve">P02</t>
  </si>
  <si>
    <r>
      <rPr>
        <sz val="10"/>
        <color rgb="FF0000FF"/>
        <rFont val="WenQuanYi Zen Hei"/>
        <family val="2"/>
      </rPr>
      <t xml:space="preserve">돼지 앞다리 채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육사용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</si>
  <si>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S01</t>
  </si>
  <si>
    <r>
      <rPr>
        <sz val="10"/>
        <color rgb="FF0000FF"/>
        <rFont val="WenQuanYi Zen Hei"/>
        <family val="2"/>
      </rPr>
      <t xml:space="preserve">새우꼬치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완제품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</si>
  <si>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50</t>
    </r>
    <r>
      <rPr>
        <sz val="10"/>
        <color rgb="FF0000FF"/>
        <rFont val="WenQuanYi Zen Hei"/>
        <family val="2"/>
      </rPr>
      <t xml:space="preserve">개입</t>
    </r>
  </si>
  <si>
    <t xml:space="preserve">S02</t>
  </si>
  <si>
    <r>
      <rPr>
        <sz val="10"/>
        <color rgb="FF0000FF"/>
        <rFont val="WenQuanYi Zen Hei"/>
        <family val="2"/>
      </rPr>
      <t xml:space="preserve">대하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냉동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</si>
  <si>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수입</t>
  </si>
  <si>
    <t xml:space="preserve">수산 거래처</t>
  </si>
  <si>
    <t xml:space="preserve">S03</t>
  </si>
  <si>
    <r>
      <rPr>
        <sz val="10"/>
        <color rgb="FF0000FF"/>
        <rFont val="WenQuanYi Zen Hei"/>
        <family val="2"/>
      </rPr>
      <t xml:space="preserve">민물가재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냉동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</si>
  <si>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중국산</t>
  </si>
  <si>
    <t xml:space="preserve">V01</t>
  </si>
  <si>
    <t xml:space="preserve">가지</t>
  </si>
  <si>
    <t xml:space="preserve">채소 거래처</t>
  </si>
  <si>
    <t xml:space="preserve">V02</t>
  </si>
  <si>
    <t xml:space="preserve">토마토</t>
  </si>
  <si>
    <t xml:space="preserve">V03</t>
  </si>
  <si>
    <t xml:space="preserve">감자</t>
  </si>
  <si>
    <t xml:space="preserve">V04</t>
  </si>
  <si>
    <t xml:space="preserve">피망</t>
  </si>
  <si>
    <t xml:space="preserve">V05</t>
  </si>
  <si>
    <t xml:space="preserve">오이</t>
  </si>
  <si>
    <t xml:space="preserve">V06</t>
  </si>
  <si>
    <t xml:space="preserve">양파</t>
  </si>
  <si>
    <t xml:space="preserve">V07</t>
  </si>
  <si>
    <t xml:space="preserve">대파</t>
  </si>
  <si>
    <t xml:space="preserve">V08</t>
  </si>
  <si>
    <t xml:space="preserve">깐마늘</t>
  </si>
  <si>
    <t xml:space="preserve">V09</t>
  </si>
  <si>
    <t xml:space="preserve">생강</t>
  </si>
  <si>
    <t xml:space="preserve">V10</t>
  </si>
  <si>
    <t xml:space="preserve">고수</t>
  </si>
  <si>
    <t xml:space="preserve">V11</t>
  </si>
  <si>
    <t xml:space="preserve">청경채</t>
  </si>
  <si>
    <t xml:space="preserve">V12</t>
  </si>
  <si>
    <t xml:space="preserve">숙주</t>
  </si>
  <si>
    <t xml:space="preserve">V13</t>
  </si>
  <si>
    <t xml:space="preserve">배추</t>
  </si>
  <si>
    <t xml:space="preserve">V14</t>
  </si>
  <si>
    <t xml:space="preserve">레몬</t>
  </si>
  <si>
    <t xml:space="preserve">T01</t>
  </si>
  <si>
    <t xml:space="preserve">두부</t>
  </si>
  <si>
    <t xml:space="preserve">식자재마트</t>
  </si>
  <si>
    <t xml:space="preserve">T02</t>
  </si>
  <si>
    <r>
      <rPr>
        <sz val="10"/>
        <color rgb="FF0000FF"/>
        <rFont val="WenQuanYi Zen Hei"/>
        <family val="2"/>
      </rPr>
      <t xml:space="preserve">건두부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포두부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</si>
  <si>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중국식자재</t>
  </si>
  <si>
    <t xml:space="preserve">T03</t>
  </si>
  <si>
    <t xml:space="preserve">계란</t>
  </si>
  <si>
    <r>
      <rPr>
        <sz val="10"/>
        <color rgb="FF0000FF"/>
        <rFont val="맑은 고딕"/>
        <family val="0"/>
        <charset val="1"/>
      </rPr>
      <t xml:space="preserve">30</t>
    </r>
    <r>
      <rPr>
        <sz val="10"/>
        <color rgb="FF0000FF"/>
        <rFont val="WenQuanYi Zen Hei"/>
        <family val="2"/>
      </rPr>
      <t xml:space="preserve">구</t>
    </r>
  </si>
  <si>
    <t xml:space="preserve">판</t>
  </si>
  <si>
    <t xml:space="preserve">T04</t>
  </si>
  <si>
    <t xml:space="preserve">쌀</t>
  </si>
  <si>
    <t xml:space="preserve">20kg</t>
  </si>
  <si>
    <t xml:space="preserve">포대</t>
  </si>
  <si>
    <t xml:space="preserve">T05</t>
  </si>
  <si>
    <t xml:space="preserve">냉면 사리</t>
  </si>
  <si>
    <t xml:space="preserve">2kg</t>
  </si>
  <si>
    <t xml:space="preserve">봉</t>
  </si>
  <si>
    <t xml:space="preserve">T06</t>
  </si>
  <si>
    <t xml:space="preserve">옥수수면</t>
  </si>
  <si>
    <t xml:space="preserve">1kg</t>
  </si>
  <si>
    <t xml:space="preserve">T07</t>
  </si>
  <si>
    <r>
      <rPr>
        <sz val="10"/>
        <color rgb="FF0000FF"/>
        <rFont val="WenQuanYi Zen Hei"/>
        <family val="2"/>
      </rPr>
      <t xml:space="preserve">분모자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당면</t>
    </r>
  </si>
  <si>
    <t xml:space="preserve">F01</t>
  </si>
  <si>
    <r>
      <rPr>
        <sz val="10"/>
        <color rgb="FF0000FF"/>
        <rFont val="WenQuanYi Zen Hei"/>
        <family val="2"/>
      </rPr>
      <t xml:space="preserve">물만두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냉동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</si>
  <si>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F02</t>
  </si>
  <si>
    <r>
      <rPr>
        <sz val="10"/>
        <color rgb="FF0000FF"/>
        <rFont val="WenQuanYi Zen Hei"/>
        <family val="2"/>
      </rPr>
      <t xml:space="preserve">꽃빵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냉동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</si>
  <si>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30</t>
    </r>
    <r>
      <rPr>
        <sz val="10"/>
        <color rgb="FF0000FF"/>
        <rFont val="WenQuanYi Zen Hei"/>
        <family val="2"/>
      </rPr>
      <t xml:space="preserve">개입</t>
    </r>
  </si>
  <si>
    <t xml:space="preserve">F03</t>
  </si>
  <si>
    <r>
      <rPr>
        <sz val="10"/>
        <color rgb="FF0000FF"/>
        <rFont val="WenQuanYi Zen Hei"/>
        <family val="2"/>
      </rPr>
      <t xml:space="preserve">피쉬볼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어묵</t>
    </r>
  </si>
  <si>
    <t xml:space="preserve">J01</t>
  </si>
  <si>
    <t xml:space="preserve">쯔란 시즈닝</t>
  </si>
  <si>
    <t xml:space="preserve">J02</t>
  </si>
  <si>
    <t xml:space="preserve">마라탕 소스</t>
  </si>
  <si>
    <t xml:space="preserve">500g</t>
  </si>
  <si>
    <t xml:space="preserve">J03</t>
  </si>
  <si>
    <t xml:space="preserve">마라샹궈 소스</t>
  </si>
  <si>
    <t xml:space="preserve">J04</t>
  </si>
  <si>
    <t xml:space="preserve">두반장</t>
  </si>
  <si>
    <t xml:space="preserve">통</t>
  </si>
  <si>
    <t xml:space="preserve">J05</t>
  </si>
  <si>
    <r>
      <rPr>
        <sz val="10"/>
        <color rgb="FF0000FF"/>
        <rFont val="WenQuanYi Zen Hei"/>
        <family val="2"/>
      </rPr>
      <t xml:space="preserve">첨면장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춘장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</si>
  <si>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J06</t>
  </si>
  <si>
    <t xml:space="preserve">간장</t>
  </si>
  <si>
    <t xml:space="preserve">1.8L</t>
  </si>
  <si>
    <t xml:space="preserve">병</t>
  </si>
  <si>
    <t xml:space="preserve">ml</t>
  </si>
  <si>
    <t xml:space="preserve">J07</t>
  </si>
  <si>
    <t xml:space="preserve">식초</t>
  </si>
  <si>
    <t xml:space="preserve">J08</t>
  </si>
  <si>
    <t xml:space="preserve">설탕</t>
  </si>
  <si>
    <t xml:space="preserve">3kg</t>
  </si>
  <si>
    <t xml:space="preserve">J09</t>
  </si>
  <si>
    <t xml:space="preserve">고춧가루</t>
  </si>
  <si>
    <t xml:space="preserve">J10</t>
  </si>
  <si>
    <t xml:space="preserve">건고추</t>
  </si>
  <si>
    <t xml:space="preserve">J11</t>
  </si>
  <si>
    <r>
      <rPr>
        <sz val="10"/>
        <color rgb="FF0000FF"/>
        <rFont val="WenQuanYi Zen Hei"/>
        <family val="2"/>
      </rPr>
      <t xml:space="preserve">화자오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산초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</si>
  <si>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J12</t>
  </si>
  <si>
    <t xml:space="preserve">감자전분</t>
  </si>
  <si>
    <t xml:space="preserve">O01</t>
  </si>
  <si>
    <t xml:space="preserve">식용유</t>
  </si>
  <si>
    <t xml:space="preserve">18L</t>
  </si>
  <si>
    <t xml:space="preserve">말</t>
  </si>
  <si>
    <t xml:space="preserve">O02</t>
  </si>
  <si>
    <t xml:space="preserve">참기름</t>
  </si>
  <si>
    <t xml:space="preserve">O03</t>
  </si>
  <si>
    <r>
      <rPr>
        <sz val="10"/>
        <color rgb="FF0000FF"/>
        <rFont val="WenQuanYi Zen Hei"/>
        <family val="2"/>
      </rPr>
      <t xml:space="preserve">땅콩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기본찬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</si>
  <si>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L01</t>
  </si>
  <si>
    <r>
      <rPr>
        <sz val="10"/>
        <color rgb="FF0000FF"/>
        <rFont val="WenQuanYi Zen Hei"/>
        <family val="2"/>
      </rPr>
      <t xml:space="preserve">연태구냥 </t>
    </r>
    <r>
      <rPr>
        <sz val="10"/>
        <color rgb="FF0000FF"/>
        <rFont val="맑은 고딕"/>
        <family val="0"/>
        <charset val="1"/>
      </rPr>
      <t xml:space="preserve">500ml</t>
    </r>
  </si>
  <si>
    <r>
      <rPr>
        <sz val="10"/>
        <color rgb="FF0000FF"/>
        <rFont val="맑은 고딕"/>
        <family val="0"/>
        <charset val="1"/>
      </rPr>
      <t xml:space="preserve">34</t>
    </r>
    <r>
      <rPr>
        <sz val="10"/>
        <color rgb="FF0000FF"/>
        <rFont val="WenQuanYi Zen Hei"/>
        <family val="2"/>
      </rPr>
      <t xml:space="preserve">도</t>
    </r>
  </si>
  <si>
    <t xml:space="preserve">주류 도매상</t>
  </si>
  <si>
    <t xml:space="preserve">L02</t>
  </si>
  <si>
    <r>
      <rPr>
        <sz val="10"/>
        <color rgb="FF0000FF"/>
        <rFont val="WenQuanYi Zen Hei"/>
        <family val="2"/>
      </rPr>
      <t xml:space="preserve">연태구냥 </t>
    </r>
    <r>
      <rPr>
        <sz val="10"/>
        <color rgb="FF0000FF"/>
        <rFont val="맑은 고딕"/>
        <family val="0"/>
        <charset val="1"/>
      </rPr>
      <t xml:space="preserve">250ml</t>
    </r>
  </si>
  <si>
    <t xml:space="preserve">L03</t>
  </si>
  <si>
    <r>
      <rPr>
        <sz val="10"/>
        <color rgb="FF0000FF"/>
        <rFont val="WenQuanYi Zen Hei"/>
        <family val="2"/>
      </rPr>
      <t xml:space="preserve">연태구냥 </t>
    </r>
    <r>
      <rPr>
        <sz val="10"/>
        <color rgb="FF0000FF"/>
        <rFont val="맑은 고딕"/>
        <family val="0"/>
        <charset val="1"/>
      </rPr>
      <t xml:space="preserve">125ml</t>
    </r>
  </si>
  <si>
    <t xml:space="preserve">L04</t>
  </si>
  <si>
    <r>
      <rPr>
        <sz val="10"/>
        <color rgb="FF0000FF"/>
        <rFont val="WenQuanYi Zen Hei"/>
        <family val="2"/>
      </rPr>
      <t xml:space="preserve">설원 </t>
    </r>
    <r>
      <rPr>
        <sz val="10"/>
        <color rgb="FF0000FF"/>
        <rFont val="맑은 고딕"/>
        <family val="0"/>
        <charset val="1"/>
      </rPr>
      <t xml:space="preserve">450ml</t>
    </r>
  </si>
  <si>
    <r>
      <rPr>
        <sz val="10"/>
        <color rgb="FF0000FF"/>
        <rFont val="맑은 고딕"/>
        <family val="0"/>
        <charset val="1"/>
      </rPr>
      <t xml:space="preserve">30</t>
    </r>
    <r>
      <rPr>
        <sz val="10"/>
        <color rgb="FF0000FF"/>
        <rFont val="WenQuanYi Zen Hei"/>
        <family val="2"/>
      </rPr>
      <t xml:space="preserve">도</t>
    </r>
  </si>
  <si>
    <t xml:space="preserve">L05</t>
  </si>
  <si>
    <r>
      <rPr>
        <sz val="10"/>
        <color rgb="FF0000FF"/>
        <rFont val="WenQuanYi Zen Hei"/>
        <family val="2"/>
      </rPr>
      <t xml:space="preserve">설원 </t>
    </r>
    <r>
      <rPr>
        <sz val="10"/>
        <color rgb="FF0000FF"/>
        <rFont val="맑은 고딕"/>
        <family val="0"/>
        <charset val="1"/>
      </rPr>
      <t xml:space="preserve">250ml</t>
    </r>
  </si>
  <si>
    <t xml:space="preserve">L06</t>
  </si>
  <si>
    <r>
      <rPr>
        <sz val="10"/>
        <color rgb="FF0000FF"/>
        <rFont val="WenQuanYi Zen Hei"/>
        <family val="2"/>
      </rPr>
      <t xml:space="preserve">공부가주 </t>
    </r>
    <r>
      <rPr>
        <sz val="10"/>
        <color rgb="FF0000FF"/>
        <rFont val="맑은 고딕"/>
        <family val="0"/>
        <charset val="1"/>
      </rPr>
      <t xml:space="preserve">500ml</t>
    </r>
  </si>
  <si>
    <r>
      <rPr>
        <sz val="10"/>
        <color rgb="FF0000FF"/>
        <rFont val="맑은 고딕"/>
        <family val="0"/>
        <charset val="1"/>
      </rPr>
      <t xml:space="preserve">33</t>
    </r>
    <r>
      <rPr>
        <sz val="10"/>
        <color rgb="FF0000FF"/>
        <rFont val="WenQuanYi Zen Hei"/>
        <family val="2"/>
      </rPr>
      <t xml:space="preserve">도</t>
    </r>
  </si>
  <si>
    <t xml:space="preserve">L07</t>
  </si>
  <si>
    <r>
      <rPr>
        <sz val="10"/>
        <color rgb="FF0000FF"/>
        <rFont val="WenQuanYi Zen Hei"/>
        <family val="2"/>
      </rPr>
      <t xml:space="preserve">노주탄 </t>
    </r>
    <r>
      <rPr>
        <sz val="10"/>
        <color rgb="FF0000FF"/>
        <rFont val="맑은 고딕"/>
        <family val="0"/>
        <charset val="1"/>
      </rPr>
      <t xml:space="preserve">500ml</t>
    </r>
  </si>
  <si>
    <t xml:space="preserve">L08</t>
  </si>
  <si>
    <r>
      <rPr>
        <sz val="10"/>
        <color rgb="FF0000FF"/>
        <rFont val="WenQuanYi Zen Hei"/>
        <family val="2"/>
      </rPr>
      <t xml:space="preserve">칭다오 </t>
    </r>
    <r>
      <rPr>
        <sz val="10"/>
        <color rgb="FF0000FF"/>
        <rFont val="맑은 고딕"/>
        <family val="0"/>
        <charset val="1"/>
      </rPr>
      <t xml:space="preserve">640ml</t>
    </r>
  </si>
  <si>
    <r>
      <rPr>
        <sz val="10"/>
        <color rgb="FF0000FF"/>
        <rFont val="맑은 고딕"/>
        <family val="0"/>
        <charset val="1"/>
      </rPr>
      <t xml:space="preserve">4.7</t>
    </r>
    <r>
      <rPr>
        <sz val="10"/>
        <color rgb="FF0000FF"/>
        <rFont val="WenQuanYi Zen Hei"/>
        <family val="2"/>
      </rPr>
      <t xml:space="preserve">도</t>
    </r>
  </si>
  <si>
    <t xml:space="preserve">L09</t>
  </si>
  <si>
    <r>
      <rPr>
        <sz val="10"/>
        <color rgb="FF0000FF"/>
        <rFont val="WenQuanYi Zen Hei"/>
        <family val="2"/>
      </rPr>
      <t xml:space="preserve">하얼빈 </t>
    </r>
    <r>
      <rPr>
        <sz val="10"/>
        <color rgb="FF0000FF"/>
        <rFont val="맑은 고딕"/>
        <family val="0"/>
        <charset val="1"/>
      </rPr>
      <t xml:space="preserve">500ml</t>
    </r>
  </si>
  <si>
    <r>
      <rPr>
        <sz val="10"/>
        <color rgb="FF0000FF"/>
        <rFont val="맑은 고딕"/>
        <family val="0"/>
        <charset val="1"/>
      </rPr>
      <t xml:space="preserve">4.3</t>
    </r>
    <r>
      <rPr>
        <sz val="10"/>
        <color rgb="FF0000FF"/>
        <rFont val="WenQuanYi Zen Hei"/>
        <family val="2"/>
      </rPr>
      <t xml:space="preserve">도</t>
    </r>
  </si>
  <si>
    <t xml:space="preserve">L10</t>
  </si>
  <si>
    <r>
      <rPr>
        <sz val="10"/>
        <color rgb="FF0000FF"/>
        <rFont val="WenQuanYi Zen Hei"/>
        <family val="2"/>
      </rPr>
      <t xml:space="preserve">산토리 가쿠빈 </t>
    </r>
    <r>
      <rPr>
        <sz val="10"/>
        <color rgb="FF0000FF"/>
        <rFont val="맑은 고딕"/>
        <family val="0"/>
        <charset val="1"/>
      </rPr>
      <t xml:space="preserve">700ml</t>
    </r>
  </si>
  <si>
    <t xml:space="preserve">하이볼용</t>
  </si>
  <si>
    <t xml:space="preserve">L11</t>
  </si>
  <si>
    <r>
      <rPr>
        <sz val="10"/>
        <color rgb="FF0000FF"/>
        <rFont val="WenQuanYi Zen Hei"/>
        <family val="2"/>
      </rPr>
      <t xml:space="preserve">제임슨 </t>
    </r>
    <r>
      <rPr>
        <sz val="10"/>
        <color rgb="FF0000FF"/>
        <rFont val="맑은 고딕"/>
        <family val="0"/>
        <charset val="1"/>
      </rPr>
      <t xml:space="preserve">700ml</t>
    </r>
  </si>
  <si>
    <t xml:space="preserve">L12</t>
  </si>
  <si>
    <r>
      <rPr>
        <sz val="10"/>
        <color rgb="FF0000FF"/>
        <rFont val="WenQuanYi Zen Hei"/>
        <family val="2"/>
      </rPr>
      <t xml:space="preserve">짐빔 </t>
    </r>
    <r>
      <rPr>
        <sz val="10"/>
        <color rgb="FF0000FF"/>
        <rFont val="맑은 고딕"/>
        <family val="0"/>
        <charset val="1"/>
      </rPr>
      <t xml:space="preserve">700ml</t>
    </r>
  </si>
  <si>
    <t xml:space="preserve">L13</t>
  </si>
  <si>
    <r>
      <rPr>
        <sz val="10"/>
        <color rgb="FF0000FF"/>
        <rFont val="WenQuanYi Zen Hei"/>
        <family val="2"/>
      </rPr>
      <t xml:space="preserve">커티삭 </t>
    </r>
    <r>
      <rPr>
        <sz val="10"/>
        <color rgb="FF0000FF"/>
        <rFont val="맑은 고딕"/>
        <family val="0"/>
        <charset val="1"/>
      </rPr>
      <t xml:space="preserve">700ml</t>
    </r>
  </si>
  <si>
    <t xml:space="preserve">L14</t>
  </si>
  <si>
    <r>
      <rPr>
        <sz val="10"/>
        <color rgb="FF0000FF"/>
        <rFont val="WenQuanYi Zen Hei"/>
        <family val="2"/>
      </rPr>
      <t xml:space="preserve">봄베이 사파이어 </t>
    </r>
    <r>
      <rPr>
        <sz val="10"/>
        <color rgb="FF0000FF"/>
        <rFont val="맑은 고딕"/>
        <family val="0"/>
        <charset val="1"/>
      </rPr>
      <t xml:space="preserve">750ml</t>
    </r>
  </si>
  <si>
    <t xml:space="preserve">L15</t>
  </si>
  <si>
    <r>
      <rPr>
        <sz val="10"/>
        <color rgb="FF0000FF"/>
        <rFont val="WenQuanYi Zen Hei"/>
        <family val="2"/>
      </rPr>
      <t xml:space="preserve">연태구냥 </t>
    </r>
    <r>
      <rPr>
        <sz val="10"/>
        <color rgb="FF0000FF"/>
        <rFont val="맑은 고딕"/>
        <family val="0"/>
        <charset val="1"/>
      </rPr>
      <t xml:space="preserve">500ml(</t>
    </r>
    <r>
      <rPr>
        <sz val="10"/>
        <color rgb="FF0000FF"/>
        <rFont val="WenQuanYi Zen Hei"/>
        <family val="2"/>
      </rPr>
      <t xml:space="preserve">하이볼용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</si>
  <si>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ml </t>
    </r>
    <r>
      <rPr>
        <sz val="10"/>
        <color rgb="FF0000FF"/>
        <rFont val="WenQuanYi Zen Hei"/>
        <family val="2"/>
      </rPr>
      <t xml:space="preserve">단위 원가용</t>
    </r>
  </si>
  <si>
    <t xml:space="preserve">B01</t>
  </si>
  <si>
    <r>
      <rPr>
        <sz val="10"/>
        <color rgb="FF0000FF"/>
        <rFont val="WenQuanYi Zen Hei"/>
        <family val="2"/>
      </rPr>
      <t xml:space="preserve">탄산수 </t>
    </r>
    <r>
      <rPr>
        <sz val="10"/>
        <color rgb="FF0000FF"/>
        <rFont val="맑은 고딕"/>
        <family val="0"/>
        <charset val="1"/>
      </rPr>
      <t xml:space="preserve">1.5L</t>
    </r>
  </si>
  <si>
    <t xml:space="preserve">B02</t>
  </si>
  <si>
    <r>
      <rPr>
        <sz val="10"/>
        <color rgb="FF0000FF"/>
        <rFont val="WenQuanYi Zen Hei"/>
        <family val="2"/>
      </rPr>
      <t xml:space="preserve">콜라 </t>
    </r>
    <r>
      <rPr>
        <sz val="10"/>
        <color rgb="FF0000FF"/>
        <rFont val="맑은 고딕"/>
        <family val="0"/>
        <charset val="1"/>
      </rPr>
      <t xml:space="preserve">355ml</t>
    </r>
  </si>
  <si>
    <t xml:space="preserve">캔</t>
  </si>
  <si>
    <t xml:space="preserve">B03</t>
  </si>
  <si>
    <r>
      <rPr>
        <sz val="10"/>
        <color rgb="FF0000FF"/>
        <rFont val="WenQuanYi Zen Hei"/>
        <family val="2"/>
      </rPr>
      <t xml:space="preserve">사이다 </t>
    </r>
    <r>
      <rPr>
        <sz val="10"/>
        <color rgb="FF0000FF"/>
        <rFont val="맑은 고딕"/>
        <family val="0"/>
        <charset val="1"/>
      </rPr>
      <t xml:space="preserve">355ml</t>
    </r>
  </si>
  <si>
    <t xml:space="preserve">B04</t>
  </si>
  <si>
    <t xml:space="preserve">얼음</t>
  </si>
  <si>
    <t xml:space="preserve">C01</t>
  </si>
  <si>
    <r>
      <rPr>
        <sz val="10"/>
        <color rgb="FF0000FF"/>
        <rFont val="WenQuanYi Zen Hei"/>
        <family val="2"/>
      </rPr>
      <t xml:space="preserve">숯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야자숯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</si>
  <si>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10kg</t>
  </si>
  <si>
    <t xml:space="preserve">숯 거래처</t>
  </si>
  <si>
    <t xml:space="preserve">C02</t>
  </si>
  <si>
    <t xml:space="preserve">물티슈</t>
  </si>
  <si>
    <r>
      <rPr>
        <sz val="10"/>
        <color rgb="FF0000FF"/>
        <rFont val="맑은 고딕"/>
        <family val="0"/>
        <charset val="1"/>
      </rPr>
      <t xml:space="preserve">1000</t>
    </r>
    <r>
      <rPr>
        <sz val="10"/>
        <color rgb="FF0000FF"/>
        <rFont val="WenQuanYi Zen Hei"/>
        <family val="2"/>
      </rPr>
      <t xml:space="preserve">개</t>
    </r>
  </si>
  <si>
    <t xml:space="preserve">소모품 거래처</t>
  </si>
  <si>
    <t xml:space="preserve">C03</t>
  </si>
  <si>
    <t xml:space="preserve">일회용 앞치마</t>
  </si>
  <si>
    <r>
      <rPr>
        <sz val="10"/>
        <color rgb="FF0000FF"/>
        <rFont val="맑은 고딕"/>
        <family val="0"/>
        <charset val="1"/>
      </rPr>
      <t xml:space="preserve">100</t>
    </r>
    <r>
      <rPr>
        <sz val="10"/>
        <color rgb="FF0000FF"/>
        <rFont val="WenQuanYi Zen Hei"/>
        <family val="2"/>
      </rPr>
      <t xml:space="preserve">개</t>
    </r>
  </si>
  <si>
    <t xml:space="preserve">C04</t>
  </si>
  <si>
    <t xml:space="preserve">포장용기 세트</t>
  </si>
  <si>
    <r>
      <rPr>
        <b val="true"/>
        <sz val="16"/>
        <color rgb="FF1E1928"/>
        <rFont val="WenQuanYi Zen Hei"/>
        <family val="2"/>
      </rPr>
      <t xml:space="preserve">표준 레시피 </t>
    </r>
    <r>
      <rPr>
        <b val="true"/>
        <sz val="16"/>
        <color rgb="FF1E1928"/>
        <rFont val="맑은 고딕"/>
        <family val="0"/>
        <charset val="1"/>
      </rPr>
      <t xml:space="preserve">(</t>
    </r>
    <r>
      <rPr>
        <b val="true"/>
        <sz val="16"/>
        <color rgb="FF1E1928"/>
        <rFont val="WenQuanYi Zen Hei"/>
        <family val="2"/>
      </rPr>
      <t xml:space="preserve">메뉴 </t>
    </r>
    <r>
      <rPr>
        <b val="true"/>
        <sz val="16"/>
        <color rgb="FF1E1928"/>
        <rFont val="맑은 고딕"/>
        <family val="0"/>
        <charset val="1"/>
      </rPr>
      <t xml:space="preserve">1</t>
    </r>
    <r>
      <rPr>
        <b val="true"/>
        <sz val="16"/>
        <color rgb="FF1E1928"/>
        <rFont val="WenQuanYi Zen Hei"/>
        <family val="2"/>
      </rPr>
      <t xml:space="preserve">인분 기준</t>
    </r>
    <r>
      <rPr>
        <b val="true"/>
        <sz val="16"/>
        <color rgb="FF1E1928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</si>
  <si>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메뉴명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재료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사용량만 입력하면 단위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단가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원가가 자동 계산됩니다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사용량 단위는 식자재단가의 기준단위</t>
    </r>
    <r>
      <rPr>
        <sz val="9"/>
        <color rgb="FF716969"/>
        <rFont val="맑은 고딕"/>
        <family val="0"/>
        <charset val="1"/>
      </rPr>
      <t xml:space="preserve">(g·ml·</t>
    </r>
    <r>
      <rPr>
        <sz val="9"/>
        <color rgb="FF716969"/>
        <rFont val="WenQuanYi Zen Hei"/>
        <family val="2"/>
      </rPr>
      <t xml:space="preserve">개</t>
    </r>
    <r>
      <rPr>
        <sz val="9"/>
        <color rgb="FF716969"/>
        <rFont val="맑은 고딕"/>
        <family val="0"/>
        <charset val="1"/>
      </rPr>
      <t xml:space="preserve">)</t>
    </r>
    <r>
      <rPr>
        <sz val="9"/>
        <color rgb="FF716969"/>
        <rFont val="WenQuanYi Zen Hei"/>
        <family val="2"/>
      </rPr>
      <t xml:space="preserve">와 같아야 합니다</t>
    </r>
    <r>
      <rPr>
        <sz val="9"/>
        <color rgb="FF716969"/>
        <rFont val="맑은 고딕"/>
        <family val="0"/>
        <charset val="1"/>
      </rPr>
      <t xml:space="preserve">. ※ </t>
    </r>
    <r>
      <rPr>
        <sz val="9"/>
        <color rgb="FF716969"/>
        <rFont val="WenQuanYi Zen Hei"/>
        <family val="2"/>
      </rPr>
      <t xml:space="preserve">사용량은 예시 추정치 — 실제 계량값으로 수정하세요</t>
    </r>
    <r>
      <rPr>
        <sz val="9"/>
        <color rgb="FF716969"/>
        <rFont val="맑은 고딕"/>
        <family val="0"/>
        <charset val="1"/>
      </rPr>
      <t xml:space="preserve">.</t>
    </r>
  </si>
  <si>
    <t xml:space="preserve">메뉴명</t>
  </si>
  <si>
    <r>
      <rPr>
        <b val="true"/>
        <sz val="10"/>
        <color rgb="FFFFFFFF"/>
        <rFont val="WenQuanYi Zen Hei"/>
        <family val="2"/>
      </rPr>
      <t xml:space="preserve">재료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품목명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</si>
  <si>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인분
사용량</t>
    </r>
  </si>
  <si>
    <t xml:space="preserve">단위</t>
  </si>
  <si>
    <r>
      <rPr>
        <b val="true"/>
        <sz val="10"/>
        <color rgb="FFFFFFFF"/>
        <rFont val="WenQuanYi Zen Hei"/>
        <family val="2"/>
      </rPr>
      <t xml:space="preserve">실사용 단가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단위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</si>
  <si>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재료원가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</si>
  <si>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메모</t>
  </si>
  <si>
    <r>
      <rPr>
        <sz val="10"/>
        <color rgb="FF0000FF"/>
        <rFont val="WenQuanYi Zen Hei"/>
        <family val="2"/>
      </rPr>
      <t xml:space="preserve">양다리구이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대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</si>
  <si>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양다리구이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중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</si>
  <si>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고급양갈비</t>
  </si>
  <si>
    <t xml:space="preserve">생양꼬치</t>
  </si>
  <si>
    <t xml:space="preserve">양념양꼬치</t>
  </si>
  <si>
    <t xml:space="preserve">양갈비살꼬치</t>
  </si>
  <si>
    <t xml:space="preserve">새우꼬치</t>
  </si>
  <si>
    <t xml:space="preserve">꿔바로우</t>
  </si>
  <si>
    <t xml:space="preserve">가지튀김</t>
  </si>
  <si>
    <t xml:space="preserve">토마토계란볶음</t>
  </si>
  <si>
    <t xml:space="preserve">마파두부</t>
  </si>
  <si>
    <t xml:space="preserve">향라대하</t>
  </si>
  <si>
    <t xml:space="preserve">어향육사</t>
  </si>
  <si>
    <t xml:space="preserve">경장육사</t>
  </si>
  <si>
    <t xml:space="preserve">마라탕</t>
  </si>
  <si>
    <t xml:space="preserve">소룽샤</t>
  </si>
  <si>
    <t xml:space="preserve">지삼선</t>
  </si>
  <si>
    <t xml:space="preserve">건두부볶음</t>
  </si>
  <si>
    <t xml:space="preserve">오이무침</t>
  </si>
  <si>
    <t xml:space="preserve">쯔란양고기</t>
  </si>
  <si>
    <t xml:space="preserve">마라샹궈</t>
  </si>
  <si>
    <t xml:space="preserve">건두부무침</t>
  </si>
  <si>
    <t xml:space="preserve">양탕</t>
  </si>
  <si>
    <t xml:space="preserve">계란볶음밥</t>
  </si>
  <si>
    <t xml:space="preserve">가지볶음밥</t>
  </si>
  <si>
    <t xml:space="preserve">옥수수온면</t>
  </si>
  <si>
    <t xml:space="preserve">냉면</t>
  </si>
  <si>
    <t xml:space="preserve">물만두</t>
  </si>
  <si>
    <t xml:space="preserve">꽃빵튀김</t>
  </si>
  <si>
    <r>
      <rPr>
        <sz val="10"/>
        <color rgb="FF0000FF"/>
        <rFont val="WenQuanYi Zen Hei"/>
        <family val="2"/>
      </rPr>
      <t xml:space="preserve">칭다오 맥주 </t>
    </r>
    <r>
      <rPr>
        <sz val="10"/>
        <color rgb="FF0000FF"/>
        <rFont val="맑은 고딕"/>
        <family val="0"/>
        <charset val="1"/>
      </rPr>
      <t xml:space="preserve">640ml</t>
    </r>
  </si>
  <si>
    <r>
      <rPr>
        <sz val="10"/>
        <color rgb="FF0000FF"/>
        <rFont val="WenQuanYi Zen Hei"/>
        <family val="2"/>
      </rPr>
      <t xml:space="preserve">하얼빈 맥주 </t>
    </r>
    <r>
      <rPr>
        <sz val="10"/>
        <color rgb="FF0000FF"/>
        <rFont val="맑은 고딕"/>
        <family val="0"/>
        <charset val="1"/>
      </rPr>
      <t xml:space="preserve">500ml</t>
    </r>
  </si>
  <si>
    <t xml:space="preserve">산토리하이볼</t>
  </si>
  <si>
    <t xml:space="preserve">제임슨하이볼</t>
  </si>
  <si>
    <t xml:space="preserve">짐빔하이볼</t>
  </si>
  <si>
    <t xml:space="preserve">커티삭하이볼</t>
  </si>
  <si>
    <t xml:space="preserve">봄베이하이볼</t>
  </si>
  <si>
    <t xml:space="preserve">연태하이볼</t>
  </si>
  <si>
    <r>
      <rPr>
        <b val="true"/>
        <sz val="16"/>
        <color rgb="FF1E1928"/>
        <rFont val="WenQuanYi Zen Hei"/>
        <family val="2"/>
      </rPr>
      <t xml:space="preserve">메뉴별 원가표 </t>
    </r>
    <r>
      <rPr>
        <b val="true"/>
        <sz val="16"/>
        <color rgb="FF1E1928"/>
        <rFont val="맑은 고딕"/>
        <family val="0"/>
        <charset val="1"/>
      </rPr>
      <t xml:space="preserve">· </t>
    </r>
    <r>
      <rPr>
        <b val="true"/>
        <sz val="16"/>
        <color rgb="FF1E1928"/>
        <rFont val="WenQuanYi Zen Hei"/>
        <family val="2"/>
      </rPr>
      <t xml:space="preserve">메뉴 분석</t>
    </r>
  </si>
  <si>
    <r>
      <rPr>
        <sz val="9"/>
        <color rgb="FF716969"/>
        <rFont val="WenQuanYi Zen Hei"/>
        <family val="2"/>
      </rPr>
      <t xml:space="preserve">판매가는 </t>
    </r>
    <r>
      <rPr>
        <sz val="9"/>
        <color rgb="FF716969"/>
        <rFont val="맑은 고딕"/>
        <family val="0"/>
        <charset val="1"/>
      </rPr>
      <t xml:space="preserve">VAT </t>
    </r>
    <r>
      <rPr>
        <sz val="9"/>
        <color rgb="FF716969"/>
        <rFont val="WenQuanYi Zen Hei"/>
        <family val="2"/>
      </rPr>
      <t xml:space="preserve">포함 메뉴판 가격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원가율은 공급가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판매가</t>
    </r>
    <r>
      <rPr>
        <sz val="9"/>
        <color rgb="FF716969"/>
        <rFont val="맑은 고딕"/>
        <family val="0"/>
        <charset val="1"/>
      </rPr>
      <t xml:space="preserve">÷1.1) </t>
    </r>
    <r>
      <rPr>
        <sz val="9"/>
        <color rgb="FF716969"/>
        <rFont val="WenQuanYi Zen Hei"/>
        <family val="2"/>
      </rPr>
      <t xml:space="preserve">기준</t>
    </r>
    <r>
      <rPr>
        <sz val="9"/>
        <color rgb="FF716969"/>
        <rFont val="맑은 고딕"/>
        <family val="0"/>
        <charset val="1"/>
      </rPr>
      <t xml:space="preserve">. [</t>
    </r>
    <r>
      <rPr>
        <sz val="9"/>
        <color rgb="FF716969"/>
        <rFont val="WenQuanYi Zen Hei"/>
        <family val="2"/>
      </rPr>
      <t xml:space="preserve">월 판매수량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은 </t>
    </r>
    <r>
      <rPr>
        <sz val="9"/>
        <color rgb="FF716969"/>
        <rFont val="맑은 고딕"/>
        <family val="0"/>
        <charset val="1"/>
      </rPr>
      <t xml:space="preserve">POS '</t>
    </r>
    <r>
      <rPr>
        <sz val="9"/>
        <color rgb="FF716969"/>
        <rFont val="WenQuanYi Zen Hei"/>
        <family val="2"/>
      </rPr>
      <t xml:space="preserve">메뉴별 판매현황</t>
    </r>
    <r>
      <rPr>
        <sz val="9"/>
        <color rgb="FF716969"/>
        <rFont val="맑은 고딕"/>
        <family val="0"/>
        <charset val="1"/>
      </rPr>
      <t xml:space="preserve">'</t>
    </r>
    <r>
      <rPr>
        <sz val="9"/>
        <color rgb="FF716969"/>
        <rFont val="WenQuanYi Zen Hei"/>
        <family val="2"/>
      </rPr>
      <t xml:space="preserve">에서 조회월 수량을 입력하세요</t>
    </r>
    <r>
      <rPr>
        <sz val="9"/>
        <color rgb="FF716969"/>
        <rFont val="맑은 고딕"/>
        <family val="0"/>
        <charset val="1"/>
      </rPr>
      <t xml:space="preserve">.</t>
    </r>
  </si>
  <si>
    <t xml:space="preserve">총 판매수량</t>
  </si>
  <si>
    <r>
      <rPr>
        <b val="true"/>
        <sz val="10"/>
        <rFont val="WenQuanYi Zen Hei"/>
        <family val="2"/>
      </rPr>
      <t xml:space="preserve">가중평균 공헌이익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</si>
  <si>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인기 기준수량</t>
    </r>
    <r>
      <rPr>
        <b val="true"/>
        <sz val="10"/>
        <rFont val="맑은 고딕"/>
        <family val="0"/>
        <charset val="1"/>
      </rPr>
      <t xml:space="preserve">(70% </t>
    </r>
    <r>
      <rPr>
        <b val="true"/>
        <sz val="10"/>
        <rFont val="WenQuanYi Zen Hei"/>
        <family val="2"/>
      </rPr>
      <t xml:space="preserve">법칙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</si>
  <si>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이론원가 합계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</si>
  <si>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이론 매출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공급가</t>
    </r>
    <r>
      <rPr>
        <b val="true"/>
        <sz val="10"/>
        <rFont val="맑은 고딕"/>
        <family val="0"/>
        <charset val="1"/>
      </rPr>
      <t xml:space="preserve">)</t>
    </r>
  </si>
  <si>
    <t xml:space="preserve">이론원가율</t>
  </si>
  <si>
    <t xml:space="preserve">메뉴분류</t>
  </si>
  <si>
    <t xml:space="preserve">원가구분</t>
  </si>
  <si>
    <r>
      <rPr>
        <b val="true"/>
        <sz val="10"/>
        <color rgb="FFFFFFFF"/>
        <rFont val="WenQuanYi Zen Hei"/>
        <family val="2"/>
      </rPr>
      <t xml:space="preserve">판매가
</t>
    </r>
    <r>
      <rPr>
        <b val="true"/>
        <sz val="10"/>
        <color rgb="FFFFFFFF"/>
        <rFont val="맑은 고딕"/>
        <family val="0"/>
        <charset val="1"/>
      </rPr>
      <t xml:space="preserve">(VAT</t>
    </r>
    <r>
      <rPr>
        <b val="true"/>
        <sz val="10"/>
        <color rgb="FFFFFFFF"/>
        <rFont val="WenQuanYi Zen Hei"/>
        <family val="2"/>
      </rPr>
      <t xml:space="preserve">포함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</si>
  <si>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판매가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</si>
  <si>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주재료원가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레시피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</si>
  <si>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잡재료
가산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</si>
  <si>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인분
원가</t>
    </r>
  </si>
  <si>
    <t xml:space="preserve">목표
원가율</t>
  </si>
  <si>
    <r>
      <rPr>
        <b val="true"/>
        <sz val="10"/>
        <color rgb="FFFFFFFF"/>
        <rFont val="WenQuanYi Zen Hei"/>
        <family val="2"/>
      </rPr>
      <t xml:space="preserve">공헌이익
</t>
    </r>
    <r>
      <rPr>
        <b val="true"/>
        <sz val="10"/>
        <color rgb="FFFFFFFF"/>
        <rFont val="맑은 고딕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인분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</si>
  <si>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월
판매수량</t>
  </si>
  <si>
    <r>
      <rPr>
        <b val="true"/>
        <sz val="10"/>
        <color rgb="FFFFFFFF"/>
        <rFont val="WenQuanYi Zen Hei"/>
        <family val="2"/>
      </rPr>
      <t xml:space="preserve">매출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</si>
  <si>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매출
비중</t>
  </si>
  <si>
    <t xml:space="preserve">메뉴분석</t>
  </si>
  <si>
    <t xml:space="preserve">시그니처 양다리</t>
  </si>
  <si>
    <r>
      <rPr>
        <sz val="10"/>
        <color rgb="FF0000FF"/>
        <rFont val="WenQuanYi Zen Hei"/>
        <family val="2"/>
      </rPr>
      <t xml:space="preserve">양꼬치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세트</t>
    </r>
  </si>
  <si>
    <r>
      <rPr>
        <sz val="10"/>
        <color rgb="FF0000FF"/>
        <rFont val="WenQuanYi Zen Hei"/>
        <family val="2"/>
      </rPr>
      <t xml:space="preserve">중국요리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탕</t>
    </r>
  </si>
  <si>
    <r>
      <rPr>
        <sz val="10"/>
        <color rgb="FF0000FF"/>
        <rFont val="WenQuanYi Zen Hei"/>
        <family val="2"/>
      </rPr>
      <t xml:space="preserve">식사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면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디저트</t>
    </r>
  </si>
  <si>
    <r>
      <rPr>
        <sz val="10"/>
        <color rgb="FF0000FF"/>
        <rFont val="WenQuanYi Zen Hei"/>
        <family val="2"/>
      </rPr>
      <t xml:space="preserve">주류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WenQuanYi Zen Hei"/>
        <family val="2"/>
      </rPr>
      <t xml:space="preserve">하이볼</t>
    </r>
  </si>
  <si>
    <r>
      <rPr>
        <sz val="9"/>
        <color rgb="FF716969"/>
        <rFont val="WenQuanYi Zen Hei"/>
        <family val="2"/>
      </rPr>
      <t xml:space="preserve">※ 메뉴분석</t>
    </r>
    <r>
      <rPr>
        <sz val="9"/>
        <color rgb="FF716969"/>
        <rFont val="맑은 고딕"/>
        <family val="0"/>
        <charset val="1"/>
      </rPr>
      <t xml:space="preserve">: </t>
    </r>
    <r>
      <rPr>
        <sz val="9"/>
        <color rgb="FF716969"/>
        <rFont val="WenQuanYi Zen Hei"/>
        <family val="2"/>
      </rPr>
      <t xml:space="preserve">판매수량이 </t>
    </r>
    <r>
      <rPr>
        <sz val="9"/>
        <color rgb="FF716969"/>
        <rFont val="맑은 고딕"/>
        <family val="0"/>
        <charset val="1"/>
      </rPr>
      <t xml:space="preserve">'</t>
    </r>
    <r>
      <rPr>
        <sz val="9"/>
        <color rgb="FF716969"/>
        <rFont val="WenQuanYi Zen Hei"/>
        <family val="2"/>
      </rPr>
      <t xml:space="preserve">인기 기준수량</t>
    </r>
    <r>
      <rPr>
        <sz val="9"/>
        <color rgb="FF716969"/>
        <rFont val="맑은 고딕"/>
        <family val="0"/>
        <charset val="1"/>
      </rPr>
      <t xml:space="preserve">' </t>
    </r>
    <r>
      <rPr>
        <sz val="9"/>
        <color rgb="FF716969"/>
        <rFont val="WenQuanYi Zen Hei"/>
        <family val="2"/>
      </rPr>
      <t xml:space="preserve">이상이면 인기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공헌이익이 </t>
    </r>
    <r>
      <rPr>
        <sz val="9"/>
        <color rgb="FF716969"/>
        <rFont val="맑은 고딕"/>
        <family val="0"/>
        <charset val="1"/>
      </rPr>
      <t xml:space="preserve">'</t>
    </r>
    <r>
      <rPr>
        <sz val="9"/>
        <color rgb="FF716969"/>
        <rFont val="WenQuanYi Zen Hei"/>
        <family val="2"/>
      </rPr>
      <t xml:space="preserve">가중평균 공헌이익</t>
    </r>
    <r>
      <rPr>
        <sz val="9"/>
        <color rgb="FF716969"/>
        <rFont val="맑은 고딕"/>
        <family val="0"/>
        <charset val="1"/>
      </rPr>
      <t xml:space="preserve">' </t>
    </r>
    <r>
      <rPr>
        <sz val="9"/>
        <color rgb="FF716969"/>
        <rFont val="WenQuanYi Zen Hei"/>
        <family val="2"/>
      </rPr>
      <t xml:space="preserve">이상이면 고마진 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메뉴 엔지니어링 기법</t>
    </r>
    <r>
      <rPr>
        <sz val="9"/>
        <color rgb="FF716969"/>
        <rFont val="맑은 고딕"/>
        <family val="0"/>
        <charset val="1"/>
      </rPr>
      <t xml:space="preserve">). </t>
    </r>
    <r>
      <rPr>
        <sz val="9"/>
        <color rgb="FF716969"/>
        <rFont val="WenQuanYi Zen Hei"/>
        <family val="2"/>
      </rPr>
      <t xml:space="preserve">음식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주류를 함께 비교하므로 참고용으로 보세요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</si>
  <si>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sz val="9"/>
        <color rgb="FF716969"/>
        <rFont val="WenQuanYi Zen Hei"/>
        <family val="2"/>
      </rPr>
      <t xml:space="preserve">매일 </t>
    </r>
    <r>
      <rPr>
        <sz val="9"/>
        <color rgb="FF716969"/>
        <rFont val="맑은 고딕"/>
        <family val="0"/>
        <charset val="1"/>
      </rPr>
      <t xml:space="preserve">POS </t>
    </r>
    <r>
      <rPr>
        <sz val="9"/>
        <color rgb="FF716969"/>
        <rFont val="WenQuanYi Zen Hei"/>
        <family val="2"/>
      </rPr>
      <t xml:space="preserve">마감 후 지점별 </t>
    </r>
    <r>
      <rPr>
        <sz val="9"/>
        <color rgb="FF716969"/>
        <rFont val="맑은 고딕"/>
        <family val="0"/>
        <charset val="1"/>
      </rPr>
      <t xml:space="preserve">1</t>
    </r>
    <r>
      <rPr>
        <sz val="9"/>
        <color rgb="FF716969"/>
        <rFont val="WenQuanYi Zen Hei"/>
        <family val="2"/>
      </rPr>
      <t xml:space="preserve">줄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금액은 </t>
    </r>
    <r>
      <rPr>
        <sz val="9"/>
        <color rgb="FF716969"/>
        <rFont val="맑은 고딕"/>
        <family val="0"/>
        <charset val="1"/>
      </rPr>
      <t xml:space="preserve">VAT </t>
    </r>
    <r>
      <rPr>
        <sz val="9"/>
        <color rgb="FF716969"/>
        <rFont val="WenQuanYi Zen Hei"/>
        <family val="2"/>
      </rPr>
      <t xml:space="preserve">포함 실매출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할인 후</t>
    </r>
    <r>
      <rPr>
        <sz val="9"/>
        <color rgb="FF716969"/>
        <rFont val="맑은 고딕"/>
        <family val="0"/>
        <charset val="1"/>
      </rPr>
      <t xml:space="preserve">). [</t>
    </r>
    <r>
      <rPr>
        <sz val="9"/>
        <color rgb="FF716969"/>
        <rFont val="WenQuanYi Zen Hei"/>
        <family val="2"/>
      </rPr>
      <t xml:space="preserve">주류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음료 매출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은 </t>
    </r>
    <r>
      <rPr>
        <sz val="9"/>
        <color rgb="FF716969"/>
        <rFont val="맑은 고딕"/>
        <family val="0"/>
        <charset val="1"/>
      </rPr>
      <t xml:space="preserve">POS </t>
    </r>
    <r>
      <rPr>
        <sz val="9"/>
        <color rgb="FF716969"/>
        <rFont val="WenQuanYi Zen Hei"/>
        <family val="2"/>
      </rPr>
      <t xml:space="preserve">분류별 매출에서 확인하세요</t>
    </r>
    <r>
      <rPr>
        <sz val="9"/>
        <color rgb="FF716969"/>
        <rFont val="맑은 고딕"/>
        <family val="0"/>
        <charset val="1"/>
      </rPr>
      <t xml:space="preserve">.</t>
    </r>
  </si>
  <si>
    <t xml:space="preserve">날짜</t>
  </si>
  <si>
    <r>
      <rPr>
        <b val="true"/>
        <sz val="10"/>
        <color rgb="FFFFFFFF"/>
        <rFont val="WenQuanYi Zen Hei"/>
        <family val="2"/>
      </rPr>
      <t xml:space="preserve">계좌이체
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기타</t>
    </r>
  </si>
  <si>
    <t xml:space="preserve">배달앱</t>
  </si>
  <si>
    <r>
      <rPr>
        <b val="true"/>
        <sz val="10"/>
        <color rgb="FFFFFFFF"/>
        <rFont val="WenQuanYi Zen Hei"/>
        <family val="2"/>
      </rPr>
      <t xml:space="preserve">그중 주류</t>
    </r>
    <r>
      <rPr>
        <b val="true"/>
        <sz val="10"/>
        <color rgb="FFFFFFFF"/>
        <rFont val="맑은 고딕"/>
        <family val="0"/>
        <charset val="1"/>
      </rPr>
      <t xml:space="preserve">·
</t>
    </r>
    <r>
      <rPr>
        <b val="true"/>
        <sz val="10"/>
        <color rgb="FFFFFFFF"/>
        <rFont val="WenQuanYi Zen Hei"/>
        <family val="2"/>
      </rPr>
      <t xml:space="preserve">음료 매출</t>
    </r>
  </si>
  <si>
    <t xml:space="preserve">테이블수</t>
  </si>
  <si>
    <t xml:space="preserve">비고</t>
  </si>
  <si>
    <r>
      <rPr>
        <sz val="10"/>
        <color rgb="FF0000FF"/>
        <rFont val="WenQuanYi Zen Hei"/>
        <family val="2"/>
      </rPr>
      <t xml:space="preserve">예시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삭제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</si>
  <si>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b val="true"/>
        <sz val="16"/>
        <color rgb="FF1E1928"/>
        <rFont val="WenQuanYi Zen Hei"/>
        <family val="2"/>
      </rPr>
      <t xml:space="preserve">매입장 </t>
    </r>
    <r>
      <rPr>
        <b val="true"/>
        <sz val="16"/>
        <color rgb="FF1E1928"/>
        <rFont val="맑은 고딕"/>
        <family val="0"/>
        <charset val="1"/>
      </rPr>
      <t xml:space="preserve">(</t>
    </r>
    <r>
      <rPr>
        <b val="true"/>
        <sz val="16"/>
        <color rgb="FF1E1928"/>
        <rFont val="WenQuanYi Zen Hei"/>
        <family val="2"/>
      </rPr>
      <t xml:space="preserve">식자재</t>
    </r>
    <r>
      <rPr>
        <b val="true"/>
        <sz val="16"/>
        <color rgb="FF1E1928"/>
        <rFont val="맑은 고딕"/>
        <family val="0"/>
        <charset val="1"/>
      </rPr>
      <t xml:space="preserve">·</t>
    </r>
    <r>
      <rPr>
        <b val="true"/>
        <sz val="16"/>
        <color rgb="FF1E1928"/>
        <rFont val="WenQuanYi Zen Hei"/>
        <family val="2"/>
      </rPr>
      <t xml:space="preserve">주류</t>
    </r>
    <r>
      <rPr>
        <b val="true"/>
        <sz val="16"/>
        <color rgb="FF1E1928"/>
        <rFont val="맑은 고딕"/>
        <family val="0"/>
        <charset val="1"/>
      </rPr>
      <t xml:space="preserve">·</t>
    </r>
    <r>
      <rPr>
        <b val="true"/>
        <sz val="16"/>
        <color rgb="FF1E1928"/>
        <rFont val="WenQuanYi Zen Hei"/>
        <family val="2"/>
      </rPr>
      <t xml:space="preserve">소모품 매입</t>
    </r>
    <r>
      <rPr>
        <b val="true"/>
        <sz val="16"/>
        <color rgb="FF1E1928"/>
        <rFont val="맑은 고딕"/>
        <family val="0"/>
        <charset val="1"/>
      </rPr>
      <t xml:space="preserve">)</t>
    </r>
  </si>
  <si>
    <r>
      <rPr>
        <sz val="9"/>
        <color rgb="FF716969"/>
        <rFont val="WenQuanYi Zen Hei"/>
        <family val="2"/>
      </rPr>
      <t xml:space="preserve">거래명세서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영수증 </t>
    </r>
    <r>
      <rPr>
        <sz val="9"/>
        <color rgb="FF716969"/>
        <rFont val="맑은 고딕"/>
        <family val="0"/>
        <charset val="1"/>
      </rPr>
      <t xml:space="preserve">1</t>
    </r>
    <r>
      <rPr>
        <sz val="9"/>
        <color rgb="FF716969"/>
        <rFont val="WenQuanYi Zen Hei"/>
        <family val="2"/>
      </rPr>
      <t xml:space="preserve">품목당 </t>
    </r>
    <r>
      <rPr>
        <sz val="9"/>
        <color rgb="FF716969"/>
        <rFont val="맑은 고딕"/>
        <family val="0"/>
        <charset val="1"/>
      </rPr>
      <t xml:space="preserve">1</t>
    </r>
    <r>
      <rPr>
        <sz val="9"/>
        <color rgb="FF716969"/>
        <rFont val="WenQuanYi Zen Hei"/>
        <family val="2"/>
      </rPr>
      <t xml:space="preserve">줄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품목을 고르면 분류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단위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과세구분이 자동 입력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직접 수정 가능</t>
    </r>
    <r>
      <rPr>
        <sz val="9"/>
        <color rgb="FF716969"/>
        <rFont val="맑은 고딕"/>
        <family val="0"/>
        <charset val="1"/>
      </rPr>
      <t xml:space="preserve">). </t>
    </r>
    <r>
      <rPr>
        <sz val="9"/>
        <color rgb="FF716969"/>
        <rFont val="WenQuanYi Zen Hei"/>
        <family val="2"/>
      </rPr>
      <t xml:space="preserve">목록에 없는 품목은 직접 입력하고 분류를 꼭 고르세요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수량</t>
    </r>
    <r>
      <rPr>
        <sz val="9"/>
        <color rgb="FF716969"/>
        <rFont val="맑은 고딕"/>
        <family val="0"/>
        <charset val="1"/>
      </rPr>
      <t xml:space="preserve">·</t>
    </r>
    <r>
      <rPr>
        <sz val="9"/>
        <color rgb="FF716969"/>
        <rFont val="WenQuanYi Zen Hei"/>
        <family val="2"/>
      </rPr>
      <t xml:space="preserve">단가 없이 금액만 있으면 </t>
    </r>
    <r>
      <rPr>
        <sz val="9"/>
        <color rgb="FF716969"/>
        <rFont val="맑은 고딕"/>
        <family val="0"/>
        <charset val="1"/>
      </rPr>
      <t xml:space="preserve">[</t>
    </r>
    <r>
      <rPr>
        <sz val="9"/>
        <color rgb="FF716969"/>
        <rFont val="WenQuanYi Zen Hei"/>
        <family val="2"/>
      </rPr>
      <t xml:space="preserve">공급가액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에 직접 입력해도 됩니다</t>
    </r>
    <r>
      <rPr>
        <sz val="9"/>
        <color rgb="FF716969"/>
        <rFont val="맑은 고딕"/>
        <family val="0"/>
        <charset val="1"/>
      </rPr>
      <t xml:space="preserve">.</t>
    </r>
  </si>
  <si>
    <t xml:space="preserve">거래처</t>
  </si>
  <si>
    <t xml:space="preserve">수량</t>
  </si>
  <si>
    <r>
      <rPr>
        <b val="true"/>
        <sz val="10"/>
        <color rgb="FFFFFFFF"/>
        <rFont val="WenQuanYi Zen Hei"/>
        <family val="2"/>
      </rPr>
      <t xml:space="preserve">단가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공급가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</si>
  <si>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공급가액</t>
  </si>
  <si>
    <t xml:space="preserve">부가세</t>
  </si>
  <si>
    <r>
      <rPr>
        <b val="true"/>
        <sz val="10"/>
        <color rgb="FFFFFFFF"/>
        <rFont val="WenQuanYi Zen Hei"/>
        <family val="2"/>
      </rPr>
      <t xml:space="preserve">합계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결제액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</si>
  <si>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원가그룹
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</si>
  <si>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FF"/>
        <rFont val="WenQuanYi Zen Hei"/>
        <family val="2"/>
      </rPr>
      <t xml:space="preserve">계산서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WenQuanYi Zen Hei"/>
        <family val="2"/>
      </rPr>
      <t xml:space="preserve">면세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</si>
  <si>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월말 재고실사</t>
  </si>
  <si>
    <r>
      <rPr>
        <sz val="9"/>
        <color rgb="FF716969"/>
        <rFont val="WenQuanYi Zen Hei"/>
        <family val="2"/>
      </rPr>
      <t xml:space="preserve">매월 말일 영업 종료 후 남은 수량을 해당 월 칸에 입력</t>
    </r>
    <r>
      <rPr>
        <sz val="9"/>
        <color rgb="FF716969"/>
        <rFont val="맑은 고딕"/>
        <family val="0"/>
        <charset val="1"/>
      </rPr>
      <t xml:space="preserve">(</t>
    </r>
    <r>
      <rPr>
        <sz val="9"/>
        <color rgb="FF716969"/>
        <rFont val="WenQuanYi Zen Hei"/>
        <family val="2"/>
      </rPr>
      <t xml:space="preserve">구매단위 기준</t>
    </r>
    <r>
      <rPr>
        <sz val="9"/>
        <color rgb="FF716969"/>
        <rFont val="맑은 고딕"/>
        <family val="0"/>
        <charset val="1"/>
      </rPr>
      <t xml:space="preserve">, </t>
    </r>
    <r>
      <rPr>
        <sz val="9"/>
        <color rgb="FF716969"/>
        <rFont val="WenQuanYi Zen Hei"/>
        <family val="2"/>
      </rPr>
      <t xml:space="preserve">소수 가능</t>
    </r>
    <r>
      <rPr>
        <sz val="9"/>
        <color rgb="FF716969"/>
        <rFont val="맑은 고딕"/>
        <family val="0"/>
        <charset val="1"/>
      </rPr>
      <t xml:space="preserve">: </t>
    </r>
    <r>
      <rPr>
        <sz val="9"/>
        <color rgb="FF716969"/>
        <rFont val="WenQuanYi Zen Hei"/>
        <family val="2"/>
      </rPr>
      <t xml:space="preserve">양다리 </t>
    </r>
    <r>
      <rPr>
        <sz val="9"/>
        <color rgb="FF716969"/>
        <rFont val="맑은 고딕"/>
        <family val="0"/>
        <charset val="1"/>
      </rPr>
      <t xml:space="preserve">3.5kg, </t>
    </r>
    <r>
      <rPr>
        <sz val="9"/>
        <color rgb="FF716969"/>
        <rFont val="WenQuanYi Zen Hei"/>
        <family val="2"/>
      </rPr>
      <t xml:space="preserve">양꼬치 </t>
    </r>
    <r>
      <rPr>
        <sz val="9"/>
        <color rgb="FF716969"/>
        <rFont val="맑은 고딕"/>
        <family val="0"/>
        <charset val="1"/>
      </rPr>
      <t xml:space="preserve">0.4</t>
    </r>
    <r>
      <rPr>
        <sz val="9"/>
        <color rgb="FF716969"/>
        <rFont val="WenQuanYi Zen Hei"/>
        <family val="2"/>
      </rPr>
      <t xml:space="preserve">박스</t>
    </r>
    <r>
      <rPr>
        <sz val="9"/>
        <color rgb="FF716969"/>
        <rFont val="맑은 고딕"/>
        <family val="0"/>
        <charset val="1"/>
      </rPr>
      <t xml:space="preserve">). [</t>
    </r>
    <r>
      <rPr>
        <sz val="9"/>
        <color rgb="FF716969"/>
        <rFont val="WenQuanYi Zen Hei"/>
        <family val="2"/>
      </rPr>
      <t xml:space="preserve">전년말 재고</t>
    </r>
    <r>
      <rPr>
        <sz val="9"/>
        <color rgb="FF716969"/>
        <rFont val="맑은 고딕"/>
        <family val="0"/>
        <charset val="1"/>
      </rPr>
      <t xml:space="preserve">]</t>
    </r>
    <r>
      <rPr>
        <sz val="9"/>
        <color rgb="FF716969"/>
        <rFont val="WenQuanYi Zen Hei"/>
        <family val="2"/>
      </rPr>
      <t xml:space="preserve">는 </t>
    </r>
    <r>
      <rPr>
        <sz val="9"/>
        <color rgb="FF716969"/>
        <rFont val="맑은 고딕"/>
        <family val="0"/>
        <charset val="1"/>
      </rPr>
      <t xml:space="preserve">1</t>
    </r>
    <r>
      <rPr>
        <sz val="9"/>
        <color rgb="FF716969"/>
        <rFont val="WenQuanYi Zen Hei"/>
        <family val="2"/>
      </rPr>
      <t xml:space="preserve">월 기초재고입니다</t>
    </r>
    <r>
      <rPr>
        <sz val="9"/>
        <color rgb="FF716969"/>
        <rFont val="맑은 고딕"/>
        <family val="0"/>
        <charset val="1"/>
      </rPr>
      <t xml:space="preserve">. </t>
    </r>
    <r>
      <rPr>
        <sz val="9"/>
        <color rgb="FF716969"/>
        <rFont val="WenQuanYi Zen Hei"/>
        <family val="2"/>
      </rPr>
      <t xml:space="preserve">단가는 식자재단가에서 자동으로 불러옵니다</t>
    </r>
    <r>
      <rPr>
        <sz val="9"/>
        <color rgb="FF716969"/>
        <rFont val="맑은 고딕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</si>
  <si>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분류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자동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</si>
  <si>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구매
단위</t>
  </si>
  <si>
    <t xml:space="preserve">전년말
재고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</si>
  <si>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</si>
  <si>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</si>
  <si>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</si>
  <si>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</si>
  <si>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</si>
  <si>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</si>
  <si>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</si>
  <si>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</si>
  <si>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</si>
  <si>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</si>
  <si>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월말</t>
    </r>
  </si>
  <si>
    <r>
      <rPr>
        <b val="true"/>
        <sz val="10"/>
        <color rgb="FFFFFFFF"/>
        <rFont val="맑은 고딕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월말</t>
    </r>
  </si>
  <si>
    <t xml:space="preserve">조회월
기말수량</t>
  </si>
  <si>
    <t xml:space="preserve">조회월
기말금액</t>
  </si>
  <si>
    <t xml:space="preserve">조회월
기초수량</t>
  </si>
  <si>
    <t xml:space="preserve">조회월
기초금액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</si>
</sst>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0.00%"/>
    <numFmt numFmtId="167" formatCode="0\월"/>
    <numFmt numFmtId="168" formatCode="0.0%;\(0.0%\);\-"/>
    <numFmt numFmtId="169" formatCode="#,##0;\(#,##0\);\-"/>
    <numFmt numFmtId="170" formatCode="#,##0"/>
    <numFmt numFmtId="171" formatCode="0.0%"/>
    <numFmt numFmtId="172" formatCode="yyyy\-mm\-dd"/>
    <numFmt numFmtId="173" formatCode="#,##0.0#;\(#,##0.0#\);\-"/>
    <numFmt numFmtId="174" formatCode="0%"/>
    <numFmt numFmtId="175" formatCode="#,##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1928"/>
      <name val="WenQuanYi Zen Hei"/>
      <family val="2"/>
    </font>
    <font>
      <sz val="9"/>
      <color rgb="FF716969"/>
      <name val="WenQuanYi Zen Hei"/>
      <family val="2"/>
    </font>
    <font>
      <sz val="9"/>
      <color rgb="FF716969"/>
      <name val="맑은 고딕"/>
      <family val="0"/>
      <charset val="1"/>
    </font>
    <font>
      <b val="true"/>
      <sz val="12"/>
      <color rgb="FFF54B1E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맑은 고딕"/>
      <family val="0"/>
      <charset val="1"/>
    </font>
    <font>
      <b val="true"/>
      <sz val="10"/>
      <color rgb="FF0000FF"/>
      <name val="WenQuanYi Zen Hei"/>
      <family val="2"/>
    </font>
    <font>
      <b val="true"/>
      <sz val="10"/>
      <color rgb="FF0000FF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color rgb="FF008000"/>
      <name val="WenQuanYi Zen Hei"/>
      <family val="2"/>
    </font>
    <font>
      <sz val="10"/>
      <color rgb="FF0000FF"/>
      <name val="WenQuanYi Zen Hei"/>
      <family val="2"/>
    </font>
    <font>
      <b val="true"/>
      <sz val="10"/>
      <color rgb="FFFFFFFF"/>
      <name val="WenQuanYi Zen Hei"/>
      <family val="2"/>
    </font>
    <font>
      <sz val="10"/>
      <color rgb="FF0000FF"/>
      <name val="맑은 고딕"/>
      <family val="0"/>
      <charset val="1"/>
    </font>
    <font>
      <sz val="10"/>
      <name val="Arial"/>
      <family val="2"/>
    </font>
    <font>
      <b val="true"/>
      <sz val="10"/>
      <color rgb="FF555055"/>
      <name val="WenQuanYi Zen Hei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008000"/>
      <name val="맑은 고딕"/>
      <family val="0"/>
      <charset val="1"/>
    </font>
    <font>
      <sz val="10"/>
      <color rgb="FF008000"/>
      <name val="맑은 고딕"/>
      <family val="0"/>
      <charset val="1"/>
    </font>
    <font>
      <b val="true"/>
      <sz val="11"/>
      <name val="맑은 고딕"/>
      <family val="0"/>
      <charset val="1"/>
    </font>
    <font>
      <b val="true"/>
      <sz val="12"/>
      <color rgb="FFF54B1E"/>
      <name val="맑은 고딕"/>
      <family val="0"/>
      <charset val="1"/>
    </font>
    <font>
      <b val="true"/>
      <sz val="16"/>
      <color rgb="FF1E1928"/>
      <name val="맑은 고딕"/>
      <family val="0"/>
      <charset val="1"/>
    </font>
    <font>
      <sz val="10"/>
      <color rgb="FF008000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DEBD0"/>
      </patternFill>
    </fill>
    <fill>
      <patternFill patternType="solid">
        <fgColor rgb="FFF5EBE1"/>
        <bgColor rgb="FFFEEAE2"/>
      </patternFill>
    </fill>
    <fill>
      <patternFill patternType="solid">
        <fgColor rgb="FF1E1928"/>
        <bgColor rgb="FF333300"/>
      </patternFill>
    </fill>
    <fill>
      <patternFill patternType="solid">
        <fgColor rgb="FFFEEAE2"/>
        <bgColor rgb="FFF5EBE1"/>
      </patternFill>
    </fill>
    <fill>
      <patternFill patternType="solid">
        <fgColor rgb="FFDCE9F5"/>
        <bgColor rgb="FFD5EF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ont>
        <name val="맑은 고딕"/>
        <charset val="1"/>
        <family val="0"/>
        <b val="1"/>
        <color rgb="FFC8322A"/>
        <sz val="11"/>
      </font>
    </dxf>
    <dxf>
      <font>
        <name val="맑은 고딕"/>
        <charset val="1"/>
        <family val="0"/>
        <b val="1"/>
        <color rgb="FFC8322A"/>
      </font>
    </dxf>
    <dxf>
      <font>
        <name val="맑은 고딕"/>
        <charset val="1"/>
        <family val="0"/>
        <b val="1"/>
        <color rgb="FF187A56"/>
      </font>
    </dxf>
    <dxf>
      <font>
        <name val="맑은 고딕"/>
        <charset val="1"/>
        <family val="0"/>
        <b val="1"/>
        <color rgb="FFC8322A"/>
      </font>
      <fill>
        <patternFill>
          <bgColor rgb="FFF8D7D5"/>
        </patternFill>
      </fill>
    </dxf>
    <dxf>
      <font>
        <name val="맑은 고딕"/>
        <charset val="1"/>
        <family val="0"/>
        <b val="1"/>
        <color rgb="FF9C5700"/>
      </font>
      <fill>
        <patternFill>
          <bgColor rgb="FFFDEBD0"/>
        </patternFill>
      </fill>
    </dxf>
    <dxf>
      <font>
        <name val="맑은 고딕"/>
        <charset val="1"/>
        <family val="0"/>
        <b val="1"/>
        <color rgb="FF187A56"/>
      </font>
      <fill>
        <patternFill>
          <bgColor rgb="FFD5EFE3"/>
        </patternFill>
      </fill>
    </dxf>
    <dxf>
      <fill>
        <patternFill>
          <bgColor rgb="FFFDEBD0"/>
        </patternFill>
      </fill>
    </dxf>
    <dxf>
      <fill>
        <patternFill>
          <bgColor rgb="FFD5EFE3"/>
        </patternFill>
      </fill>
    </dxf>
    <dxf>
      <font>
        <name val="맑은 고딕"/>
        <charset val="1"/>
        <family val="0"/>
        <color rgb="FFC8322A"/>
      </font>
    </dxf>
    <dxf>
      <fill>
        <patternFill patternType="solid">
          <fgColor rgb="FF1E192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>
          <bgColor rgb="FFF8D7D5"/>
        </patternFill>
      </fill>
    </dxf>
    <dxf>
      <fill>
        <patternFill patternType="solid">
          <fgColor rgb="FFD5EFE3"/>
          <bgColor rgb="FF000000"/>
        </patternFill>
      </fill>
    </dxf>
    <dxf>
      <fill>
        <patternFill patternType="solid">
          <fgColor rgb="FFF8D7D5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187A5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C8322A"/>
          <bgColor rgb="FF000000"/>
        </patternFill>
      </fill>
    </dxf>
    <dxf>
      <font>
        <name val="맑은 고딕"/>
        <charset val="1"/>
        <family val="0"/>
        <i val="1"/>
        <color rgb="FF716969"/>
      </font>
    </dxf>
    <dxf>
      <fill>
        <patternFill patternType="solid">
          <fgColor rgb="FFFFE08A"/>
          <bgColor rgb="FF000000"/>
        </patternFill>
      </fill>
    </dxf>
    <dxf>
      <fill>
        <patternFill>
          <bgColor rgb="FFFFE08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87A56"/>
      <rgbColor rgb="FFD0C8C0"/>
      <rgbColor rgb="FF808080"/>
      <rgbColor rgb="FF9999FF"/>
      <rgbColor rgb="FFC8322A"/>
      <rgbColor rgb="FFFFF2CC"/>
      <rgbColor rgb="FFDCE9F5"/>
      <rgbColor rgb="FF660066"/>
      <rgbColor rgb="FFFF8080"/>
      <rgbColor rgb="FF0066CC"/>
      <rgbColor rgb="FFF8D7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EBE1"/>
      <rgbColor rgb="FFD5EFE3"/>
      <rgbColor rgb="FFFDEBD0"/>
      <rgbColor rgb="FFFEEAE2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54B1E"/>
      <rgbColor rgb="FF716969"/>
      <rgbColor rgb="FF969696"/>
      <rgbColor rgb="FF003366"/>
      <rgbColor rgb="FF339966"/>
      <rgbColor rgb="FF003300"/>
      <rgbColor rgb="FF333300"/>
      <rgbColor rgb="FF9C5700"/>
      <rgbColor rgb="FF993366"/>
      <rgbColor rgb="FF555055"/>
      <rgbColor rgb="FF1E19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1928"/>
    <pageSetUpPr fitToPage="false"/>
  </sheetPr>
  <dimension ref="B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27.75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6" t="s">
        <v>6</v>
      </c>
    </row>
    <row r="7" customFormat="false" ht="15" hidden="false" customHeight="false" outlineLevel="0" collapsed="false">
      <c r="B7" s="4" t="s">
        <v>7</v>
      </c>
      <c r="C7" s="5" t="s">
        <v>8</v>
      </c>
    </row>
    <row r="8" customFormat="false" ht="15" hidden="false" customHeight="false" outlineLevel="0" collapsed="false">
      <c r="B8" s="4" t="s">
        <v>9</v>
      </c>
      <c r="C8" s="5" t="s">
        <v>10</v>
      </c>
    </row>
    <row r="9" customFormat="false" ht="15" hidden="false" customHeight="false" outlineLevel="0" collapsed="false">
      <c r="B9" s="4" t="s">
        <v>11</v>
      </c>
      <c r="C9" s="5" t="s">
        <v>12</v>
      </c>
    </row>
    <row r="10" customFormat="false" ht="15" hidden="false" customHeight="false" outlineLevel="0" collapsed="false">
      <c r="B10" s="4" t="s">
        <v>13</v>
      </c>
      <c r="C10" s="5" t="s">
        <v>14</v>
      </c>
    </row>
    <row r="11" customFormat="false" ht="15" hidden="false" customHeight="false" outlineLevel="0" collapsed="false">
      <c r="B11" s="4" t="s">
        <v>15</v>
      </c>
      <c r="C11" s="5" t="s">
        <v>16</v>
      </c>
    </row>
    <row r="12" customFormat="false" ht="15" hidden="false" customHeight="false" outlineLevel="0" collapsed="false">
      <c r="B12" s="4" t="s">
        <v>17</v>
      </c>
      <c r="C12" s="5" t="s">
        <v>18</v>
      </c>
    </row>
    <row r="13" customFormat="false" ht="15" hidden="false" customHeight="false" outlineLevel="0" collapsed="false">
      <c r="B13" s="4" t="s">
        <v>19</v>
      </c>
      <c r="C13" s="5" t="s">
        <v>20</v>
      </c>
    </row>
    <row r="14" customFormat="false" ht="15" hidden="false" customHeight="false" outlineLevel="0" collapsed="false">
      <c r="B14" s="4" t="s">
        <v>21</v>
      </c>
      <c r="C14" s="5" t="s">
        <v>22</v>
      </c>
    </row>
    <row r="15" customFormat="false" ht="15" hidden="false" customHeight="false" outlineLevel="0" collapsed="false">
      <c r="B15" s="4" t="s">
        <v>23</v>
      </c>
      <c r="C15" s="6" t="s">
        <v>24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3" t="s">
        <v>25</v>
      </c>
    </row>
    <row r="18" customFormat="false" ht="15" hidden="false" customHeight="false" outlineLevel="0" collapsed="false">
      <c r="B18" s="7" t="s">
        <v>26</v>
      </c>
      <c r="C18" s="5" t="s">
        <v>27</v>
      </c>
    </row>
    <row r="19" customFormat="false" ht="15" hidden="false" customHeight="false" outlineLevel="0" collapsed="false">
      <c r="B19" s="4" t="s">
        <v>28</v>
      </c>
      <c r="C19" s="5" t="s">
        <v>29</v>
      </c>
    </row>
    <row r="20" customFormat="false" ht="15" hidden="false" customHeight="false" outlineLevel="0" collapsed="false">
      <c r="B20" s="8" t="s">
        <v>30</v>
      </c>
      <c r="C20" s="5" t="s">
        <v>31</v>
      </c>
    </row>
    <row r="21" customFormat="false" ht="15" hidden="false" customHeight="false" outlineLevel="0" collapsed="false">
      <c r="B21" s="3"/>
    </row>
    <row r="22" customFormat="false" ht="15" hidden="false" customHeight="false" outlineLevel="0" collapsed="false">
      <c r="B22" s="3" t="s">
        <v>32</v>
      </c>
    </row>
    <row r="23" customFormat="false" ht="15" hidden="false" customHeight="false" outlineLevel="0" collapsed="false">
      <c r="B23" s="4" t="s">
        <v>33</v>
      </c>
      <c r="C23" s="5" t="s">
        <v>34</v>
      </c>
    </row>
    <row r="24" customFormat="false" ht="15" hidden="false" customHeight="false" outlineLevel="0" collapsed="false">
      <c r="B24" s="4" t="s">
        <v>35</v>
      </c>
      <c r="C24" s="5" t="s">
        <v>36</v>
      </c>
    </row>
    <row r="25" customFormat="false" ht="15" hidden="false" customHeight="false" outlineLevel="0" collapsed="false">
      <c r="B25" s="4" t="s">
        <v>37</v>
      </c>
      <c r="C25" s="5" t="s">
        <v>38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3" t="s">
        <v>39</v>
      </c>
    </row>
    <row r="28" customFormat="false" ht="15" hidden="false" customHeight="false" outlineLevel="0" collapsed="false">
      <c r="B28" s="4" t="s">
        <v>40</v>
      </c>
      <c r="C28" s="5" t="s">
        <v>41</v>
      </c>
    </row>
    <row r="29" customFormat="false" ht="15" hidden="false" customHeight="false" outlineLevel="0" collapsed="false">
      <c r="B29" s="4" t="s">
        <v>42</v>
      </c>
      <c r="C29" s="5" t="s">
        <v>43</v>
      </c>
    </row>
    <row r="30" customFormat="false" ht="15" hidden="false" customHeight="false" outlineLevel="0" collapsed="false">
      <c r="B30" s="4" t="s">
        <v>44</v>
      </c>
      <c r="C30" s="5" t="s">
        <v>45</v>
      </c>
    </row>
    <row r="31" customFormat="false" ht="15" hidden="false" customHeight="false" outlineLevel="0" collapsed="false">
      <c r="B31" s="4" t="s">
        <v>46</v>
      </c>
      <c r="C31" s="5" t="s">
        <v>47</v>
      </c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3" t="s">
        <v>48</v>
      </c>
    </row>
    <row r="34" customFormat="false" ht="15" hidden="false" customHeight="false" outlineLevel="0" collapsed="false">
      <c r="B34" s="4" t="s">
        <v>49</v>
      </c>
      <c r="C34" s="5" t="s">
        <v>50</v>
      </c>
    </row>
    <row r="35" customFormat="false" ht="15" hidden="false" customHeight="false" outlineLevel="0" collapsed="false">
      <c r="B35" s="4" t="s">
        <v>51</v>
      </c>
      <c r="C35" s="5" t="s">
        <v>52</v>
      </c>
    </row>
    <row r="36" customFormat="false" ht="15" hidden="false" customHeight="false" outlineLevel="0" collapsed="false">
      <c r="B36" s="4" t="s">
        <v>53</v>
      </c>
      <c r="C36" s="5" t="s">
        <v>54</v>
      </c>
    </row>
    <row r="37" customFormat="false" ht="15" hidden="false" customHeight="false" outlineLevel="0" collapsed="false">
      <c r="B37" s="4" t="s">
        <v>55</v>
      </c>
      <c r="C37" s="5" t="s">
        <v>56</v>
      </c>
    </row>
    <row r="38" customFormat="false" ht="15" hidden="false" customHeight="false" outlineLevel="0" collapsed="false">
      <c r="B38" s="4" t="s">
        <v>57</v>
      </c>
      <c r="C38" s="5" t="s">
        <v>58</v>
      </c>
    </row>
    <row r="39" customFormat="false" ht="15" hidden="false" customHeight="false" outlineLevel="0" collapsed="false">
      <c r="B39" s="3"/>
    </row>
    <row r="40" customFormat="false" ht="15" hidden="false" customHeight="false" outlineLevel="0" collapsed="false">
      <c r="B40" s="3" t="s">
        <v>59</v>
      </c>
    </row>
    <row r="41" customFormat="false" ht="15" hidden="false" customHeight="false" outlineLevel="0" collapsed="false">
      <c r="B41" s="4" t="s">
        <v>60</v>
      </c>
      <c r="C41" s="5" t="s">
        <v>61</v>
      </c>
    </row>
    <row r="42" customFormat="false" ht="15" hidden="false" customHeight="false" outlineLevel="0" collapsed="false">
      <c r="B42" s="4" t="s">
        <v>62</v>
      </c>
      <c r="C42" s="5" t="s">
        <v>63</v>
      </c>
    </row>
    <row r="43" customFormat="false" ht="15" hidden="false" customHeight="false" outlineLevel="0" collapsed="false">
      <c r="B43" s="4" t="s">
        <v>64</v>
      </c>
      <c r="C43" s="5" t="s">
        <v>65</v>
      </c>
    </row>
    <row r="44" customFormat="false" ht="15" hidden="false" customHeight="false" outlineLevel="0" collapsed="false">
      <c r="B44" s="4" t="s">
        <v>66</v>
      </c>
      <c r="C44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1928"/>
    <pageSetUpPr fitToPage="false"/>
  </sheetPr>
  <dimension ref="B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"/>
    <col collapsed="false" customWidth="true" hidden="false" outlineLevel="0" max="5" min="5" style="0" width="14"/>
    <col collapsed="false" customWidth="true" hidden="false" outlineLevel="0" max="6" min="6" style="0" width="2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46"/>
    <col collapsed="false" customWidth="true" hidden="false" outlineLevel="0" max="10" min="10" style="0" width="2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3" min="13" style="0" width="2"/>
    <col collapsed="false" customWidth="true" hidden="false" outlineLevel="0" max="15" min="14" style="0" width="10"/>
    <col collapsed="false" customWidth="true" hidden="false" outlineLevel="0" max="16" min="16" style="0" width="14"/>
    <col collapsed="false" customWidth="true" hidden="false" outlineLevel="0" max="17" min="17" style="0" width="12"/>
  </cols>
  <sheetData>
    <row r="1" customFormat="false" ht="27.75" hidden="false" customHeight="true" outlineLevel="0" collapsed="false">
      <c r="B1" s="1" t="s">
        <v>7</v>
      </c>
    </row>
    <row r="2" customFormat="false" ht="15" hidden="false" customHeight="false" outlineLevel="0" collapsed="false">
      <c r="B2" s="2" t="s">
        <v>68</v>
      </c>
    </row>
    <row r="3" customFormat="false" ht="31.5" hidden="false" customHeight="true" outlineLevel="0" collapsed="false">
      <c r="B3" s="9" t="s">
        <v>69</v>
      </c>
      <c r="C3" s="10" t="s">
        <v>70</v>
      </c>
      <c r="E3" s="11" t="s">
        <v>71</v>
      </c>
      <c r="G3" s="11" t="s">
        <v>72</v>
      </c>
      <c r="H3" s="11" t="s">
        <v>73</v>
      </c>
      <c r="I3" s="11" t="s">
        <v>74</v>
      </c>
      <c r="K3" s="11" t="s">
        <v>75</v>
      </c>
      <c r="L3" s="11" t="s">
        <v>76</v>
      </c>
      <c r="N3" s="11" t="s">
        <v>77</v>
      </c>
      <c r="O3" s="11" t="s">
        <v>78</v>
      </c>
      <c r="P3" s="11" t="s">
        <v>79</v>
      </c>
      <c r="Q3" s="11" t="s">
        <v>73</v>
      </c>
    </row>
    <row r="4" customFormat="false" ht="15" hidden="false" customHeight="false" outlineLevel="0" collapsed="false">
      <c r="B4" s="9" t="s">
        <v>80</v>
      </c>
      <c r="C4" s="12" t="n">
        <v>2026</v>
      </c>
      <c r="E4" s="13" t="s">
        <v>81</v>
      </c>
      <c r="G4" s="14" t="s">
        <v>49</v>
      </c>
      <c r="H4" s="10" t="s">
        <v>82</v>
      </c>
      <c r="I4" s="15" t="s">
        <v>83</v>
      </c>
      <c r="K4" s="15" t="s">
        <v>84</v>
      </c>
      <c r="L4" s="16" t="n">
        <f aca="false">9/109</f>
        <v>0.0825688073394496</v>
      </c>
      <c r="N4" s="13" t="s">
        <v>85</v>
      </c>
      <c r="O4" s="13" t="s">
        <v>86</v>
      </c>
      <c r="P4" s="13" t="s">
        <v>87</v>
      </c>
      <c r="Q4" s="13" t="s">
        <v>82</v>
      </c>
    </row>
    <row r="5" customFormat="false" ht="15" hidden="false" customHeight="false" outlineLevel="0" collapsed="false">
      <c r="B5" s="9" t="s">
        <v>88</v>
      </c>
      <c r="C5" s="17" t="n">
        <v>10</v>
      </c>
      <c r="E5" s="10" t="s">
        <v>89</v>
      </c>
      <c r="G5" s="14" t="s">
        <v>90</v>
      </c>
      <c r="H5" s="10" t="s">
        <v>82</v>
      </c>
      <c r="I5" s="15" t="s">
        <v>91</v>
      </c>
      <c r="K5" s="15" t="s">
        <v>92</v>
      </c>
      <c r="L5" s="16" t="n">
        <f aca="false">8/108</f>
        <v>0.0740740740740741</v>
      </c>
      <c r="N5" s="13" t="s">
        <v>93</v>
      </c>
      <c r="O5" s="13" t="s">
        <v>94</v>
      </c>
      <c r="P5" s="13" t="s">
        <v>95</v>
      </c>
      <c r="Q5" s="13" t="s">
        <v>96</v>
      </c>
    </row>
    <row r="6" customFormat="false" ht="15" hidden="false" customHeight="false" outlineLevel="0" collapsed="false">
      <c r="B6" s="9" t="s">
        <v>97</v>
      </c>
      <c r="C6" s="10" t="s">
        <v>81</v>
      </c>
      <c r="E6" s="10" t="s">
        <v>98</v>
      </c>
      <c r="G6" s="14" t="s">
        <v>99</v>
      </c>
      <c r="H6" s="10" t="s">
        <v>82</v>
      </c>
      <c r="I6" s="15" t="s">
        <v>100</v>
      </c>
      <c r="K6" s="15" t="s">
        <v>101</v>
      </c>
      <c r="L6" s="16" t="n">
        <f aca="false">6/106</f>
        <v>0.0566037735849057</v>
      </c>
      <c r="O6" s="13" t="s">
        <v>102</v>
      </c>
      <c r="P6" s="13" t="s">
        <v>103</v>
      </c>
      <c r="Q6" s="13" t="s">
        <v>104</v>
      </c>
    </row>
    <row r="7" customFormat="false" ht="15" hidden="false" customHeight="false" outlineLevel="0" collapsed="false">
      <c r="B7" s="9" t="s">
        <v>105</v>
      </c>
      <c r="C7" s="18" t="n">
        <v>0.05</v>
      </c>
      <c r="E7" s="10"/>
      <c r="G7" s="14" t="s">
        <v>106</v>
      </c>
      <c r="H7" s="10" t="s">
        <v>82</v>
      </c>
      <c r="I7" s="15" t="s">
        <v>107</v>
      </c>
      <c r="O7" s="13" t="s">
        <v>108</v>
      </c>
      <c r="P7" s="13" t="s">
        <v>109</v>
      </c>
    </row>
    <row r="8" customFormat="false" ht="15" hidden="false" customHeight="false" outlineLevel="0" collapsed="false">
      <c r="B8" s="9" t="s">
        <v>110</v>
      </c>
      <c r="C8" s="18" t="n">
        <v>0.35</v>
      </c>
      <c r="E8" s="10"/>
      <c r="G8" s="14" t="s">
        <v>111</v>
      </c>
      <c r="H8" s="10" t="s">
        <v>82</v>
      </c>
      <c r="I8" s="15" t="s">
        <v>112</v>
      </c>
      <c r="P8" s="13" t="s">
        <v>113</v>
      </c>
    </row>
    <row r="9" customFormat="false" ht="15" hidden="false" customHeight="false" outlineLevel="0" collapsed="false">
      <c r="B9" s="9" t="s">
        <v>114</v>
      </c>
      <c r="C9" s="18" t="n">
        <v>0.3</v>
      </c>
      <c r="E9" s="10"/>
      <c r="G9" s="14" t="s">
        <v>115</v>
      </c>
      <c r="H9" s="10" t="s">
        <v>82</v>
      </c>
      <c r="I9" s="15" t="s">
        <v>116</v>
      </c>
    </row>
    <row r="10" customFormat="false" ht="15" hidden="false" customHeight="false" outlineLevel="0" collapsed="false">
      <c r="B10" s="9" t="s">
        <v>117</v>
      </c>
      <c r="C10" s="18" t="n">
        <v>0.03</v>
      </c>
      <c r="E10" s="10"/>
      <c r="G10" s="14" t="s">
        <v>118</v>
      </c>
      <c r="H10" s="10" t="s">
        <v>82</v>
      </c>
      <c r="I10" s="15" t="s">
        <v>119</v>
      </c>
    </row>
    <row r="11" customFormat="false" ht="15" hidden="false" customHeight="false" outlineLevel="0" collapsed="false">
      <c r="B11" s="9" t="s">
        <v>120</v>
      </c>
      <c r="C11" s="10" t="s">
        <v>121</v>
      </c>
      <c r="G11" s="14" t="s">
        <v>122</v>
      </c>
      <c r="H11" s="10" t="s">
        <v>82</v>
      </c>
      <c r="I11" s="15" t="s">
        <v>123</v>
      </c>
    </row>
    <row r="12" customFormat="false" ht="15" hidden="false" customHeight="false" outlineLevel="0" collapsed="false">
      <c r="B12" s="9" t="s">
        <v>124</v>
      </c>
      <c r="C12" s="19" t="n">
        <f aca="false">INDEX($L$4:$L$6,MATCH(C11,$K$4:$K$6,0))</f>
        <v>0.0825688073394496</v>
      </c>
      <c r="G12" s="14" t="s">
        <v>53</v>
      </c>
      <c r="H12" s="10" t="s">
        <v>125</v>
      </c>
      <c r="I12" s="15" t="s">
        <v>126</v>
      </c>
    </row>
    <row r="13" customFormat="false" ht="15" hidden="false" customHeight="false" outlineLevel="0" collapsed="false">
      <c r="B13" s="9" t="s">
        <v>127</v>
      </c>
      <c r="C13" s="18" t="n">
        <v>0.05</v>
      </c>
      <c r="G13" s="14" t="s">
        <v>128</v>
      </c>
      <c r="H13" s="10" t="s">
        <v>125</v>
      </c>
      <c r="I13" s="15" t="s">
        <v>129</v>
      </c>
    </row>
    <row r="14" customFormat="false" ht="15" hidden="false" customHeight="false" outlineLevel="0" collapsed="false">
      <c r="G14" s="14" t="s">
        <v>130</v>
      </c>
      <c r="H14" s="10" t="s">
        <v>104</v>
      </c>
      <c r="I14" s="15" t="s">
        <v>131</v>
      </c>
    </row>
    <row r="15" customFormat="false" ht="15" hidden="false" customHeight="false" outlineLevel="0" collapsed="false">
      <c r="B15" s="2" t="s">
        <v>132</v>
      </c>
    </row>
    <row r="16" customFormat="false" ht="15" hidden="false" customHeight="false" outlineLevel="0" collapsed="false">
      <c r="B16" s="2" t="s">
        <v>133</v>
      </c>
    </row>
  </sheetData>
  <dataValidations count="4">
    <dataValidation allowBlank="false" error="1~12 사이 숫자를 입력하세요." errorStyle="stop" errorTitle="조회월" operator="between" showDropDown="false" showErrorMessage="false" showInputMessage="false" sqref="C5" type="whole">
      <formula1>1</formula1>
      <formula2>12</formula2>
    </dataValidation>
    <dataValidation allowBlank="true" errorStyle="stop" operator="between" showDropDown="false" showErrorMessage="true" showInputMessage="false" sqref="C6" type="list">
      <formula1>$E$4:$E$10</formula1>
      <formula2>0</formula2>
    </dataValidation>
    <dataValidation allowBlank="true" errorStyle="stop" operator="between" showDropDown="false" showErrorMessage="true" showInputMessage="false" sqref="C11" type="list">
      <formula1>$K$4:$K$6</formula1>
      <formula2>0</formula2>
    </dataValidation>
    <dataValidation allowBlank="true" errorStyle="stop" operator="between" showDropDown="false" showErrorMessage="true" showInputMessage="false" sqref="H4:H14" type="list">
      <formula1>$Q$4:$Q$6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4B1E"/>
    <pageSetUpPr fitToPage="true"/>
  </sheetPr>
  <dimension ref="B1:I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40"/>
  </cols>
  <sheetData>
    <row r="1" customFormat="false" ht="30" hidden="false" customHeight="true" outlineLevel="0" collapsed="false">
      <c r="B1" s="1" t="str">
        <f aca="false">기본설정!$C$3&amp;" 월 손익 요약"</f>
        <v>왕징양다리양꼬치 월 손익 요약</v>
      </c>
    </row>
    <row r="2" customFormat="false" ht="15" hidden="false" customHeight="false" outlineLevel="0" collapsed="false">
      <c r="B2" s="20" t="str">
        <f aca="false">"단위: 만원   |   실적: "&amp;기본설정!$C$4&amp;"년 "&amp;기본설정!$C$5&amp;"월, "&amp;기본설정!$C$6&amp;"   |   입력은 [월손익상세] 시트에서"</f>
        <v>단위: 만원   |   실적: 2026년 10월, 전체   |   입력은 [월손익상세] 시트에서</v>
      </c>
    </row>
    <row r="4" customFormat="false" ht="27.75" hidden="false" customHeight="true" outlineLevel="0" collapsed="false">
      <c r="B4" s="11" t="s">
        <v>134</v>
      </c>
      <c r="C4" s="11" t="str">
        <f aca="false">"계획 (월 "&amp;TEXT(월손익상세!$D$5,"#,##0")&amp;")"</f>
        <v>계획 (월 5,000)</v>
      </c>
      <c r="D4" s="11" t="s">
        <v>135</v>
      </c>
      <c r="E4" s="11" t="s">
        <v>136</v>
      </c>
      <c r="F4" s="11" t="s">
        <v>135</v>
      </c>
      <c r="G4" s="11" t="s">
        <v>137</v>
      </c>
    </row>
    <row r="5" customFormat="false" ht="15" hidden="false" customHeight="false" outlineLevel="0" collapsed="false">
      <c r="B5" s="21" t="s">
        <v>138</v>
      </c>
      <c r="C5" s="22" t="n">
        <f aca="false">월손익상세!$D$5</f>
        <v>5000</v>
      </c>
      <c r="D5" s="23"/>
      <c r="E5" s="22" t="n">
        <f aca="false">월손익상세!$F$5</f>
        <v>230</v>
      </c>
      <c r="F5" s="23"/>
      <c r="G5" s="24" t="n">
        <f aca="false">E5-C5</f>
        <v>-4770</v>
      </c>
    </row>
    <row r="6" customFormat="false" ht="15" hidden="false" customHeight="false" outlineLevel="0" collapsed="false">
      <c r="B6" s="21" t="s">
        <v>139</v>
      </c>
      <c r="C6" s="22" t="n">
        <f aca="false">월손익상세!$D$36</f>
        <v>1300</v>
      </c>
      <c r="D6" s="23" t="n">
        <f aca="false">IFERROR(C6/$C$5,0)</f>
        <v>0.26</v>
      </c>
      <c r="E6" s="22" t="n">
        <f aca="false">월손익상세!$F$36</f>
        <v>0</v>
      </c>
      <c r="F6" s="23" t="n">
        <f aca="false">IFERROR(E6/$E$5,0)</f>
        <v>0</v>
      </c>
      <c r="G6" s="24" t="n">
        <f aca="false">E6-C6</f>
        <v>-1300</v>
      </c>
    </row>
    <row r="7" customFormat="false" ht="15" hidden="false" customHeight="false" outlineLevel="0" collapsed="false">
      <c r="B7" s="21" t="s">
        <v>140</v>
      </c>
      <c r="C7" s="22" t="n">
        <f aca="false">월손익상세!$D$43</f>
        <v>230</v>
      </c>
      <c r="D7" s="23" t="n">
        <f aca="false">IFERROR(C7/$C$5,0)</f>
        <v>0.046</v>
      </c>
      <c r="E7" s="22" t="n">
        <f aca="false">월손익상세!$F$43</f>
        <v>0</v>
      </c>
      <c r="F7" s="23" t="n">
        <f aca="false">IFERROR(E7/$E$5,0)</f>
        <v>0</v>
      </c>
      <c r="G7" s="24" t="n">
        <f aca="false">E7-C7</f>
        <v>-230</v>
      </c>
    </row>
    <row r="8" customFormat="false" ht="15" hidden="false" customHeight="false" outlineLevel="0" collapsed="false">
      <c r="B8" s="25" t="s">
        <v>141</v>
      </c>
      <c r="C8" s="26" t="n">
        <f aca="false">월손익상세!$D$13</f>
        <v>200.109674728941</v>
      </c>
      <c r="D8" s="27" t="n">
        <f aca="false">IFERROR(C8/$C$5,0)</f>
        <v>0.0400219349457882</v>
      </c>
      <c r="E8" s="26" t="n">
        <f aca="false">월손익상세!$F$13</f>
        <v>14.7914909090909</v>
      </c>
      <c r="F8" s="27" t="n">
        <f aca="false">IFERROR(E8/$E$5,0)</f>
        <v>0.0643108300395257</v>
      </c>
      <c r="G8" s="28" t="n">
        <f aca="false">E8-C8</f>
        <v>-185.31818381985</v>
      </c>
    </row>
    <row r="9" customFormat="false" ht="15" hidden="false" customHeight="false" outlineLevel="0" collapsed="false">
      <c r="B9" s="25" t="s">
        <v>142</v>
      </c>
      <c r="C9" s="26" t="n">
        <f aca="false">월손익상세!$D$19</f>
        <v>1750</v>
      </c>
      <c r="D9" s="27" t="n">
        <f aca="false">IFERROR(C9/$C$5,0)</f>
        <v>0.35</v>
      </c>
      <c r="E9" s="26" t="n">
        <f aca="false">월손익상세!$F$19</f>
        <v>70.3</v>
      </c>
      <c r="F9" s="27" t="n">
        <f aca="false">IFERROR(E9/$E$5,0)</f>
        <v>0.305652173913043</v>
      </c>
      <c r="G9" s="28" t="n">
        <f aca="false">E9-C9</f>
        <v>-1679.7</v>
      </c>
    </row>
    <row r="10" customFormat="false" ht="15" hidden="false" customHeight="false" outlineLevel="0" collapsed="false">
      <c r="B10" s="25" t="s">
        <v>143</v>
      </c>
      <c r="C10" s="26" t="n">
        <f aca="false">월손익상세!$D$30</f>
        <v>149.9</v>
      </c>
      <c r="D10" s="27" t="n">
        <f aca="false">IFERROR(C10/$C$5,0)</f>
        <v>0.02998</v>
      </c>
      <c r="E10" s="26" t="n">
        <f aca="false">월손익상세!$F$30</f>
        <v>2.5254</v>
      </c>
      <c r="F10" s="27" t="n">
        <f aca="false">IFERROR(E10/$E$5,0)</f>
        <v>0.01098</v>
      </c>
      <c r="G10" s="28" t="n">
        <f aca="false">E10-C10</f>
        <v>-147.3746</v>
      </c>
    </row>
    <row r="11" customFormat="false" ht="15" hidden="false" customHeight="false" outlineLevel="0" collapsed="false">
      <c r="B11" s="25" t="s">
        <v>144</v>
      </c>
      <c r="C11" s="26" t="n">
        <f aca="false">월손익상세!$D$36</f>
        <v>1300</v>
      </c>
      <c r="D11" s="27" t="n">
        <f aca="false">IFERROR(C11/$C$5,0)</f>
        <v>0.26</v>
      </c>
      <c r="E11" s="26" t="n">
        <f aca="false">월손익상세!$F$36</f>
        <v>0</v>
      </c>
      <c r="F11" s="27" t="n">
        <f aca="false">IFERROR(E11/$E$5,0)</f>
        <v>0</v>
      </c>
      <c r="G11" s="28" t="n">
        <f aca="false">E11-C11</f>
        <v>-1300</v>
      </c>
    </row>
    <row r="12" customFormat="false" ht="15" hidden="false" customHeight="false" outlineLevel="0" collapsed="false">
      <c r="B12" s="25" t="s">
        <v>145</v>
      </c>
      <c r="C12" s="26" t="n">
        <f aca="false">월손익상세!$D$43</f>
        <v>230</v>
      </c>
      <c r="D12" s="27" t="n">
        <f aca="false">IFERROR(C12/$C$5,0)</f>
        <v>0.046</v>
      </c>
      <c r="E12" s="26" t="n">
        <f aca="false">월손익상세!$F$43</f>
        <v>0</v>
      </c>
      <c r="F12" s="27" t="n">
        <f aca="false">IFERROR(E12/$E$5,0)</f>
        <v>0</v>
      </c>
      <c r="G12" s="28" t="n">
        <f aca="false">E12-C12</f>
        <v>-230</v>
      </c>
    </row>
    <row r="13" customFormat="false" ht="15" hidden="false" customHeight="false" outlineLevel="0" collapsed="false">
      <c r="B13" s="25" t="s">
        <v>146</v>
      </c>
      <c r="C13" s="26" t="n">
        <f aca="false">월손익상세!$D$49</f>
        <v>550</v>
      </c>
      <c r="D13" s="27" t="n">
        <f aca="false">IFERROR(C13/$C$5,0)</f>
        <v>0.11</v>
      </c>
      <c r="E13" s="26" t="n">
        <f aca="false">월손익상세!$F$49</f>
        <v>0</v>
      </c>
      <c r="F13" s="27" t="n">
        <f aca="false">IFERROR(E13/$E$5,0)</f>
        <v>0</v>
      </c>
      <c r="G13" s="28" t="n">
        <f aca="false">E13-C13</f>
        <v>-550</v>
      </c>
    </row>
    <row r="14" customFormat="false" ht="15" hidden="false" customHeight="false" outlineLevel="0" collapsed="false">
      <c r="B14" s="25" t="s">
        <v>147</v>
      </c>
      <c r="C14" s="26" t="n">
        <f aca="false">월손익상세!$D$52</f>
        <v>50</v>
      </c>
      <c r="D14" s="27" t="n">
        <f aca="false">IFERROR(C14/$C$5,0)</f>
        <v>0.01</v>
      </c>
      <c r="E14" s="26" t="n">
        <f aca="false">월손익상세!$F$52</f>
        <v>0</v>
      </c>
      <c r="F14" s="27" t="n">
        <f aca="false">IFERROR(E14/$E$5,0)</f>
        <v>0</v>
      </c>
      <c r="G14" s="28" t="n">
        <f aca="false">E14-C14</f>
        <v>-50</v>
      </c>
    </row>
    <row r="15" customFormat="false" ht="15" hidden="false" customHeight="false" outlineLevel="0" collapsed="false">
      <c r="B15" s="25" t="s">
        <v>148</v>
      </c>
      <c r="C15" s="26" t="n">
        <f aca="false">월손익상세!$D$54</f>
        <v>100</v>
      </c>
      <c r="D15" s="27" t="n">
        <f aca="false">IFERROR(C15/$C$5,0)</f>
        <v>0.02</v>
      </c>
      <c r="E15" s="26" t="n">
        <f aca="false">월손익상세!$F$54</f>
        <v>0</v>
      </c>
      <c r="F15" s="27" t="n">
        <f aca="false">IFERROR(E15/$E$5,0)</f>
        <v>0</v>
      </c>
      <c r="G15" s="28" t="n">
        <f aca="false">E15-C15</f>
        <v>-100</v>
      </c>
    </row>
    <row r="16" customFormat="false" ht="15" hidden="false" customHeight="false" outlineLevel="0" collapsed="false">
      <c r="B16" s="25" t="s">
        <v>149</v>
      </c>
      <c r="C16" s="26" t="n">
        <f aca="false">월손익상세!$D$56</f>
        <v>500</v>
      </c>
      <c r="D16" s="27" t="n">
        <f aca="false">IFERROR(C16/$C$5,0)</f>
        <v>0.1</v>
      </c>
      <c r="E16" s="26" t="n">
        <f aca="false">월손익상세!$F$56</f>
        <v>0</v>
      </c>
      <c r="F16" s="27" t="n">
        <f aca="false">IFERROR(E16/$E$5,0)</f>
        <v>0</v>
      </c>
      <c r="G16" s="28" t="n">
        <f aca="false">E16-C16</f>
        <v>-500</v>
      </c>
    </row>
    <row r="17" customFormat="false" ht="15" hidden="false" customHeight="false" outlineLevel="0" collapsed="false">
      <c r="B17" s="25" t="s">
        <v>150</v>
      </c>
      <c r="C17" s="26" t="n">
        <f aca="false">월손익상세!$D$63</f>
        <v>120</v>
      </c>
      <c r="D17" s="27" t="n">
        <f aca="false">IFERROR(C17/$C$5,0)</f>
        <v>0.024</v>
      </c>
      <c r="E17" s="26" t="n">
        <f aca="false">월손익상세!$F$63</f>
        <v>0</v>
      </c>
      <c r="F17" s="27" t="n">
        <f aca="false">IFERROR(E17/$E$5,0)</f>
        <v>0</v>
      </c>
      <c r="G17" s="28" t="n">
        <f aca="false">E17-C17</f>
        <v>-120</v>
      </c>
    </row>
    <row r="18" customFormat="false" ht="15" hidden="false" customHeight="false" outlineLevel="0" collapsed="false">
      <c r="B18" s="29" t="s">
        <v>151</v>
      </c>
      <c r="C18" s="30" t="n">
        <f aca="false">SUM(C8:C17)</f>
        <v>4950.00967472894</v>
      </c>
      <c r="D18" s="31" t="n">
        <f aca="false">IFERROR(C18/$C$5,0)</f>
        <v>0.990001934945788</v>
      </c>
      <c r="E18" s="30" t="n">
        <f aca="false">SUM(E8:E17)</f>
        <v>87.6168909090909</v>
      </c>
      <c r="F18" s="31" t="n">
        <f aca="false">IFERROR(E18/$E$5,0)</f>
        <v>0.380943003952569</v>
      </c>
      <c r="G18" s="30" t="n">
        <f aca="false">SUM(G8:G17)</f>
        <v>-4862.39278381985</v>
      </c>
    </row>
    <row r="19" customFormat="false" ht="15" hidden="false" customHeight="false" outlineLevel="0" collapsed="false">
      <c r="B19" s="32" t="s">
        <v>152</v>
      </c>
      <c r="C19" s="33" t="n">
        <f aca="false">C5-C18</f>
        <v>49.9903252710592</v>
      </c>
      <c r="D19" s="34" t="n">
        <f aca="false">IFERROR(C19/$C$5,0)</f>
        <v>0.00999806505421184</v>
      </c>
      <c r="E19" s="33" t="n">
        <f aca="false">E5-E18</f>
        <v>142.383109090909</v>
      </c>
      <c r="F19" s="34" t="n">
        <f aca="false">IFERROR(E19/$E$5,0)</f>
        <v>0.619056996047431</v>
      </c>
      <c r="G19" s="33" t="n">
        <f aca="false">E19-C19</f>
        <v>92.3927838198499</v>
      </c>
    </row>
    <row r="20" customFormat="false" ht="15" hidden="false" customHeight="false" outlineLevel="0" collapsed="false">
      <c r="B20" s="25" t="s">
        <v>153</v>
      </c>
      <c r="C20" s="27" t="n">
        <f aca="false">IFERROR(C19/C5,0)</f>
        <v>0.00999806505421184</v>
      </c>
      <c r="D20" s="25"/>
      <c r="E20" s="27" t="n">
        <f aca="false">IFERROR(E19/E5,0)</f>
        <v>0.619056996047431</v>
      </c>
      <c r="F20" s="25"/>
      <c r="G20" s="27" t="n">
        <f aca="false">E20-C20</f>
        <v>0.609058930993219</v>
      </c>
      <c r="I20" s="2" t="s">
        <v>154</v>
      </c>
    </row>
    <row r="21" customFormat="false" ht="15" hidden="false" customHeight="false" outlineLevel="0" collapsed="false">
      <c r="B21" s="25" t="s">
        <v>155</v>
      </c>
      <c r="C21" s="27" t="n">
        <f aca="false">IFERROR((C13+C14+C15)/C5,0)</f>
        <v>0.14</v>
      </c>
      <c r="D21" s="35"/>
      <c r="E21" s="27" t="n">
        <f aca="false">IFERROR((E13+E14+E15)/E5,0)</f>
        <v>0</v>
      </c>
      <c r="F21" s="25"/>
      <c r="G21" s="27" t="n">
        <f aca="false">E21-C21</f>
        <v>-0.14</v>
      </c>
      <c r="I21" s="36" t="s">
        <v>156</v>
      </c>
    </row>
    <row r="22" customFormat="false" ht="15" hidden="false" customHeight="false" outlineLevel="0" collapsed="false">
      <c r="B22" s="25" t="s">
        <v>157</v>
      </c>
      <c r="C22" s="27" t="n">
        <f aca="false">IFERROR(C9/C5,0)</f>
        <v>0.35</v>
      </c>
      <c r="D22" s="35"/>
      <c r="E22" s="27" t="n">
        <f aca="false">IFERROR(E9/E5,0)</f>
        <v>0.305652173913043</v>
      </c>
      <c r="F22" s="25"/>
      <c r="G22" s="27" t="n">
        <f aca="false">E22-C22</f>
        <v>-0.0443478260869565</v>
      </c>
      <c r="I22" s="2" t="s">
        <v>158</v>
      </c>
    </row>
    <row r="23" customFormat="false" ht="15" hidden="false" customHeight="false" outlineLevel="0" collapsed="false">
      <c r="B23" s="25" t="s">
        <v>159</v>
      </c>
      <c r="C23" s="27" t="n">
        <f aca="false">IFERROR(C11/C5,0)</f>
        <v>0.26</v>
      </c>
      <c r="D23" s="35"/>
      <c r="E23" s="27" t="n">
        <f aca="false">IFERROR(E11/E5,0)</f>
        <v>0</v>
      </c>
      <c r="F23" s="25"/>
      <c r="G23" s="27" t="n">
        <f aca="false">E23-C23</f>
        <v>-0.26</v>
      </c>
      <c r="I23" s="36" t="s">
        <v>160</v>
      </c>
    </row>
    <row r="24" customFormat="false" ht="15" hidden="false" customHeight="false" outlineLevel="0" collapsed="false">
      <c r="B24" s="35" t="s">
        <v>161</v>
      </c>
      <c r="C24" s="27" t="n">
        <f aca="false">IFERROR((C9+C11)/C5,0)</f>
        <v>0.61</v>
      </c>
      <c r="D24" s="35"/>
      <c r="E24" s="27" t="n">
        <f aca="false">IFERROR((E9+E11)/E5,0)</f>
        <v>0.305652173913043</v>
      </c>
      <c r="F24" s="25"/>
      <c r="G24" s="27" t="n">
        <f aca="false">E24-C24</f>
        <v>-0.304347826086957</v>
      </c>
      <c r="I24" s="2" t="s">
        <v>162</v>
      </c>
    </row>
    <row r="25" customFormat="false" ht="15" hidden="false" customHeight="false" outlineLevel="0" collapsed="false">
      <c r="B25" s="25" t="s">
        <v>163</v>
      </c>
      <c r="C25" s="27" t="n">
        <f aca="false">IFERROR(C16/C5,0)</f>
        <v>0.1</v>
      </c>
      <c r="D25" s="35"/>
      <c r="E25" s="27" t="n">
        <f aca="false">IFERROR(E16/E5,0)</f>
        <v>0</v>
      </c>
      <c r="F25" s="25"/>
      <c r="G25" s="27" t="n">
        <f aca="false">E25-C25</f>
        <v>-0.1</v>
      </c>
      <c r="I25" s="36" t="s">
        <v>164</v>
      </c>
    </row>
    <row r="27" customFormat="false" ht="16.4" hidden="false" customHeight="false" outlineLevel="0" collapsed="false">
      <c r="B27" s="3" t="s">
        <v>165</v>
      </c>
    </row>
    <row r="28" customFormat="false" ht="15" hidden="false" customHeight="false" outlineLevel="0" collapsed="false">
      <c r="B28" s="29" t="s">
        <v>166</v>
      </c>
      <c r="C28" s="37" t="n">
        <f aca="false">IFERROR((C8+C9+C10)/C5,0)</f>
        <v>0.420001934945788</v>
      </c>
      <c r="D28" s="2" t="s">
        <v>167</v>
      </c>
    </row>
    <row r="29" customFormat="false" ht="15" hidden="false" customHeight="false" outlineLevel="0" collapsed="false">
      <c r="B29" s="29" t="s">
        <v>168</v>
      </c>
      <c r="C29" s="38" t="n">
        <f aca="false">C11+C12+C13+C14+C15+C16+C17</f>
        <v>2850</v>
      </c>
      <c r="D29" s="2" t="s">
        <v>169</v>
      </c>
    </row>
    <row r="30" customFormat="false" ht="15" hidden="false" customHeight="false" outlineLevel="0" collapsed="false">
      <c r="B30" s="29" t="s">
        <v>170</v>
      </c>
      <c r="C30" s="39" t="n">
        <f aca="false">IFERROR(C29/(1-C28),0)</f>
        <v>4913.80949647412</v>
      </c>
      <c r="D30" s="2" t="s">
        <v>171</v>
      </c>
    </row>
    <row r="31" customFormat="false" ht="15" hidden="false" customHeight="false" outlineLevel="0" collapsed="false">
      <c r="B31" s="29" t="s">
        <v>172</v>
      </c>
      <c r="C31" s="38" t="n">
        <f aca="false">C5-C30</f>
        <v>86.1905035258806</v>
      </c>
      <c r="D31" s="2" t="s">
        <v>173</v>
      </c>
    </row>
    <row r="32" customFormat="false" ht="15" hidden="false" customHeight="false" outlineLevel="0" collapsed="false">
      <c r="B32" s="29" t="s">
        <v>174</v>
      </c>
      <c r="C32" s="38" t="n">
        <f aca="false">C30/30</f>
        <v>163.793649882471</v>
      </c>
      <c r="D32" s="2" t="s">
        <v>175</v>
      </c>
    </row>
    <row r="34" customFormat="false" ht="24" hidden="false" customHeight="true" outlineLevel="0" collapsed="false">
      <c r="B34" s="11" t="s">
        <v>176</v>
      </c>
      <c r="C34" s="11" t="s">
        <v>177</v>
      </c>
      <c r="D34" s="11" t="s">
        <v>178</v>
      </c>
      <c r="E34" s="11" t="s">
        <v>179</v>
      </c>
      <c r="F34" s="11" t="s">
        <v>153</v>
      </c>
    </row>
    <row r="35" customFormat="false" ht="15" hidden="false" customHeight="false" outlineLevel="0" collapsed="false">
      <c r="B35" s="40" t="n">
        <v>3000</v>
      </c>
      <c r="C35" s="28" t="n">
        <f aca="false">B35*$C$28</f>
        <v>1260.00580483736</v>
      </c>
      <c r="D35" s="28" t="n">
        <f aca="false">$C$29</f>
        <v>2850</v>
      </c>
      <c r="E35" s="41" t="n">
        <f aca="false">B35-C35-D35</f>
        <v>-1110.00580483736</v>
      </c>
      <c r="F35" s="27" t="n">
        <f aca="false">IFERROR(E35/B35,0)</f>
        <v>-0.370001934945788</v>
      </c>
    </row>
    <row r="36" customFormat="false" ht="15" hidden="false" customHeight="false" outlineLevel="0" collapsed="false">
      <c r="B36" s="40" t="n">
        <v>4000</v>
      </c>
      <c r="C36" s="28" t="n">
        <f aca="false">B36*$C$28</f>
        <v>1680.00773978315</v>
      </c>
      <c r="D36" s="28" t="n">
        <f aca="false">$C$29</f>
        <v>2850</v>
      </c>
      <c r="E36" s="41" t="n">
        <f aca="false">B36-C36-D36</f>
        <v>-530.007739783153</v>
      </c>
      <c r="F36" s="27" t="n">
        <f aca="false">IFERROR(E36/B36,0)</f>
        <v>-0.132501934945788</v>
      </c>
    </row>
    <row r="37" customFormat="false" ht="15" hidden="false" customHeight="false" outlineLevel="0" collapsed="false">
      <c r="B37" s="40" t="n">
        <v>5000</v>
      </c>
      <c r="C37" s="28" t="n">
        <f aca="false">B37*$C$28</f>
        <v>2100.00967472894</v>
      </c>
      <c r="D37" s="28" t="n">
        <f aca="false">$C$29</f>
        <v>2850</v>
      </c>
      <c r="E37" s="41" t="n">
        <f aca="false">B37-C37-D37</f>
        <v>49.9903252710592</v>
      </c>
      <c r="F37" s="27" t="n">
        <f aca="false">IFERROR(E37/B37,0)</f>
        <v>0.00999806505421184</v>
      </c>
    </row>
    <row r="38" customFormat="false" ht="15" hidden="false" customHeight="false" outlineLevel="0" collapsed="false">
      <c r="B38" s="40" t="n">
        <v>6000</v>
      </c>
      <c r="C38" s="28" t="n">
        <f aca="false">B38*$C$28</f>
        <v>2520.01160967473</v>
      </c>
      <c r="D38" s="28" t="n">
        <f aca="false">$C$29</f>
        <v>2850</v>
      </c>
      <c r="E38" s="41" t="n">
        <f aca="false">B38-C38-D38</f>
        <v>629.988390325271</v>
      </c>
      <c r="F38" s="27" t="n">
        <f aca="false">IFERROR(E38/B38,0)</f>
        <v>0.104998065054212</v>
      </c>
    </row>
    <row r="39" customFormat="false" ht="15" hidden="false" customHeight="false" outlineLevel="0" collapsed="false">
      <c r="B39" s="40" t="n">
        <v>7000</v>
      </c>
      <c r="C39" s="28" t="n">
        <f aca="false">B39*$C$28</f>
        <v>2940.01354462052</v>
      </c>
      <c r="D39" s="28" t="n">
        <f aca="false">$C$29</f>
        <v>2850</v>
      </c>
      <c r="E39" s="41" t="n">
        <f aca="false">B39-C39-D39</f>
        <v>1209.98645537948</v>
      </c>
      <c r="F39" s="27" t="n">
        <f aca="false">IFERROR(E39/B39,0)</f>
        <v>0.172855207911355</v>
      </c>
    </row>
    <row r="41" customFormat="false" ht="15" hidden="false" customHeight="false" outlineLevel="0" collapsed="false">
      <c r="B41" s="2" t="s">
        <v>180</v>
      </c>
    </row>
    <row r="42" customFormat="false" ht="15" hidden="false" customHeight="false" outlineLevel="0" collapsed="false">
      <c r="B42" s="2" t="s">
        <v>181</v>
      </c>
    </row>
  </sheetData>
  <conditionalFormatting sqref="C19:G19">
    <cfRule type="cellIs" priority="2" operator="lessThan" aboveAverage="0" equalAverage="0" bottom="0" percent="0" rank="0" text="" dxfId="0">
      <formula>0</formula>
    </cfRule>
  </conditionalFormatting>
  <conditionalFormatting sqref="C21:E21">
    <cfRule type="expression" priority="3" aboveAverage="0" equalAverage="0" bottom="0" percent="0" rank="0" text="" dxfId="1">
      <formula>AND(ISNUMBER(C21),C21&gt;0.15)</formula>
    </cfRule>
  </conditionalFormatting>
  <conditionalFormatting sqref="C22:E22">
    <cfRule type="expression" priority="4" aboveAverage="0" equalAverage="0" bottom="0" percent="0" rank="0" text="" dxfId="1">
      <formula>AND(ISNUMBER(C22),C22&gt;0.35)</formula>
    </cfRule>
  </conditionalFormatting>
  <conditionalFormatting sqref="C23:E23">
    <cfRule type="expression" priority="5" aboveAverage="0" equalAverage="0" bottom="0" percent="0" rank="0" text="" dxfId="1">
      <formula>AND(ISNUMBER(C23),C23&gt;0.28)</formula>
    </cfRule>
  </conditionalFormatting>
  <conditionalFormatting sqref="C24:E24">
    <cfRule type="expression" priority="6" aboveAverage="0" equalAverage="0" bottom="0" percent="0" rank="0" text="" dxfId="1">
      <formula>AND(ISNUMBER(C24),C24&gt;0.62)</formula>
    </cfRule>
  </conditionalFormatting>
  <conditionalFormatting sqref="C25:E25">
    <cfRule type="expression" priority="7" aboveAverage="0" equalAverage="0" bottom="0" percent="0" rank="0" text="" dxfId="1">
      <formula>AND(ISNUMBER(C25),C25&gt;0.08)</formula>
    </cfRule>
  </conditionalFormatting>
  <conditionalFormatting sqref="E35:F39">
    <cfRule type="cellIs" priority="8" operator="lessThan" aboveAverage="0" equalAverage="0" bottom="0" percent="0" rank="0" text="" dxfId="1">
      <formula>0</formula>
    </cfRule>
    <cfRule type="cellIs" priority="9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4B1E"/>
    <pageSetUpPr fitToPage="false"/>
  </sheetPr>
  <dimension ref="B1:I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2" topLeftCell="D13" activePane="bottomRight" state="frozen"/>
      <selection pane="topLeft" activeCell="A1" activeCellId="0" sqref="A1"/>
      <selection pane="topRight" activeCell="D1" activeCellId="0" sqref="D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52"/>
  </cols>
  <sheetData>
    <row r="1" customFormat="false" ht="27.75" hidden="false" customHeight="true" outlineLevel="0" collapsed="false">
      <c r="B1" s="1" t="s">
        <v>182</v>
      </c>
    </row>
    <row r="2" customFormat="false" ht="15" hidden="false" customHeight="false" outlineLevel="0" collapsed="false">
      <c r="B2" s="2" t="s">
        <v>183</v>
      </c>
    </row>
    <row r="4" customFormat="false" ht="21.75" hidden="false" customHeight="true" outlineLevel="0" collapsed="false">
      <c r="B4" s="3" t="s">
        <v>184</v>
      </c>
      <c r="D4" s="11" t="s">
        <v>185</v>
      </c>
      <c r="E4" s="11"/>
      <c r="F4" s="11" t="s">
        <v>186</v>
      </c>
    </row>
    <row r="5" customFormat="false" ht="15" hidden="false" customHeight="false" outlineLevel="0" collapsed="false">
      <c r="B5" s="29" t="s">
        <v>138</v>
      </c>
      <c r="C5" s="42"/>
      <c r="D5" s="43" t="n">
        <v>5000</v>
      </c>
      <c r="F5" s="44" t="n">
        <f aca="false">매출원가계산서!$C$8/10000</f>
        <v>230</v>
      </c>
      <c r="I5" s="2" t="s">
        <v>187</v>
      </c>
    </row>
    <row r="6" customFormat="false" ht="15" hidden="false" customHeight="false" outlineLevel="0" collapsed="false">
      <c r="B6" s="29" t="s">
        <v>188</v>
      </c>
      <c r="C6" s="42"/>
      <c r="D6" s="18" t="n">
        <v>0.9</v>
      </c>
      <c r="F6" s="45"/>
      <c r="I6" s="2" t="s">
        <v>189</v>
      </c>
    </row>
    <row r="7" customFormat="false" ht="15" hidden="false" customHeight="false" outlineLevel="0" collapsed="false">
      <c r="B7" s="29" t="s">
        <v>190</v>
      </c>
      <c r="C7" s="42"/>
      <c r="D7" s="16" t="n">
        <v>0.0122</v>
      </c>
      <c r="F7" s="46"/>
      <c r="I7" s="2" t="s">
        <v>191</v>
      </c>
    </row>
    <row r="8" customFormat="false" ht="15" hidden="false" customHeight="false" outlineLevel="0" collapsed="false">
      <c r="B8" s="29" t="s">
        <v>192</v>
      </c>
      <c r="C8" s="42"/>
      <c r="D8" s="18" t="n">
        <v>0.6</v>
      </c>
      <c r="F8" s="45"/>
      <c r="I8" s="2" t="s">
        <v>193</v>
      </c>
    </row>
    <row r="9" customFormat="false" ht="15" hidden="false" customHeight="false" outlineLevel="0" collapsed="false">
      <c r="B9" s="29" t="s">
        <v>194</v>
      </c>
      <c r="C9" s="42"/>
      <c r="D9" s="47" t="n">
        <v>0.013</v>
      </c>
      <c r="F9" s="48"/>
      <c r="I9" s="2" t="s">
        <v>195</v>
      </c>
    </row>
    <row r="10" customFormat="false" ht="15" hidden="false" customHeight="false" outlineLevel="0" collapsed="false">
      <c r="B10" s="29" t="s">
        <v>124</v>
      </c>
      <c r="C10" s="42"/>
      <c r="D10" s="46" t="n">
        <f aca="false">기본설정!$C$12</f>
        <v>0.0825688073394496</v>
      </c>
      <c r="F10" s="46"/>
      <c r="I10" s="2" t="s">
        <v>196</v>
      </c>
    </row>
    <row r="11" customFormat="false" ht="15" hidden="false" customHeight="false" outlineLevel="0" collapsed="false">
      <c r="B11" s="3" t="s">
        <v>197</v>
      </c>
    </row>
    <row r="12" customFormat="false" ht="36" hidden="false" customHeight="true" outlineLevel="0" collapsed="false">
      <c r="B12" s="11" t="s">
        <v>198</v>
      </c>
      <c r="C12" s="11" t="s">
        <v>199</v>
      </c>
      <c r="D12" s="11" t="s">
        <v>200</v>
      </c>
      <c r="E12" s="11" t="s">
        <v>201</v>
      </c>
      <c r="F12" s="11" t="s">
        <v>202</v>
      </c>
      <c r="G12" s="11" t="s">
        <v>201</v>
      </c>
      <c r="H12" s="11" t="s">
        <v>203</v>
      </c>
      <c r="I12" s="11" t="s">
        <v>204</v>
      </c>
    </row>
    <row r="13" customFormat="false" ht="15" hidden="false" customHeight="false" outlineLevel="0" collapsed="false">
      <c r="B13" s="29" t="s">
        <v>141</v>
      </c>
      <c r="C13" s="29" t="s">
        <v>205</v>
      </c>
      <c r="D13" s="41" t="n">
        <f aca="false">D14-D15-D16-D17-D18</f>
        <v>200.109674728941</v>
      </c>
      <c r="E13" s="37" t="n">
        <f aca="false">IFERROR(D13/$D$5,0)</f>
        <v>0.0400219349457882</v>
      </c>
      <c r="F13" s="41" t="n">
        <f aca="false">F14-F15-F16-F17-F18</f>
        <v>14.7914909090909</v>
      </c>
      <c r="G13" s="37" t="n">
        <f aca="false">IF(F13="","",IFERROR(F13/$F$5,0))</f>
        <v>0.0643108300395257</v>
      </c>
      <c r="H13" s="41" t="n">
        <f aca="false">IF(F13="","",F13-D13)</f>
        <v>-185.31818381985</v>
      </c>
      <c r="I13" s="49" t="s">
        <v>206</v>
      </c>
    </row>
    <row r="14" customFormat="false" ht="15" hidden="false" customHeight="false" outlineLevel="0" collapsed="false">
      <c r="B14" s="25"/>
      <c r="C14" s="25" t="s">
        <v>207</v>
      </c>
      <c r="D14" s="28" t="n">
        <f aca="false">D5/11</f>
        <v>454.545454545455</v>
      </c>
      <c r="E14" s="27" t="n">
        <f aca="false">IFERROR(D14/$D$5,0)</f>
        <v>0.0909090909090909</v>
      </c>
      <c r="F14" s="28" t="n">
        <f aca="false">F5/11</f>
        <v>20.9090909090909</v>
      </c>
      <c r="G14" s="27" t="n">
        <f aca="false">IF(F14="","",IFERROR(F14/$F$5,0))</f>
        <v>0.0909090909090909</v>
      </c>
      <c r="H14" s="28" t="n">
        <f aca="false">IF(F14="","",F14-D14)</f>
        <v>-433.636363636364</v>
      </c>
      <c r="I14" s="49" t="s">
        <v>208</v>
      </c>
    </row>
    <row r="15" customFormat="false" ht="25.35" hidden="false" customHeight="false" outlineLevel="0" collapsed="false">
      <c r="B15" s="25"/>
      <c r="C15" s="35" t="s">
        <v>209</v>
      </c>
      <c r="D15" s="50" t="n">
        <v>85</v>
      </c>
      <c r="E15" s="27" t="n">
        <f aca="false">IFERROR(D15/$D$5,0)</f>
        <v>0.017</v>
      </c>
      <c r="F15" s="50"/>
      <c r="G15" s="27" t="str">
        <f aca="false">IF(F15="","",IFERROR(F15/$F$5,0))</f>
        <v/>
      </c>
      <c r="H15" s="28" t="str">
        <f aca="false">IF(F15="","",F15-D15)</f>
        <v/>
      </c>
      <c r="I15" s="49" t="s">
        <v>210</v>
      </c>
    </row>
    <row r="16" customFormat="false" ht="15" hidden="false" customHeight="false" outlineLevel="0" collapsed="false">
      <c r="B16" s="25"/>
      <c r="C16" s="35" t="s">
        <v>211</v>
      </c>
      <c r="D16" s="28" t="n">
        <f aca="false">(D19-D28-D29)*$D$8*$D$10</f>
        <v>60.9357798165138</v>
      </c>
      <c r="E16" s="27" t="n">
        <f aca="false">IFERROR(D16/$D$5,0)</f>
        <v>0.0121871559633028</v>
      </c>
      <c r="F16" s="26" t="n">
        <f aca="false">매출원가계산서!$C$55/10000</f>
        <v>3.4266</v>
      </c>
      <c r="G16" s="27" t="n">
        <f aca="false">IF(F16="","",IFERROR(F16/$F$5,0))</f>
        <v>0.0148982608695652</v>
      </c>
      <c r="H16" s="28" t="n">
        <f aca="false">IF(F16="","",F16-D16)</f>
        <v>-57.5091798165138</v>
      </c>
      <c r="I16" s="49" t="s">
        <v>212</v>
      </c>
    </row>
    <row r="17" customFormat="false" ht="15" hidden="false" customHeight="false" outlineLevel="0" collapsed="false">
      <c r="B17" s="25"/>
      <c r="C17" s="35" t="s">
        <v>213</v>
      </c>
      <c r="D17" s="28" t="n">
        <f aca="false">D51</f>
        <v>50</v>
      </c>
      <c r="E17" s="27" t="n">
        <f aca="false">IFERROR(D17/$D$5,0)</f>
        <v>0.01</v>
      </c>
      <c r="F17" s="28" t="n">
        <f aca="false">F51</f>
        <v>0</v>
      </c>
      <c r="G17" s="27" t="n">
        <f aca="false">IF(F17="","",IFERROR(F17/$F$5,0))</f>
        <v>0</v>
      </c>
      <c r="H17" s="28" t="n">
        <f aca="false">IF(F17="","",F17-D17)</f>
        <v>-50</v>
      </c>
      <c r="I17" s="49" t="s">
        <v>214</v>
      </c>
    </row>
    <row r="18" customFormat="false" ht="15" hidden="false" customHeight="false" outlineLevel="0" collapsed="false">
      <c r="B18" s="25"/>
      <c r="C18" s="35" t="s">
        <v>215</v>
      </c>
      <c r="D18" s="28" t="n">
        <f aca="false">MIN(D5*$D$6*$D$9,1000/12)</f>
        <v>58.5</v>
      </c>
      <c r="E18" s="27" t="n">
        <f aca="false">IFERROR(D18/$D$5,0)</f>
        <v>0.0117</v>
      </c>
      <c r="F18" s="28" t="n">
        <f aca="false">MIN(F5*$D$6*$D$9,1000/12)</f>
        <v>2.691</v>
      </c>
      <c r="G18" s="27" t="n">
        <f aca="false">IF(F18="","",IFERROR(F18/$F$5,0))</f>
        <v>0.0117</v>
      </c>
      <c r="H18" s="28" t="n">
        <f aca="false">IF(F18="","",F18-D18)</f>
        <v>-55.809</v>
      </c>
      <c r="I18" s="49" t="s">
        <v>216</v>
      </c>
    </row>
    <row r="19" customFormat="false" ht="15" hidden="false" customHeight="false" outlineLevel="0" collapsed="false">
      <c r="B19" s="29" t="s">
        <v>217</v>
      </c>
      <c r="C19" s="29" t="s">
        <v>205</v>
      </c>
      <c r="D19" s="41" t="n">
        <f aca="false">SUM(D20:D29)</f>
        <v>1750</v>
      </c>
      <c r="E19" s="37" t="n">
        <f aca="false">IFERROR(D19/$D$5,0)</f>
        <v>0.35</v>
      </c>
      <c r="F19" s="41" t="n">
        <f aca="false">SUM(F20:F29)</f>
        <v>70.3</v>
      </c>
      <c r="G19" s="37" t="n">
        <f aca="false">IF(F19="","",IFERROR(F19/$F$5,0))</f>
        <v>0.305652173913043</v>
      </c>
      <c r="H19" s="41" t="n">
        <f aca="false">IF(F19="","",F19-D19)</f>
        <v>-1679.7</v>
      </c>
      <c r="I19" s="49" t="s">
        <v>218</v>
      </c>
    </row>
    <row r="20" customFormat="false" ht="15" hidden="false" customHeight="false" outlineLevel="0" collapsed="false">
      <c r="B20" s="25"/>
      <c r="C20" s="25" t="s">
        <v>49</v>
      </c>
      <c r="D20" s="50" t="n">
        <v>650</v>
      </c>
      <c r="E20" s="27" t="n">
        <f aca="false">IFERROR(D20/$D$5,0)</f>
        <v>0.13</v>
      </c>
      <c r="F20" s="26" t="n">
        <f aca="false">매출원가계산서!$G$14/10000</f>
        <v>41.5</v>
      </c>
      <c r="G20" s="27" t="n">
        <f aca="false">IF(F20="","",IFERROR(F20/$F$5,0))</f>
        <v>0.180434782608696</v>
      </c>
      <c r="H20" s="28" t="n">
        <f aca="false">IF(F20="","",F20-D20)</f>
        <v>-608.5</v>
      </c>
      <c r="I20" s="49" t="s">
        <v>219</v>
      </c>
    </row>
    <row r="21" customFormat="false" ht="15" hidden="false" customHeight="false" outlineLevel="0" collapsed="false">
      <c r="B21" s="25"/>
      <c r="C21" s="25" t="s">
        <v>90</v>
      </c>
      <c r="D21" s="50" t="n">
        <v>70</v>
      </c>
      <c r="E21" s="27" t="n">
        <f aca="false">IFERROR(D21/$D$5,0)</f>
        <v>0.014</v>
      </c>
      <c r="F21" s="26" t="n">
        <f aca="false">매출원가계산서!$G$15/10000</f>
        <v>0</v>
      </c>
      <c r="G21" s="27" t="n">
        <f aca="false">IF(F21="","",IFERROR(F21/$F$5,0))</f>
        <v>0</v>
      </c>
      <c r="H21" s="28" t="n">
        <f aca="false">IF(F21="","",F21-D21)</f>
        <v>-70</v>
      </c>
      <c r="I21" s="49" t="s">
        <v>220</v>
      </c>
    </row>
    <row r="22" customFormat="false" ht="15" hidden="false" customHeight="false" outlineLevel="0" collapsed="false">
      <c r="B22" s="25"/>
      <c r="C22" s="25" t="s">
        <v>99</v>
      </c>
      <c r="D22" s="50" t="n">
        <v>120</v>
      </c>
      <c r="E22" s="27" t="n">
        <f aca="false">IFERROR(D22/$D$5,0)</f>
        <v>0.024</v>
      </c>
      <c r="F22" s="26" t="n">
        <f aca="false">매출원가계산서!$G$16/10000</f>
        <v>0</v>
      </c>
      <c r="G22" s="27" t="n">
        <f aca="false">IF(F22="","",IFERROR(F22/$F$5,0))</f>
        <v>0</v>
      </c>
      <c r="H22" s="28" t="n">
        <f aca="false">IF(F22="","",F22-D22)</f>
        <v>-120</v>
      </c>
      <c r="I22" s="49" t="s">
        <v>221</v>
      </c>
    </row>
    <row r="23" customFormat="false" ht="15" hidden="false" customHeight="false" outlineLevel="0" collapsed="false">
      <c r="B23" s="25"/>
      <c r="C23" s="25" t="s">
        <v>222</v>
      </c>
      <c r="D23" s="50" t="n">
        <v>110</v>
      </c>
      <c r="E23" s="27" t="n">
        <f aca="false">IFERROR(D23/$D$5,0)</f>
        <v>0.022</v>
      </c>
      <c r="F23" s="26" t="n">
        <f aca="false">매출원가계산서!$G$17/10000</f>
        <v>0</v>
      </c>
      <c r="G23" s="27" t="n">
        <f aca="false">IF(F23="","",IFERROR(F23/$F$5,0))</f>
        <v>0</v>
      </c>
      <c r="H23" s="28" t="n">
        <f aca="false">IF(F23="","",F23-D23)</f>
        <v>-110</v>
      </c>
      <c r="I23" s="49" t="s">
        <v>223</v>
      </c>
    </row>
    <row r="24" customFormat="false" ht="15" hidden="false" customHeight="false" outlineLevel="0" collapsed="false">
      <c r="B24" s="25"/>
      <c r="C24" s="25" t="s">
        <v>224</v>
      </c>
      <c r="D24" s="50" t="n">
        <v>80</v>
      </c>
      <c r="E24" s="27" t="n">
        <f aca="false">IFERROR(D24/$D$5,0)</f>
        <v>0.016</v>
      </c>
      <c r="F24" s="26" t="n">
        <f aca="false">매출원가계산서!$G$18/10000</f>
        <v>0</v>
      </c>
      <c r="G24" s="27" t="n">
        <f aca="false">IF(F24="","",IFERROR(F24/$F$5,0))</f>
        <v>0</v>
      </c>
      <c r="H24" s="28" t="n">
        <f aca="false">IF(F24="","",F24-D24)</f>
        <v>-80</v>
      </c>
      <c r="I24" s="49" t="s">
        <v>225</v>
      </c>
    </row>
    <row r="25" customFormat="false" ht="15" hidden="false" customHeight="false" outlineLevel="0" collapsed="false">
      <c r="B25" s="25"/>
      <c r="C25" s="25" t="s">
        <v>226</v>
      </c>
      <c r="D25" s="50" t="n">
        <v>50</v>
      </c>
      <c r="E25" s="27" t="n">
        <f aca="false">IFERROR(D25/$D$5,0)</f>
        <v>0.01</v>
      </c>
      <c r="F25" s="26" t="n">
        <f aca="false">매출원가계산서!$G$19/10000</f>
        <v>0</v>
      </c>
      <c r="G25" s="27" t="n">
        <f aca="false">IF(F25="","",IFERROR(F25/$F$5,0))</f>
        <v>0</v>
      </c>
      <c r="H25" s="28" t="n">
        <f aca="false">IF(F25="","",F25-D25)</f>
        <v>-50</v>
      </c>
      <c r="I25" s="49" t="s">
        <v>227</v>
      </c>
    </row>
    <row r="26" customFormat="false" ht="15" hidden="false" customHeight="false" outlineLevel="0" collapsed="false">
      <c r="B26" s="25"/>
      <c r="C26" s="25" t="s">
        <v>228</v>
      </c>
      <c r="D26" s="50" t="n">
        <v>90</v>
      </c>
      <c r="E26" s="27" t="n">
        <f aca="false">IFERROR(D26/$D$5,0)</f>
        <v>0.018</v>
      </c>
      <c r="F26" s="26" t="n">
        <f aca="false">매출원가계산서!$G$20/10000</f>
        <v>0</v>
      </c>
      <c r="G26" s="27" t="n">
        <f aca="false">IF(F26="","",IFERROR(F26/$F$5,0))</f>
        <v>0</v>
      </c>
      <c r="H26" s="28" t="n">
        <f aca="false">IF(F26="","",F26-D26)</f>
        <v>-90</v>
      </c>
      <c r="I26" s="49" t="s">
        <v>229</v>
      </c>
    </row>
    <row r="27" customFormat="false" ht="15" hidden="false" customHeight="false" outlineLevel="0" collapsed="false">
      <c r="B27" s="25"/>
      <c r="C27" s="25" t="s">
        <v>230</v>
      </c>
      <c r="D27" s="50" t="n">
        <v>60</v>
      </c>
      <c r="E27" s="27" t="n">
        <f aca="false">IFERROR(D27/$D$5,0)</f>
        <v>0.012</v>
      </c>
      <c r="F27" s="26" t="n">
        <f aca="false">매출원가계산서!$G$21/10000</f>
        <v>0</v>
      </c>
      <c r="G27" s="27" t="n">
        <f aca="false">IF(F27="","",IFERROR(F27/$F$5,0))</f>
        <v>0</v>
      </c>
      <c r="H27" s="28" t="n">
        <f aca="false">IF(F27="","",F27-D27)</f>
        <v>-60</v>
      </c>
      <c r="I27" s="49" t="s">
        <v>231</v>
      </c>
    </row>
    <row r="28" customFormat="false" ht="15" hidden="false" customHeight="false" outlineLevel="0" collapsed="false">
      <c r="B28" s="25"/>
      <c r="C28" s="25" t="s">
        <v>53</v>
      </c>
      <c r="D28" s="50" t="n">
        <v>450</v>
      </c>
      <c r="E28" s="27" t="n">
        <f aca="false">IFERROR(D28/$D$5,0)</f>
        <v>0.09</v>
      </c>
      <c r="F28" s="26" t="n">
        <f aca="false">매출원가계산서!$G$22/10000</f>
        <v>28.8</v>
      </c>
      <c r="G28" s="27" t="n">
        <f aca="false">IF(F28="","",IFERROR(F28/$F$5,0))</f>
        <v>0.125217391304348</v>
      </c>
      <c r="H28" s="28" t="n">
        <f aca="false">IF(F28="","",F28-D28)</f>
        <v>-421.2</v>
      </c>
      <c r="I28" s="49" t="s">
        <v>232</v>
      </c>
    </row>
    <row r="29" customFormat="false" ht="15" hidden="false" customHeight="false" outlineLevel="0" collapsed="false">
      <c r="B29" s="25"/>
      <c r="C29" s="25" t="s">
        <v>233</v>
      </c>
      <c r="D29" s="50" t="n">
        <v>70</v>
      </c>
      <c r="E29" s="27" t="n">
        <f aca="false">IFERROR(D29/$D$5,0)</f>
        <v>0.014</v>
      </c>
      <c r="F29" s="26" t="n">
        <f aca="false">매출원가계산서!$G$23/10000</f>
        <v>0</v>
      </c>
      <c r="G29" s="27" t="n">
        <f aca="false">IF(F29="","",IFERROR(F29/$F$5,0))</f>
        <v>0</v>
      </c>
      <c r="H29" s="28" t="n">
        <f aca="false">IF(F29="","",F29-D29)</f>
        <v>-70</v>
      </c>
      <c r="I29" s="49" t="s">
        <v>234</v>
      </c>
    </row>
    <row r="30" customFormat="false" ht="15" hidden="false" customHeight="false" outlineLevel="0" collapsed="false">
      <c r="B30" s="29" t="s">
        <v>235</v>
      </c>
      <c r="C30" s="29" t="s">
        <v>205</v>
      </c>
      <c r="D30" s="41" t="n">
        <f aca="false">SUM(D31:D35)</f>
        <v>149.9</v>
      </c>
      <c r="E30" s="37" t="n">
        <f aca="false">IFERROR(D30/$D$5,0)</f>
        <v>0.02998</v>
      </c>
      <c r="F30" s="41" t="n">
        <f aca="false">SUM(F31:F35)</f>
        <v>2.5254</v>
      </c>
      <c r="G30" s="37" t="n">
        <f aca="false">IF(F30="","",IFERROR(F30/$F$5,0))</f>
        <v>0.01098</v>
      </c>
      <c r="H30" s="41" t="n">
        <f aca="false">IF(F30="","",F30-D30)</f>
        <v>-147.3746</v>
      </c>
      <c r="I30" s="49"/>
    </row>
    <row r="31" customFormat="false" ht="15" hidden="false" customHeight="false" outlineLevel="0" collapsed="false">
      <c r="B31" s="25"/>
      <c r="C31" s="25" t="s">
        <v>236</v>
      </c>
      <c r="D31" s="28" t="n">
        <f aca="false">D5*$D$6*$D$7</f>
        <v>54.9</v>
      </c>
      <c r="E31" s="27" t="n">
        <f aca="false">IFERROR(D31/$D$5,0)</f>
        <v>0.01098</v>
      </c>
      <c r="F31" s="28" t="n">
        <f aca="false">F5*$D$6*$D$7</f>
        <v>2.5254</v>
      </c>
      <c r="G31" s="27" t="n">
        <f aca="false">IF(F31="","",IFERROR(F31/$F$5,0))</f>
        <v>0.01098</v>
      </c>
      <c r="H31" s="28" t="n">
        <f aca="false">IF(F31="","",F31-D31)</f>
        <v>-52.3746</v>
      </c>
      <c r="I31" s="49" t="s">
        <v>237</v>
      </c>
    </row>
    <row r="32" customFormat="false" ht="15" hidden="false" customHeight="false" outlineLevel="0" collapsed="false">
      <c r="B32" s="25"/>
      <c r="C32" s="25" t="s">
        <v>238</v>
      </c>
      <c r="D32" s="50" t="n">
        <v>30</v>
      </c>
      <c r="E32" s="27" t="n">
        <f aca="false">IFERROR(D32/$D$5,0)</f>
        <v>0.006</v>
      </c>
      <c r="F32" s="50"/>
      <c r="G32" s="27" t="str">
        <f aca="false">IF(F32="","",IFERROR(F32/$F$5,0))</f>
        <v/>
      </c>
      <c r="H32" s="28" t="str">
        <f aca="false">IF(F32="","",F32-D32)</f>
        <v/>
      </c>
      <c r="I32" s="49" t="s">
        <v>239</v>
      </c>
    </row>
    <row r="33" customFormat="false" ht="15" hidden="false" customHeight="false" outlineLevel="0" collapsed="false">
      <c r="B33" s="25"/>
      <c r="C33" s="25" t="s">
        <v>240</v>
      </c>
      <c r="D33" s="50" t="n">
        <v>40</v>
      </c>
      <c r="E33" s="27" t="n">
        <f aca="false">IFERROR(D33/$D$5,0)</f>
        <v>0.008</v>
      </c>
      <c r="F33" s="50"/>
      <c r="G33" s="27" t="str">
        <f aca="false">IF(F33="","",IFERROR(F33/$F$5,0))</f>
        <v/>
      </c>
      <c r="H33" s="28" t="str">
        <f aca="false">IF(F33="","",F33-D33)</f>
        <v/>
      </c>
      <c r="I33" s="49" t="s">
        <v>241</v>
      </c>
    </row>
    <row r="34" customFormat="false" ht="15" hidden="false" customHeight="false" outlineLevel="0" collapsed="false">
      <c r="B34" s="25"/>
      <c r="C34" s="25" t="s">
        <v>242</v>
      </c>
      <c r="D34" s="50" t="n">
        <v>10</v>
      </c>
      <c r="E34" s="27" t="n">
        <f aca="false">IFERROR(D34/$D$5,0)</f>
        <v>0.002</v>
      </c>
      <c r="F34" s="50"/>
      <c r="G34" s="27" t="str">
        <f aca="false">IF(F34="","",IFERROR(F34/$F$5,0))</f>
        <v/>
      </c>
      <c r="H34" s="28" t="str">
        <f aca="false">IF(F34="","",F34-D34)</f>
        <v/>
      </c>
      <c r="I34" s="49" t="s">
        <v>243</v>
      </c>
    </row>
    <row r="35" customFormat="false" ht="15" hidden="false" customHeight="false" outlineLevel="0" collapsed="false">
      <c r="B35" s="25"/>
      <c r="C35" s="25" t="s">
        <v>244</v>
      </c>
      <c r="D35" s="50" t="n">
        <v>15</v>
      </c>
      <c r="E35" s="27" t="n">
        <f aca="false">IFERROR(D35/$D$5,0)</f>
        <v>0.003</v>
      </c>
      <c r="F35" s="50"/>
      <c r="G35" s="27" t="str">
        <f aca="false">IF(F35="","",IFERROR(F35/$F$5,0))</f>
        <v/>
      </c>
      <c r="H35" s="28" t="str">
        <f aca="false">IF(F35="","",F35-D35)</f>
        <v/>
      </c>
      <c r="I35" s="49" t="s">
        <v>245</v>
      </c>
    </row>
    <row r="36" customFormat="false" ht="15" hidden="false" customHeight="false" outlineLevel="0" collapsed="false">
      <c r="B36" s="29" t="s">
        <v>246</v>
      </c>
      <c r="C36" s="29" t="s">
        <v>205</v>
      </c>
      <c r="D36" s="41" t="n">
        <f aca="false">SUM(D37:D42)</f>
        <v>1300</v>
      </c>
      <c r="E36" s="37" t="n">
        <f aca="false">IFERROR(D36/$D$5,0)</f>
        <v>0.26</v>
      </c>
      <c r="F36" s="41" t="n">
        <f aca="false">SUM(F37:F42)</f>
        <v>0</v>
      </c>
      <c r="G36" s="37" t="n">
        <f aca="false">IF(F36="","",IFERROR(F36/$F$5,0))</f>
        <v>0</v>
      </c>
      <c r="H36" s="41" t="n">
        <f aca="false">IF(F36="","",F36-D36)</f>
        <v>-1300</v>
      </c>
      <c r="I36" s="49"/>
    </row>
    <row r="37" customFormat="false" ht="15" hidden="false" customHeight="false" outlineLevel="0" collapsed="false">
      <c r="B37" s="25"/>
      <c r="C37" s="25" t="s">
        <v>247</v>
      </c>
      <c r="D37" s="50" t="n">
        <v>600</v>
      </c>
      <c r="E37" s="27" t="n">
        <f aca="false">IFERROR(D37/$D$5,0)</f>
        <v>0.12</v>
      </c>
      <c r="F37" s="50"/>
      <c r="G37" s="27" t="str">
        <f aca="false">IF(F37="","",IFERROR(F37/$F$5,0))</f>
        <v/>
      </c>
      <c r="H37" s="28" t="str">
        <f aca="false">IF(F37="","",F37-D37)</f>
        <v/>
      </c>
      <c r="I37" s="49" t="s">
        <v>248</v>
      </c>
    </row>
    <row r="38" customFormat="false" ht="15" hidden="false" customHeight="false" outlineLevel="0" collapsed="false">
      <c r="B38" s="25"/>
      <c r="C38" s="25" t="s">
        <v>249</v>
      </c>
      <c r="D38" s="50" t="n">
        <v>280</v>
      </c>
      <c r="E38" s="27" t="n">
        <f aca="false">IFERROR(D38/$D$5,0)</f>
        <v>0.056</v>
      </c>
      <c r="F38" s="50"/>
      <c r="G38" s="27" t="str">
        <f aca="false">IF(F38="","",IFERROR(F38/$F$5,0))</f>
        <v/>
      </c>
      <c r="H38" s="28" t="str">
        <f aca="false">IF(F38="","",F38-D38)</f>
        <v/>
      </c>
      <c r="I38" s="49" t="s">
        <v>250</v>
      </c>
    </row>
    <row r="39" customFormat="false" ht="15" hidden="false" customHeight="false" outlineLevel="0" collapsed="false">
      <c r="B39" s="25"/>
      <c r="C39" s="25" t="s">
        <v>251</v>
      </c>
      <c r="D39" s="50" t="n">
        <v>230</v>
      </c>
      <c r="E39" s="27" t="n">
        <f aca="false">IFERROR(D39/$D$5,0)</f>
        <v>0.046</v>
      </c>
      <c r="F39" s="50"/>
      <c r="G39" s="27" t="str">
        <f aca="false">IF(F39="","",IFERROR(F39/$F$5,0))</f>
        <v/>
      </c>
      <c r="H39" s="28" t="str">
        <f aca="false">IF(F39="","",F39-D39)</f>
        <v/>
      </c>
      <c r="I39" s="49" t="s">
        <v>252</v>
      </c>
    </row>
    <row r="40" customFormat="false" ht="15" hidden="false" customHeight="false" outlineLevel="0" collapsed="false">
      <c r="B40" s="25"/>
      <c r="C40" s="35" t="s">
        <v>253</v>
      </c>
      <c r="D40" s="50" t="n">
        <v>110</v>
      </c>
      <c r="E40" s="27" t="n">
        <f aca="false">IFERROR(D40/$D$5,0)</f>
        <v>0.022</v>
      </c>
      <c r="F40" s="50"/>
      <c r="G40" s="27" t="str">
        <f aca="false">IF(F40="","",IFERROR(F40/$F$5,0))</f>
        <v/>
      </c>
      <c r="H40" s="28" t="str">
        <f aca="false">IF(F40="","",F40-D40)</f>
        <v/>
      </c>
      <c r="I40" s="49" t="s">
        <v>254</v>
      </c>
    </row>
    <row r="41" customFormat="false" ht="15" hidden="false" customHeight="false" outlineLevel="0" collapsed="false">
      <c r="B41" s="25"/>
      <c r="C41" s="25" t="s">
        <v>255</v>
      </c>
      <c r="D41" s="50" t="n">
        <v>60</v>
      </c>
      <c r="E41" s="27" t="n">
        <f aca="false">IFERROR(D41/$D$5,0)</f>
        <v>0.012</v>
      </c>
      <c r="F41" s="50"/>
      <c r="G41" s="27" t="str">
        <f aca="false">IF(F41="","",IFERROR(F41/$F$5,0))</f>
        <v/>
      </c>
      <c r="H41" s="28" t="str">
        <f aca="false">IF(F41="","",F41-D41)</f>
        <v/>
      </c>
      <c r="I41" s="51" t="s">
        <v>256</v>
      </c>
    </row>
    <row r="42" customFormat="false" ht="15" hidden="false" customHeight="false" outlineLevel="0" collapsed="false">
      <c r="B42" s="25"/>
      <c r="C42" s="25" t="s">
        <v>257</v>
      </c>
      <c r="D42" s="50" t="n">
        <v>20</v>
      </c>
      <c r="E42" s="27" t="n">
        <f aca="false">IFERROR(D42/$D$5,0)</f>
        <v>0.004</v>
      </c>
      <c r="F42" s="50"/>
      <c r="G42" s="27" t="str">
        <f aca="false">IF(F42="","",IFERROR(F42/$F$5,0))</f>
        <v/>
      </c>
      <c r="H42" s="28" t="str">
        <f aca="false">IF(F42="","",F42-D42)</f>
        <v/>
      </c>
      <c r="I42" s="49" t="s">
        <v>258</v>
      </c>
    </row>
    <row r="43" customFormat="false" ht="15" hidden="false" customHeight="false" outlineLevel="0" collapsed="false">
      <c r="B43" s="29" t="s">
        <v>259</v>
      </c>
      <c r="C43" s="29" t="s">
        <v>205</v>
      </c>
      <c r="D43" s="41" t="n">
        <f aca="false">SUM(D44:D48)</f>
        <v>230</v>
      </c>
      <c r="E43" s="37" t="n">
        <f aca="false">IFERROR(D43/$D$5,0)</f>
        <v>0.046</v>
      </c>
      <c r="F43" s="41" t="n">
        <f aca="false">SUM(F44:F48)</f>
        <v>0</v>
      </c>
      <c r="G43" s="37" t="n">
        <f aca="false">IF(F43="","",IFERROR(F43/$F$5,0))</f>
        <v>0</v>
      </c>
      <c r="H43" s="41" t="n">
        <f aca="false">IF(F43="","",F43-D43)</f>
        <v>-230</v>
      </c>
      <c r="I43" s="49"/>
    </row>
    <row r="44" customFormat="false" ht="15" hidden="false" customHeight="false" outlineLevel="0" collapsed="false">
      <c r="B44" s="25"/>
      <c r="C44" s="25" t="s">
        <v>260</v>
      </c>
      <c r="D44" s="50" t="n">
        <v>80</v>
      </c>
      <c r="E44" s="27" t="n">
        <f aca="false">IFERROR(D44/$D$5,0)</f>
        <v>0.016</v>
      </c>
      <c r="F44" s="50"/>
      <c r="G44" s="27" t="str">
        <f aca="false">IF(F44="","",IFERROR(F44/$F$5,0))</f>
        <v/>
      </c>
      <c r="H44" s="28" t="str">
        <f aca="false">IF(F44="","",F44-D44)</f>
        <v/>
      </c>
      <c r="I44" s="49" t="s">
        <v>261</v>
      </c>
    </row>
    <row r="45" customFormat="false" ht="15" hidden="false" customHeight="false" outlineLevel="0" collapsed="false">
      <c r="B45" s="25"/>
      <c r="C45" s="25" t="s">
        <v>262</v>
      </c>
      <c r="D45" s="50" t="n">
        <v>70</v>
      </c>
      <c r="E45" s="27" t="n">
        <f aca="false">IFERROR(D45/$D$5,0)</f>
        <v>0.014</v>
      </c>
      <c r="F45" s="50"/>
      <c r="G45" s="27" t="str">
        <f aca="false">IF(F45="","",IFERROR(F45/$F$5,0))</f>
        <v/>
      </c>
      <c r="H45" s="28" t="str">
        <f aca="false">IF(F45="","",F45-D45)</f>
        <v/>
      </c>
      <c r="I45" s="49" t="s">
        <v>263</v>
      </c>
    </row>
    <row r="46" customFormat="false" ht="15" hidden="false" customHeight="false" outlineLevel="0" collapsed="false">
      <c r="B46" s="25"/>
      <c r="C46" s="25" t="s">
        <v>264</v>
      </c>
      <c r="D46" s="50" t="n">
        <v>15</v>
      </c>
      <c r="E46" s="27" t="n">
        <f aca="false">IFERROR(D46/$D$5,0)</f>
        <v>0.003</v>
      </c>
      <c r="F46" s="50"/>
      <c r="G46" s="27" t="str">
        <f aca="false">IF(F46="","",IFERROR(F46/$F$5,0))</f>
        <v/>
      </c>
      <c r="H46" s="28" t="str">
        <f aca="false">IF(F46="","",F46-D46)</f>
        <v/>
      </c>
      <c r="I46" s="49"/>
    </row>
    <row r="47" customFormat="false" ht="15" hidden="false" customHeight="false" outlineLevel="0" collapsed="false">
      <c r="B47" s="25"/>
      <c r="C47" s="25" t="s">
        <v>265</v>
      </c>
      <c r="D47" s="50" t="n">
        <v>50</v>
      </c>
      <c r="E47" s="27" t="n">
        <f aca="false">IFERROR(D47/$D$5,0)</f>
        <v>0.01</v>
      </c>
      <c r="F47" s="50"/>
      <c r="G47" s="27" t="str">
        <f aca="false">IF(F47="","",IFERROR(F47/$F$5,0))</f>
        <v/>
      </c>
      <c r="H47" s="28" t="str">
        <f aca="false">IF(F47="","",F47-D47)</f>
        <v/>
      </c>
      <c r="I47" s="49" t="s">
        <v>266</v>
      </c>
    </row>
    <row r="48" customFormat="false" ht="15" hidden="false" customHeight="false" outlineLevel="0" collapsed="false">
      <c r="B48" s="25"/>
      <c r="C48" s="25" t="s">
        <v>267</v>
      </c>
      <c r="D48" s="50" t="n">
        <v>15</v>
      </c>
      <c r="E48" s="27" t="n">
        <f aca="false">IFERROR(D48/$D$5,0)</f>
        <v>0.003</v>
      </c>
      <c r="F48" s="50"/>
      <c r="G48" s="27" t="str">
        <f aca="false">IF(F48="","",IFERROR(F48/$F$5,0))</f>
        <v/>
      </c>
      <c r="H48" s="28" t="str">
        <f aca="false">IF(F48="","",F48-D48)</f>
        <v/>
      </c>
      <c r="I48" s="49" t="s">
        <v>268</v>
      </c>
    </row>
    <row r="49" customFormat="false" ht="15" hidden="false" customHeight="false" outlineLevel="0" collapsed="false">
      <c r="B49" s="29" t="s">
        <v>269</v>
      </c>
      <c r="C49" s="29" t="s">
        <v>205</v>
      </c>
      <c r="D49" s="41" t="n">
        <f aca="false">SUM(D50:D51)</f>
        <v>550</v>
      </c>
      <c r="E49" s="37" t="n">
        <f aca="false">IFERROR(D49/$D$5,0)</f>
        <v>0.11</v>
      </c>
      <c r="F49" s="41" t="n">
        <f aca="false">SUM(F50:F51)</f>
        <v>0</v>
      </c>
      <c r="G49" s="37" t="n">
        <f aca="false">IF(F49="","",IFERROR(F49/$F$5,0))</f>
        <v>0</v>
      </c>
      <c r="H49" s="41" t="n">
        <f aca="false">IF(F49="","",F49-D49)</f>
        <v>-550</v>
      </c>
      <c r="I49" s="49"/>
    </row>
    <row r="50" customFormat="false" ht="15" hidden="false" customHeight="false" outlineLevel="0" collapsed="false">
      <c r="B50" s="25"/>
      <c r="C50" s="25" t="s">
        <v>270</v>
      </c>
      <c r="D50" s="50" t="n">
        <v>500</v>
      </c>
      <c r="E50" s="27" t="n">
        <f aca="false">IFERROR(D50/$D$5,0)</f>
        <v>0.1</v>
      </c>
      <c r="F50" s="50"/>
      <c r="G50" s="27" t="str">
        <f aca="false">IF(F50="","",IFERROR(F50/$F$5,0))</f>
        <v/>
      </c>
      <c r="H50" s="28" t="str">
        <f aca="false">IF(F50="","",F50-D50)</f>
        <v/>
      </c>
      <c r="I50" s="49" t="s">
        <v>271</v>
      </c>
    </row>
    <row r="51" customFormat="false" ht="15" hidden="false" customHeight="false" outlineLevel="0" collapsed="false">
      <c r="B51" s="25"/>
      <c r="C51" s="25" t="s">
        <v>272</v>
      </c>
      <c r="D51" s="28" t="n">
        <f aca="false">D50*0.1</f>
        <v>50</v>
      </c>
      <c r="E51" s="27" t="n">
        <f aca="false">IFERROR(D51/$D$5,0)</f>
        <v>0.01</v>
      </c>
      <c r="F51" s="28" t="n">
        <f aca="false">F50*0.1</f>
        <v>0</v>
      </c>
      <c r="G51" s="27" t="n">
        <f aca="false">IF(F51="","",IFERROR(F51/$F$5,0))</f>
        <v>0</v>
      </c>
      <c r="H51" s="28" t="n">
        <f aca="false">IF(F51="","",F51-D51)</f>
        <v>-50</v>
      </c>
      <c r="I51" s="49" t="s">
        <v>273</v>
      </c>
    </row>
    <row r="52" customFormat="false" ht="15" hidden="false" customHeight="false" outlineLevel="0" collapsed="false">
      <c r="B52" s="29" t="s">
        <v>147</v>
      </c>
      <c r="C52" s="29" t="s">
        <v>205</v>
      </c>
      <c r="D52" s="41" t="n">
        <f aca="false">SUM(D53:D53)</f>
        <v>50</v>
      </c>
      <c r="E52" s="37" t="n">
        <f aca="false">IFERROR(D52/$D$5,0)</f>
        <v>0.01</v>
      </c>
      <c r="F52" s="41" t="n">
        <f aca="false">SUM(F53:F53)</f>
        <v>0</v>
      </c>
      <c r="G52" s="37" t="n">
        <f aca="false">IF(F52="","",IFERROR(F52/$F$5,0))</f>
        <v>0</v>
      </c>
      <c r="H52" s="41" t="n">
        <f aca="false">IF(F52="","",F52-D52)</f>
        <v>-50</v>
      </c>
      <c r="I52" s="49"/>
    </row>
    <row r="53" customFormat="false" ht="15" hidden="false" customHeight="false" outlineLevel="0" collapsed="false">
      <c r="B53" s="25"/>
      <c r="C53" s="25" t="s">
        <v>274</v>
      </c>
      <c r="D53" s="50" t="n">
        <v>50</v>
      </c>
      <c r="E53" s="27" t="n">
        <f aca="false">IFERROR(D53/$D$5,0)</f>
        <v>0.01</v>
      </c>
      <c r="F53" s="50"/>
      <c r="G53" s="27" t="str">
        <f aca="false">IF(F53="","",IFERROR(F53/$F$5,0))</f>
        <v/>
      </c>
      <c r="H53" s="28" t="str">
        <f aca="false">IF(F53="","",F53-D53)</f>
        <v/>
      </c>
      <c r="I53" s="49" t="s">
        <v>275</v>
      </c>
    </row>
    <row r="54" customFormat="false" ht="15" hidden="false" customHeight="false" outlineLevel="0" collapsed="false">
      <c r="B54" s="29" t="s">
        <v>148</v>
      </c>
      <c r="C54" s="29" t="s">
        <v>205</v>
      </c>
      <c r="D54" s="41" t="n">
        <f aca="false">SUM(D55:D55)</f>
        <v>100</v>
      </c>
      <c r="E54" s="37" t="n">
        <f aca="false">IFERROR(D54/$D$5,0)</f>
        <v>0.02</v>
      </c>
      <c r="F54" s="41" t="n">
        <f aca="false">SUM(F55:F55)</f>
        <v>0</v>
      </c>
      <c r="G54" s="37" t="n">
        <f aca="false">IF(F54="","",IFERROR(F54/$F$5,0))</f>
        <v>0</v>
      </c>
      <c r="H54" s="41" t="n">
        <f aca="false">IF(F54="","",F54-D54)</f>
        <v>-100</v>
      </c>
      <c r="I54" s="49"/>
    </row>
    <row r="55" customFormat="false" ht="15" hidden="false" customHeight="false" outlineLevel="0" collapsed="false">
      <c r="B55" s="25"/>
      <c r="C55" s="25" t="s">
        <v>276</v>
      </c>
      <c r="D55" s="50" t="n">
        <v>100</v>
      </c>
      <c r="E55" s="27" t="n">
        <f aca="false">IFERROR(D55/$D$5,0)</f>
        <v>0.02</v>
      </c>
      <c r="F55" s="50"/>
      <c r="G55" s="27" t="str">
        <f aca="false">IF(F55="","",IFERROR(F55/$F$5,0))</f>
        <v/>
      </c>
      <c r="H55" s="28" t="str">
        <f aca="false">IF(F55="","",F55-D55)</f>
        <v/>
      </c>
      <c r="I55" s="49" t="s">
        <v>277</v>
      </c>
    </row>
    <row r="56" customFormat="false" ht="15" hidden="false" customHeight="false" outlineLevel="0" collapsed="false">
      <c r="B56" s="29" t="s">
        <v>149</v>
      </c>
      <c r="C56" s="29" t="s">
        <v>205</v>
      </c>
      <c r="D56" s="41" t="n">
        <f aca="false">SUM(D57:D62)</f>
        <v>500</v>
      </c>
      <c r="E56" s="37" t="n">
        <f aca="false">IFERROR(D56/$D$5,0)</f>
        <v>0.1</v>
      </c>
      <c r="F56" s="41" t="n">
        <f aca="false">SUM(F57:F62)</f>
        <v>0</v>
      </c>
      <c r="G56" s="37" t="n">
        <f aca="false">IF(F56="","",IFERROR(F56/$F$5,0))</f>
        <v>0</v>
      </c>
      <c r="H56" s="41" t="n">
        <f aca="false">IF(F56="","",F56-D56)</f>
        <v>-500</v>
      </c>
      <c r="I56" s="49"/>
    </row>
    <row r="57" customFormat="false" ht="15" hidden="false" customHeight="false" outlineLevel="0" collapsed="false">
      <c r="B57" s="25"/>
      <c r="C57" s="25" t="s">
        <v>278</v>
      </c>
      <c r="D57" s="50" t="n">
        <v>150</v>
      </c>
      <c r="E57" s="27" t="n">
        <f aca="false">IFERROR(D57/$D$5,0)</f>
        <v>0.03</v>
      </c>
      <c r="F57" s="50"/>
      <c r="G57" s="27" t="str">
        <f aca="false">IF(F57="","",IFERROR(F57/$F$5,0))</f>
        <v/>
      </c>
      <c r="H57" s="28" t="str">
        <f aca="false">IF(F57="","",F57-D57)</f>
        <v/>
      </c>
      <c r="I57" s="49" t="s">
        <v>279</v>
      </c>
    </row>
    <row r="58" customFormat="false" ht="15" hidden="false" customHeight="false" outlineLevel="0" collapsed="false">
      <c r="B58" s="25"/>
      <c r="C58" s="25" t="s">
        <v>280</v>
      </c>
      <c r="D58" s="50" t="n">
        <v>120</v>
      </c>
      <c r="E58" s="27" t="n">
        <f aca="false">IFERROR(D58/$D$5,0)</f>
        <v>0.024</v>
      </c>
      <c r="F58" s="50"/>
      <c r="G58" s="27" t="str">
        <f aca="false">IF(F58="","",IFERROR(F58/$F$5,0))</f>
        <v/>
      </c>
      <c r="H58" s="28" t="str">
        <f aca="false">IF(F58="","",F58-D58)</f>
        <v/>
      </c>
      <c r="I58" s="49" t="s">
        <v>281</v>
      </c>
    </row>
    <row r="59" customFormat="false" ht="15" hidden="false" customHeight="false" outlineLevel="0" collapsed="false">
      <c r="B59" s="25"/>
      <c r="C59" s="25" t="s">
        <v>282</v>
      </c>
      <c r="D59" s="50" t="n">
        <v>80</v>
      </c>
      <c r="E59" s="27" t="n">
        <f aca="false">IFERROR(D59/$D$5,0)</f>
        <v>0.016</v>
      </c>
      <c r="F59" s="50"/>
      <c r="G59" s="27" t="str">
        <f aca="false">IF(F59="","",IFERROR(F59/$F$5,0))</f>
        <v/>
      </c>
      <c r="H59" s="28" t="str">
        <f aca="false">IF(F59="","",F59-D59)</f>
        <v/>
      </c>
      <c r="I59" s="49" t="s">
        <v>283</v>
      </c>
    </row>
    <row r="60" customFormat="false" ht="15" hidden="false" customHeight="false" outlineLevel="0" collapsed="false">
      <c r="B60" s="25"/>
      <c r="C60" s="25" t="s">
        <v>284</v>
      </c>
      <c r="D60" s="50" t="n">
        <v>50</v>
      </c>
      <c r="E60" s="27" t="n">
        <f aca="false">IFERROR(D60/$D$5,0)</f>
        <v>0.01</v>
      </c>
      <c r="F60" s="50"/>
      <c r="G60" s="27" t="str">
        <f aca="false">IF(F60="","",IFERROR(F60/$F$5,0))</f>
        <v/>
      </c>
      <c r="H60" s="28" t="str">
        <f aca="false">IF(F60="","",F60-D60)</f>
        <v/>
      </c>
      <c r="I60" s="49" t="s">
        <v>285</v>
      </c>
    </row>
    <row r="61" customFormat="false" ht="15" hidden="false" customHeight="false" outlineLevel="0" collapsed="false">
      <c r="B61" s="25"/>
      <c r="C61" s="25" t="s">
        <v>286</v>
      </c>
      <c r="D61" s="50" t="n">
        <v>50</v>
      </c>
      <c r="E61" s="27" t="n">
        <f aca="false">IFERROR(D61/$D$5,0)</f>
        <v>0.01</v>
      </c>
      <c r="F61" s="50"/>
      <c r="G61" s="27" t="str">
        <f aca="false">IF(F61="","",IFERROR(F61/$F$5,0))</f>
        <v/>
      </c>
      <c r="H61" s="28" t="str">
        <f aca="false">IF(F61="","",F61-D61)</f>
        <v/>
      </c>
      <c r="I61" s="49"/>
    </row>
    <row r="62" customFormat="false" ht="15" hidden="false" customHeight="false" outlineLevel="0" collapsed="false">
      <c r="B62" s="25"/>
      <c r="C62" s="25" t="s">
        <v>287</v>
      </c>
      <c r="D62" s="50" t="n">
        <v>50</v>
      </c>
      <c r="E62" s="27" t="n">
        <f aca="false">IFERROR(D62/$D$5,0)</f>
        <v>0.01</v>
      </c>
      <c r="F62" s="50"/>
      <c r="G62" s="27" t="str">
        <f aca="false">IF(F62="","",IFERROR(F62/$F$5,0))</f>
        <v/>
      </c>
      <c r="H62" s="28" t="str">
        <f aca="false">IF(F62="","",F62-D62)</f>
        <v/>
      </c>
      <c r="I62" s="49" t="s">
        <v>288</v>
      </c>
    </row>
    <row r="63" customFormat="false" ht="15" hidden="false" customHeight="false" outlineLevel="0" collapsed="false">
      <c r="B63" s="29" t="s">
        <v>150</v>
      </c>
      <c r="C63" s="29" t="s">
        <v>205</v>
      </c>
      <c r="D63" s="41" t="n">
        <f aca="false">SUM(D64:D72)</f>
        <v>120</v>
      </c>
      <c r="E63" s="37" t="n">
        <f aca="false">IFERROR(D63/$D$5,0)</f>
        <v>0.024</v>
      </c>
      <c r="F63" s="41" t="n">
        <f aca="false">SUM(F64:F72)</f>
        <v>0</v>
      </c>
      <c r="G63" s="37" t="n">
        <f aca="false">IF(F63="","",IFERROR(F63/$F$5,0))</f>
        <v>0</v>
      </c>
      <c r="H63" s="41" t="n">
        <f aca="false">IF(F63="","",F63-D63)</f>
        <v>-120</v>
      </c>
      <c r="I63" s="49"/>
    </row>
    <row r="64" customFormat="false" ht="15" hidden="false" customHeight="false" outlineLevel="0" collapsed="false">
      <c r="B64" s="25"/>
      <c r="C64" s="35" t="s">
        <v>289</v>
      </c>
      <c r="D64" s="50" t="n">
        <v>15</v>
      </c>
      <c r="E64" s="27" t="n">
        <f aca="false">IFERROR(D64/$D$5,0)</f>
        <v>0.003</v>
      </c>
      <c r="F64" s="50"/>
      <c r="G64" s="27" t="str">
        <f aca="false">IF(F64="","",IFERROR(F64/$F$5,0))</f>
        <v/>
      </c>
      <c r="H64" s="28" t="str">
        <f aca="false">IF(F64="","",F64-D64)</f>
        <v/>
      </c>
      <c r="I64" s="49"/>
    </row>
    <row r="65" customFormat="false" ht="15" hidden="false" customHeight="false" outlineLevel="0" collapsed="false">
      <c r="B65" s="25"/>
      <c r="C65" s="25" t="s">
        <v>290</v>
      </c>
      <c r="D65" s="50" t="n">
        <v>12</v>
      </c>
      <c r="E65" s="27" t="n">
        <f aca="false">IFERROR(D65/$D$5,0)</f>
        <v>0.0024</v>
      </c>
      <c r="F65" s="50"/>
      <c r="G65" s="27" t="str">
        <f aca="false">IF(F65="","",IFERROR(F65/$F$5,0))</f>
        <v/>
      </c>
      <c r="H65" s="28" t="str">
        <f aca="false">IF(F65="","",F65-D65)</f>
        <v/>
      </c>
      <c r="I65" s="49"/>
    </row>
    <row r="66" customFormat="false" ht="15" hidden="false" customHeight="false" outlineLevel="0" collapsed="false">
      <c r="B66" s="25"/>
      <c r="C66" s="25" t="s">
        <v>291</v>
      </c>
      <c r="D66" s="50" t="n">
        <v>10</v>
      </c>
      <c r="E66" s="27" t="n">
        <f aca="false">IFERROR(D66/$D$5,0)</f>
        <v>0.002</v>
      </c>
      <c r="F66" s="50"/>
      <c r="G66" s="27" t="str">
        <f aca="false">IF(F66="","",IFERROR(F66/$F$5,0))</f>
        <v/>
      </c>
      <c r="H66" s="28" t="str">
        <f aca="false">IF(F66="","",F66-D66)</f>
        <v/>
      </c>
      <c r="I66" s="49"/>
    </row>
    <row r="67" customFormat="false" ht="15" hidden="false" customHeight="false" outlineLevel="0" collapsed="false">
      <c r="B67" s="25"/>
      <c r="C67" s="25" t="s">
        <v>292</v>
      </c>
      <c r="D67" s="50" t="n">
        <v>10</v>
      </c>
      <c r="E67" s="27" t="n">
        <f aca="false">IFERROR(D67/$D$5,0)</f>
        <v>0.002</v>
      </c>
      <c r="F67" s="50"/>
      <c r="G67" s="27" t="str">
        <f aca="false">IF(F67="","",IFERROR(F67/$F$5,0))</f>
        <v/>
      </c>
      <c r="H67" s="28" t="str">
        <f aca="false">IF(F67="","",F67-D67)</f>
        <v/>
      </c>
      <c r="I67" s="49"/>
    </row>
    <row r="68" customFormat="false" ht="15" hidden="false" customHeight="false" outlineLevel="0" collapsed="false">
      <c r="B68" s="25"/>
      <c r="C68" s="25" t="s">
        <v>293</v>
      </c>
      <c r="D68" s="50" t="n">
        <v>15</v>
      </c>
      <c r="E68" s="27" t="n">
        <f aca="false">IFERROR(D68/$D$5,0)</f>
        <v>0.003</v>
      </c>
      <c r="F68" s="50"/>
      <c r="G68" s="27" t="str">
        <f aca="false">IF(F68="","",IFERROR(F68/$F$5,0))</f>
        <v/>
      </c>
      <c r="H68" s="28" t="str">
        <f aca="false">IF(F68="","",F68-D68)</f>
        <v/>
      </c>
      <c r="I68" s="49" t="s">
        <v>294</v>
      </c>
    </row>
    <row r="69" customFormat="false" ht="15" hidden="false" customHeight="false" outlineLevel="0" collapsed="false">
      <c r="B69" s="25"/>
      <c r="C69" s="25" t="s">
        <v>295</v>
      </c>
      <c r="D69" s="50" t="n">
        <v>18</v>
      </c>
      <c r="E69" s="27" t="n">
        <f aca="false">IFERROR(D69/$D$5,0)</f>
        <v>0.0036</v>
      </c>
      <c r="F69" s="50"/>
      <c r="G69" s="27" t="str">
        <f aca="false">IF(F69="","",IFERROR(F69/$F$5,0))</f>
        <v/>
      </c>
      <c r="H69" s="28" t="str">
        <f aca="false">IF(F69="","",F69-D69)</f>
        <v/>
      </c>
      <c r="I69" s="49"/>
    </row>
    <row r="70" customFormat="false" ht="15" hidden="false" customHeight="false" outlineLevel="0" collapsed="false">
      <c r="B70" s="25"/>
      <c r="C70" s="25" t="s">
        <v>296</v>
      </c>
      <c r="D70" s="50" t="n">
        <v>15</v>
      </c>
      <c r="E70" s="27" t="n">
        <f aca="false">IFERROR(D70/$D$5,0)</f>
        <v>0.003</v>
      </c>
      <c r="F70" s="50"/>
      <c r="G70" s="27" t="str">
        <f aca="false">IF(F70="","",IFERROR(F70/$F$5,0))</f>
        <v/>
      </c>
      <c r="H70" s="28" t="str">
        <f aca="false">IF(F70="","",F70-D70)</f>
        <v/>
      </c>
      <c r="I70" s="49" t="s">
        <v>297</v>
      </c>
    </row>
    <row r="71" customFormat="false" ht="15" hidden="false" customHeight="false" outlineLevel="0" collapsed="false">
      <c r="B71" s="25"/>
      <c r="C71" s="25" t="s">
        <v>298</v>
      </c>
      <c r="D71" s="50" t="n">
        <v>10</v>
      </c>
      <c r="E71" s="27" t="n">
        <f aca="false">IFERROR(D71/$D$5,0)</f>
        <v>0.002</v>
      </c>
      <c r="F71" s="50"/>
      <c r="G71" s="27" t="str">
        <f aca="false">IF(F71="","",IFERROR(F71/$F$5,0))</f>
        <v/>
      </c>
      <c r="H71" s="28" t="str">
        <f aca="false">IF(F71="","",F71-D71)</f>
        <v/>
      </c>
      <c r="I71" s="49" t="s">
        <v>299</v>
      </c>
    </row>
    <row r="72" customFormat="false" ht="15" hidden="false" customHeight="false" outlineLevel="0" collapsed="false">
      <c r="B72" s="25"/>
      <c r="C72" s="25" t="s">
        <v>300</v>
      </c>
      <c r="D72" s="50" t="n">
        <v>15</v>
      </c>
      <c r="E72" s="27" t="n">
        <f aca="false">IFERROR(D72/$D$5,0)</f>
        <v>0.003</v>
      </c>
      <c r="F72" s="50"/>
      <c r="G72" s="27" t="str">
        <f aca="false">IF(F72="","",IFERROR(F72/$F$5,0))</f>
        <v/>
      </c>
      <c r="H72" s="28" t="str">
        <f aca="false">IF(F72="","",F72-D72)</f>
        <v/>
      </c>
      <c r="I72" s="49" t="s">
        <v>301</v>
      </c>
    </row>
    <row r="73" customFormat="false" ht="15" hidden="false" customHeight="false" outlineLevel="0" collapsed="false">
      <c r="B73" s="21" t="s">
        <v>151</v>
      </c>
      <c r="C73" s="21"/>
      <c r="D73" s="52" t="n">
        <f aca="false">D13+D19+D30+D36+D43+D49+D52+D54+D56+D63</f>
        <v>4950.00967472894</v>
      </c>
      <c r="E73" s="53" t="n">
        <f aca="false">IFERROR(D73/$D$5,0)</f>
        <v>0.990001934945788</v>
      </c>
      <c r="F73" s="52" t="n">
        <f aca="false">F13+F19+F30+F36+F43+F49+F52+F54+F56+F63</f>
        <v>87.6168909090909</v>
      </c>
      <c r="G73" s="53" t="n">
        <f aca="false">IF(F73="","",IFERROR(F73/$F$5,0))</f>
        <v>0.380943003952569</v>
      </c>
      <c r="H73" s="52" t="n">
        <f aca="false">IF(F73="","",F73-D73)</f>
        <v>-4862.39278381985</v>
      </c>
      <c r="I73" s="49"/>
    </row>
    <row r="74" customFormat="false" ht="15" hidden="false" customHeight="false" outlineLevel="0" collapsed="false">
      <c r="B74" s="21" t="s">
        <v>152</v>
      </c>
      <c r="C74" s="21" t="s">
        <v>302</v>
      </c>
      <c r="D74" s="52" t="n">
        <f aca="false">D5-D73</f>
        <v>49.9903252710592</v>
      </c>
      <c r="E74" s="53" t="n">
        <f aca="false">IFERROR(D74/$D$5,0)</f>
        <v>0.00999806505421184</v>
      </c>
      <c r="F74" s="52" t="n">
        <f aca="false">F5-F73</f>
        <v>142.383109090909</v>
      </c>
      <c r="G74" s="53" t="n">
        <f aca="false">IF(F74="","",IFERROR(F74/$F$5,0))</f>
        <v>0.619056996047431</v>
      </c>
      <c r="H74" s="52" t="n">
        <f aca="false">IF(F74="","",F74-D74)</f>
        <v>92.3927838198499</v>
      </c>
      <c r="I74" s="49"/>
    </row>
    <row r="75" customFormat="false" ht="15" hidden="false" customHeight="false" outlineLevel="0" collapsed="false">
      <c r="B75" s="21" t="s">
        <v>153</v>
      </c>
      <c r="C75" s="21"/>
      <c r="D75" s="53" t="n">
        <f aca="false">IFERROR(D74/D5,0)</f>
        <v>0.00999806505421184</v>
      </c>
      <c r="F75" s="53" t="n">
        <f aca="false">IFERROR(F74/F5,0)</f>
        <v>0.619056996047431</v>
      </c>
    </row>
    <row r="76" customFormat="false" ht="16.4" hidden="false" customHeight="false" outlineLevel="0" collapsed="false">
      <c r="B76" s="3" t="s">
        <v>303</v>
      </c>
    </row>
    <row r="77" customFormat="false" ht="15" hidden="false" customHeight="false" outlineLevel="0" collapsed="false">
      <c r="B77" s="29" t="s">
        <v>304</v>
      </c>
      <c r="C77" s="29"/>
      <c r="D77" s="30" t="n">
        <f aca="false">D74</f>
        <v>49.9903252710592</v>
      </c>
      <c r="F77" s="30" t="n">
        <f aca="false">F74</f>
        <v>142.383109090909</v>
      </c>
    </row>
    <row r="78" customFormat="false" ht="15" hidden="false" customHeight="false" outlineLevel="0" collapsed="false">
      <c r="B78" s="25"/>
      <c r="C78" s="25" t="s">
        <v>305</v>
      </c>
      <c r="D78" s="50" t="n">
        <v>0</v>
      </c>
      <c r="E78" s="27" t="n">
        <f aca="false">IFERROR(D78/$D$5,0)</f>
        <v>0</v>
      </c>
      <c r="F78" s="50"/>
      <c r="G78" s="27" t="str">
        <f aca="false">IF(F78="","",IFERROR(F78/$F$5,0))</f>
        <v/>
      </c>
      <c r="H78" s="28" t="str">
        <f aca="false">IF(F78="","",F78-D78)</f>
        <v/>
      </c>
      <c r="I78" s="49" t="s">
        <v>306</v>
      </c>
    </row>
    <row r="79" customFormat="false" ht="15" hidden="false" customHeight="false" outlineLevel="0" collapsed="false">
      <c r="B79" s="25"/>
      <c r="C79" s="25" t="s">
        <v>307</v>
      </c>
      <c r="D79" s="50" t="n">
        <v>0</v>
      </c>
      <c r="E79" s="27" t="n">
        <f aca="false">IFERROR(D79/$D$5,0)</f>
        <v>0</v>
      </c>
      <c r="F79" s="50"/>
      <c r="G79" s="27" t="str">
        <f aca="false">IF(F79="","",IFERROR(F79/$F$5,0))</f>
        <v/>
      </c>
      <c r="H79" s="28" t="str">
        <f aca="false">IF(F79="","",F79-D79)</f>
        <v/>
      </c>
      <c r="I79" s="49" t="s">
        <v>308</v>
      </c>
    </row>
    <row r="80" customFormat="false" ht="15" hidden="false" customHeight="false" outlineLevel="0" collapsed="false">
      <c r="B80" s="25"/>
      <c r="C80" s="25" t="s">
        <v>309</v>
      </c>
      <c r="D80" s="50" t="n">
        <v>0</v>
      </c>
      <c r="E80" s="27" t="n">
        <f aca="false">IFERROR(D80/$D$5,0)</f>
        <v>0</v>
      </c>
      <c r="F80" s="50"/>
      <c r="G80" s="27" t="str">
        <f aca="false">IF(F80="","",IFERROR(F80/$F$5,0))</f>
        <v/>
      </c>
      <c r="H80" s="28" t="str">
        <f aca="false">IF(F80="","",F80-D80)</f>
        <v/>
      </c>
      <c r="I80" s="49" t="s">
        <v>310</v>
      </c>
    </row>
    <row r="81" customFormat="false" ht="15" hidden="false" customHeight="false" outlineLevel="0" collapsed="false">
      <c r="B81" s="25"/>
      <c r="C81" s="25" t="s">
        <v>311</v>
      </c>
      <c r="D81" s="50" t="n">
        <v>0</v>
      </c>
      <c r="E81" s="27" t="n">
        <f aca="false">IFERROR(D81/$D$5,0)</f>
        <v>0</v>
      </c>
      <c r="F81" s="50"/>
      <c r="G81" s="27" t="str">
        <f aca="false">IF(F81="","",IFERROR(F81/$F$5,0))</f>
        <v/>
      </c>
      <c r="H81" s="28" t="str">
        <f aca="false">IF(F81="","",F81-D81)</f>
        <v/>
      </c>
      <c r="I81" s="49" t="s">
        <v>312</v>
      </c>
    </row>
    <row r="82" customFormat="false" ht="15" hidden="false" customHeight="false" outlineLevel="0" collapsed="false">
      <c r="B82" s="21" t="s">
        <v>313</v>
      </c>
      <c r="C82" s="21" t="s">
        <v>314</v>
      </c>
      <c r="D82" s="52" t="n">
        <f aca="false">D77-SUM(D78:D81)</f>
        <v>49.9903252710592</v>
      </c>
      <c r="E82" s="53" t="n">
        <f aca="false">IFERROR(D82/$D$5,0)</f>
        <v>0.00999806505421184</v>
      </c>
      <c r="F82" s="52" t="n">
        <f aca="false">F77-SUM(F78:F81)</f>
        <v>142.383109090909</v>
      </c>
      <c r="G82" s="53" t="n">
        <f aca="false">IF(F82="","",IFERROR(F82/$F$5,0))</f>
        <v>0.619056996047431</v>
      </c>
      <c r="H82" s="52" t="n">
        <f aca="false">IF(F82="","",F82-D82)</f>
        <v>92.3927838198499</v>
      </c>
      <c r="I82" s="49"/>
    </row>
    <row r="84" customFormat="false" ht="15" hidden="false" customHeight="false" outlineLevel="0" collapsed="false">
      <c r="B84" s="2" t="s">
        <v>315</v>
      </c>
    </row>
    <row r="85" customFormat="false" ht="15" hidden="false" customHeight="false" outlineLevel="0" collapsed="false">
      <c r="B85" s="2" t="s">
        <v>316</v>
      </c>
    </row>
  </sheetData>
  <conditionalFormatting sqref="D74:F74">
    <cfRule type="cellIs" priority="2" operator="lessThan" aboveAverage="0" equalAverage="0" bottom="0" percent="0" rank="0" text="" dxfId="1">
      <formula>0</formula>
    </cfRule>
  </conditionalFormatting>
  <conditionalFormatting sqref="D82:F82"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4B1E"/>
    <pageSetUpPr fitToPage="true"/>
  </sheetPr>
  <dimension ref="B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7" min="3" style="0" width="15"/>
    <col collapsed="false" customWidth="true" hidden="false" outlineLevel="0" max="9" min="8" style="0" width="12"/>
    <col collapsed="false" customWidth="true" hidden="false" outlineLevel="0" max="10" min="10" style="0" width="3"/>
    <col collapsed="false" customWidth="true" hidden="false" outlineLevel="0" max="11" min="11" style="0" width="10"/>
    <col collapsed="false" customWidth="true" hidden="false" outlineLevel="0" max="12" min="12" style="0" width="12"/>
  </cols>
  <sheetData>
    <row r="1" customFormat="false" ht="30" hidden="false" customHeight="true" outlineLevel="0" collapsed="false">
      <c r="B1" s="1" t="str">
        <f aca="false">기본설정!$C$3&amp;" 매출원가계산서"</f>
        <v>왕징양다리양꼬치 매출원가계산서</v>
      </c>
    </row>
    <row r="2" customFormat="false" ht="15" hidden="false" customHeight="false" outlineLevel="0" collapsed="false">
      <c r="B2" s="20" t="str">
        <f aca="false">"기간: "&amp;TEXT($L$2,"yyyy-mm-dd")&amp;" ~ "&amp;TEXT($L$3-1,"yyyy-mm-dd")&amp;"     지점: "&amp;기본설정!$C$6&amp;"     (금액 단위: 원, 원가는 부가세 제외 공급가액)"</f>
        <v>기간: 2026-10-01 ~ 2026-10-31     지점: 전체     (금액 단위: 원, 원가는 부가세 제외 공급가액)</v>
      </c>
      <c r="K2" s="54" t="s">
        <v>317</v>
      </c>
      <c r="L2" s="54" t="n">
        <f aca="false">DATE(기본설정!$C$4,기본설정!$C$5,1)</f>
        <v>46296</v>
      </c>
    </row>
    <row r="3" customFormat="false" ht="15" hidden="false" customHeight="false" outlineLevel="0" collapsed="false">
      <c r="K3" s="54" t="s">
        <v>318</v>
      </c>
      <c r="L3" s="54" t="n">
        <f aca="false">DATE(기본설정!$C$4,기본설정!$C$5+1,1)</f>
        <v>46327</v>
      </c>
    </row>
    <row r="4" customFormat="false" ht="21.75" hidden="false" customHeight="true" outlineLevel="0" collapsed="false">
      <c r="B4" s="55" t="s">
        <v>319</v>
      </c>
    </row>
    <row r="5" customFormat="false" ht="24" hidden="false" customHeight="true" outlineLevel="0" collapsed="false">
      <c r="B5" s="11" t="s">
        <v>198</v>
      </c>
      <c r="C5" s="11" t="s">
        <v>320</v>
      </c>
      <c r="D5" s="11" t="s">
        <v>321</v>
      </c>
      <c r="E5" s="11" t="s">
        <v>322</v>
      </c>
    </row>
    <row r="6" customFormat="false" ht="15" hidden="false" customHeight="false" outlineLevel="0" collapsed="false">
      <c r="B6" s="29" t="s">
        <v>323</v>
      </c>
      <c r="C6" s="26" t="n">
        <f aca="false">IF(기본설정!$C$6="전체",SUMIFS(매출일보!$I$4:$I$403,매출일보!$A$4:$A$403,"&gt;="&amp;$L$2,매출일보!$A$4:$A$403,"&lt;"&amp;$L$3),SUMIFS(매출일보!$I$4:$I$403,매출일보!$A$4:$A$403,"&gt;="&amp;$L$2,매출일보!$A$4:$A$403,"&lt;"&amp;$L$3,매출일보!$B$4:$B$403,기본설정!$C$6))</f>
        <v>1780000</v>
      </c>
      <c r="D6" s="28" t="n">
        <f aca="false">C6/1.1</f>
        <v>1618181.81818182</v>
      </c>
      <c r="E6" s="27" t="n">
        <f aca="false">IFERROR(D6/$D$8,0)</f>
        <v>0.773913043478261</v>
      </c>
    </row>
    <row r="7" customFormat="false" ht="15" hidden="false" customHeight="false" outlineLevel="0" collapsed="false">
      <c r="B7" s="29" t="s">
        <v>324</v>
      </c>
      <c r="C7" s="26" t="n">
        <f aca="false">IF(기본설정!$C$6="전체",SUMIFS(매출일보!$H$4:$H$403,매출일보!$A$4:$A$403,"&gt;="&amp;$L$2,매출일보!$A$4:$A$403,"&lt;"&amp;$L$3),SUMIFS(매출일보!$H$4:$H$403,매출일보!$A$4:$A$403,"&gt;="&amp;$L$2,매출일보!$A$4:$A$403,"&lt;"&amp;$L$3,매출일보!$B$4:$B$403,기본설정!$C$6))</f>
        <v>520000</v>
      </c>
      <c r="D7" s="28" t="n">
        <f aca="false">C7/1.1</f>
        <v>472727.272727273</v>
      </c>
      <c r="E7" s="27" t="n">
        <f aca="false">IFERROR(D7/$D$8,0)</f>
        <v>0.226086956521739</v>
      </c>
    </row>
    <row r="8" customFormat="false" ht="15" hidden="false" customHeight="false" outlineLevel="0" collapsed="false">
      <c r="B8" s="21" t="s">
        <v>325</v>
      </c>
      <c r="C8" s="52" t="n">
        <f aca="false">C6+C7</f>
        <v>2300000</v>
      </c>
      <c r="D8" s="52" t="n">
        <f aca="false">D6+D7</f>
        <v>2090909.09090909</v>
      </c>
      <c r="E8" s="56" t="n">
        <f aca="false">IFERROR(D8/$D$8,0)</f>
        <v>1</v>
      </c>
    </row>
    <row r="9" customFormat="false" ht="15" hidden="false" customHeight="false" outlineLevel="0" collapsed="false">
      <c r="B9" s="29" t="s">
        <v>326</v>
      </c>
      <c r="C9" s="57" t="n">
        <f aca="false">IF(기본설정!$C$6="전체",SUMIFS(매출일보!$J$4:$J$403,매출일보!$A$4:$A$403,"&gt;="&amp;$L$2,매출일보!$A$4:$A$403,"&lt;"&amp;$L$3),SUMIFS(매출일보!$J$4:$J$403,매출일보!$A$4:$A$403,"&gt;="&amp;$L$2,매출일보!$A$4:$A$403,"&lt;"&amp;$L$3,매출일보!$B$4:$B$403,기본설정!$C$6))</f>
        <v>62</v>
      </c>
    </row>
    <row r="10" customFormat="false" ht="15" hidden="false" customHeight="false" outlineLevel="0" collapsed="false">
      <c r="B10" s="29" t="s">
        <v>327</v>
      </c>
      <c r="C10" s="28" t="n">
        <f aca="false">IFERROR(C8/C9,0)</f>
        <v>37096.7741935484</v>
      </c>
    </row>
    <row r="12" customFormat="false" ht="21.75" hidden="false" customHeight="true" outlineLevel="0" collapsed="false">
      <c r="B12" s="55" t="s">
        <v>328</v>
      </c>
    </row>
    <row r="13" customFormat="false" ht="27.75" hidden="false" customHeight="true" outlineLevel="0" collapsed="false">
      <c r="B13" s="11" t="s">
        <v>72</v>
      </c>
      <c r="C13" s="11" t="s">
        <v>73</v>
      </c>
      <c r="D13" s="11" t="s">
        <v>329</v>
      </c>
      <c r="E13" s="11" t="s">
        <v>330</v>
      </c>
      <c r="F13" s="11" t="s">
        <v>331</v>
      </c>
      <c r="G13" s="11" t="s">
        <v>40</v>
      </c>
      <c r="H13" s="11" t="s">
        <v>332</v>
      </c>
      <c r="I13" s="11" t="s">
        <v>333</v>
      </c>
    </row>
    <row r="14" customFormat="false" ht="15" hidden="false" customHeight="false" outlineLevel="0" collapsed="false">
      <c r="B14" s="58" t="str">
        <f aca="false">기본설정!$G$4</f>
        <v>양고기</v>
      </c>
      <c r="C14" s="59" t="str">
        <f aca="false">기본설정!$H$4</f>
        <v>식재료</v>
      </c>
      <c r="D14" s="26" t="n">
        <f aca="false">IF(기본설정!$C$6="전체",SUMIFS(재고실사!$V$4:$V$403,재고실사!$B$4:$B$403,$B14),SUMIFS(재고실사!$V$4:$V$403,재고실사!$B$4:$B$403,$B14,재고실사!$A$4:$A$403,기본설정!$C$6))</f>
        <v>0</v>
      </c>
      <c r="E14" s="26" t="n">
        <f aca="false">IF(기본설정!$C$6="전체",SUMIFS(매입장!$I$4:$I$1503,매입장!$E$4:$E$1503,$B14,매입장!$A$4:$A$1503,"&gt;="&amp;$L$2,매입장!$A$4:$A$1503,"&lt;"&amp;$L$3),SUMIFS(매입장!$I$4:$I$1503,매입장!$E$4:$E$1503,$B14,매입장!$A$4:$A$1503,"&gt;="&amp;$L$2,매입장!$A$4:$A$1503,"&lt;"&amp;$L$3,매입장!$B$4:$B$1503,기본설정!$C$6))</f>
        <v>415000</v>
      </c>
      <c r="F14" s="26" t="n">
        <f aca="false">IF(기본설정!$C$6="전체",SUMIFS(재고실사!$T$4:$T$403,재고실사!$B$4:$B$403,$B14),SUMIFS(재고실사!$T$4:$T$403,재고실사!$B$4:$B$403,$B14,재고실사!$A$4:$A$403,기본설정!$C$6))</f>
        <v>0</v>
      </c>
      <c r="G14" s="41" t="n">
        <f aca="false">D14+E14-F14</f>
        <v>415000</v>
      </c>
      <c r="H14" s="27" t="n">
        <f aca="false">IFERROR(G14/$G$28,0)</f>
        <v>0.590327169274538</v>
      </c>
      <c r="I14" s="27" t="n">
        <f aca="false">IFERROR(G14/IF(C14="식재료",$D$6,IF(C14="주류·음료",$D$7,$D$8)),0)</f>
        <v>0.256460674157303</v>
      </c>
    </row>
    <row r="15" customFormat="false" ht="15" hidden="false" customHeight="false" outlineLevel="0" collapsed="false">
      <c r="B15" s="58" t="str">
        <f aca="false">기본설정!$G$5</f>
        <v>기타육류</v>
      </c>
      <c r="C15" s="59" t="str">
        <f aca="false">기본설정!$H$5</f>
        <v>식재료</v>
      </c>
      <c r="D15" s="26" t="n">
        <f aca="false">IF(기본설정!$C$6="전체",SUMIFS(재고실사!$V$4:$V$403,재고실사!$B$4:$B$403,$B15),SUMIFS(재고실사!$V$4:$V$403,재고실사!$B$4:$B$403,$B15,재고실사!$A$4:$A$403,기본설정!$C$6))</f>
        <v>0</v>
      </c>
      <c r="E15" s="26" t="n">
        <f aca="false">IF(기본설정!$C$6="전체",SUMIFS(매입장!$I$4:$I$1503,매입장!$E$4:$E$1503,$B15,매입장!$A$4:$A$1503,"&gt;="&amp;$L$2,매입장!$A$4:$A$1503,"&lt;"&amp;$L$3),SUMIFS(매입장!$I$4:$I$1503,매입장!$E$4:$E$1503,$B15,매입장!$A$4:$A$1503,"&gt;="&amp;$L$2,매입장!$A$4:$A$1503,"&lt;"&amp;$L$3,매입장!$B$4:$B$1503,기본설정!$C$6))</f>
        <v>0</v>
      </c>
      <c r="F15" s="26" t="n">
        <f aca="false">IF(기본설정!$C$6="전체",SUMIFS(재고실사!$T$4:$T$403,재고실사!$B$4:$B$403,$B15),SUMIFS(재고실사!$T$4:$T$403,재고실사!$B$4:$B$403,$B15,재고실사!$A$4:$A$403,기본설정!$C$6))</f>
        <v>0</v>
      </c>
      <c r="G15" s="41" t="n">
        <f aca="false">D15+E15-F15</f>
        <v>0</v>
      </c>
      <c r="H15" s="27" t="n">
        <f aca="false">IFERROR(G15/$G$28,0)</f>
        <v>0</v>
      </c>
      <c r="I15" s="27" t="n">
        <f aca="false">IFERROR(G15/IF(C15="식재료",$D$6,IF(C15="주류·음료",$D$7,$D$8)),0)</f>
        <v>0</v>
      </c>
    </row>
    <row r="16" customFormat="false" ht="15" hidden="false" customHeight="false" outlineLevel="0" collapsed="false">
      <c r="B16" s="58" t="str">
        <f aca="false">기본설정!$G$6</f>
        <v>수산물</v>
      </c>
      <c r="C16" s="59" t="str">
        <f aca="false">기본설정!$H$6</f>
        <v>식재료</v>
      </c>
      <c r="D16" s="26" t="n">
        <f aca="false">IF(기본설정!$C$6="전체",SUMIFS(재고실사!$V$4:$V$403,재고실사!$B$4:$B$403,$B16),SUMIFS(재고실사!$V$4:$V$403,재고실사!$B$4:$B$403,$B16,재고실사!$A$4:$A$403,기본설정!$C$6))</f>
        <v>0</v>
      </c>
      <c r="E16" s="26" t="n">
        <f aca="false">IF(기본설정!$C$6="전체",SUMIFS(매입장!$I$4:$I$1503,매입장!$E$4:$E$1503,$B16,매입장!$A$4:$A$1503,"&gt;="&amp;$L$2,매입장!$A$4:$A$1503,"&lt;"&amp;$L$3),SUMIFS(매입장!$I$4:$I$1503,매입장!$E$4:$E$1503,$B16,매입장!$A$4:$A$1503,"&gt;="&amp;$L$2,매입장!$A$4:$A$1503,"&lt;"&amp;$L$3,매입장!$B$4:$B$1503,기본설정!$C$6))</f>
        <v>0</v>
      </c>
      <c r="F16" s="26" t="n">
        <f aca="false">IF(기본설정!$C$6="전체",SUMIFS(재고실사!$T$4:$T$403,재고실사!$B$4:$B$403,$B16),SUMIFS(재고실사!$T$4:$T$403,재고실사!$B$4:$B$403,$B16,재고실사!$A$4:$A$403,기본설정!$C$6))</f>
        <v>0</v>
      </c>
      <c r="G16" s="41" t="n">
        <f aca="false">D16+E16-F16</f>
        <v>0</v>
      </c>
      <c r="H16" s="27" t="n">
        <f aca="false">IFERROR(G16/$G$28,0)</f>
        <v>0</v>
      </c>
      <c r="I16" s="27" t="n">
        <f aca="false">IFERROR(G16/IF(C16="식재료",$D$6,IF(C16="주류·음료",$D$7,$D$8)),0)</f>
        <v>0</v>
      </c>
    </row>
    <row r="17" customFormat="false" ht="15" hidden="false" customHeight="false" outlineLevel="0" collapsed="false">
      <c r="B17" s="58" t="str">
        <f aca="false">기본설정!$G$7</f>
        <v>채소·과일</v>
      </c>
      <c r="C17" s="59" t="str">
        <f aca="false">기본설정!$H$7</f>
        <v>식재료</v>
      </c>
      <c r="D17" s="26" t="n">
        <f aca="false">IF(기본설정!$C$6="전체",SUMIFS(재고실사!$V$4:$V$403,재고실사!$B$4:$B$403,$B17),SUMIFS(재고실사!$V$4:$V$403,재고실사!$B$4:$B$403,$B17,재고실사!$A$4:$A$403,기본설정!$C$6))</f>
        <v>0</v>
      </c>
      <c r="E17" s="26" t="n">
        <f aca="false">IF(기본설정!$C$6="전체",SUMIFS(매입장!$I$4:$I$1503,매입장!$E$4:$E$1503,$B17,매입장!$A$4:$A$1503,"&gt;="&amp;$L$2,매입장!$A$4:$A$1503,"&lt;"&amp;$L$3),SUMIFS(매입장!$I$4:$I$1503,매입장!$E$4:$E$1503,$B17,매입장!$A$4:$A$1503,"&gt;="&amp;$L$2,매입장!$A$4:$A$1503,"&lt;"&amp;$L$3,매입장!$B$4:$B$1503,기본설정!$C$6))</f>
        <v>0</v>
      </c>
      <c r="F17" s="26" t="n">
        <f aca="false">IF(기본설정!$C$6="전체",SUMIFS(재고실사!$T$4:$T$403,재고실사!$B$4:$B$403,$B17),SUMIFS(재고실사!$T$4:$T$403,재고실사!$B$4:$B$403,$B17,재고실사!$A$4:$A$403,기본설정!$C$6))</f>
        <v>0</v>
      </c>
      <c r="G17" s="41" t="n">
        <f aca="false">D17+E17-F17</f>
        <v>0</v>
      </c>
      <c r="H17" s="27" t="n">
        <f aca="false">IFERROR(G17/$G$28,0)</f>
        <v>0</v>
      </c>
      <c r="I17" s="27" t="n">
        <f aca="false">IFERROR(G17/IF(C17="식재료",$D$6,IF(C17="주류·음료",$D$7,$D$8)),0)</f>
        <v>0</v>
      </c>
    </row>
    <row r="18" customFormat="false" ht="15" hidden="false" customHeight="false" outlineLevel="0" collapsed="false">
      <c r="B18" s="58" t="str">
        <f aca="false">기본설정!$G$8</f>
        <v>두부·계란·곡류·면</v>
      </c>
      <c r="C18" s="59" t="str">
        <f aca="false">기본설정!$H$8</f>
        <v>식재료</v>
      </c>
      <c r="D18" s="26" t="n">
        <f aca="false">IF(기본설정!$C$6="전체",SUMIFS(재고실사!$V$4:$V$403,재고실사!$B$4:$B$403,$B18),SUMIFS(재고실사!$V$4:$V$403,재고실사!$B$4:$B$403,$B18,재고실사!$A$4:$A$403,기본설정!$C$6))</f>
        <v>0</v>
      </c>
      <c r="E18" s="26" t="n">
        <f aca="false">IF(기본설정!$C$6="전체",SUMIFS(매입장!$I$4:$I$1503,매입장!$E$4:$E$1503,$B18,매입장!$A$4:$A$1503,"&gt;="&amp;$L$2,매입장!$A$4:$A$1503,"&lt;"&amp;$L$3),SUMIFS(매입장!$I$4:$I$1503,매입장!$E$4:$E$1503,$B18,매입장!$A$4:$A$1503,"&gt;="&amp;$L$2,매입장!$A$4:$A$1503,"&lt;"&amp;$L$3,매입장!$B$4:$B$1503,기본설정!$C$6))</f>
        <v>0</v>
      </c>
      <c r="F18" s="26" t="n">
        <f aca="false">IF(기본설정!$C$6="전체",SUMIFS(재고실사!$T$4:$T$403,재고실사!$B$4:$B$403,$B18),SUMIFS(재고실사!$T$4:$T$403,재고실사!$B$4:$B$403,$B18,재고실사!$A$4:$A$403,기본설정!$C$6))</f>
        <v>0</v>
      </c>
      <c r="G18" s="41" t="n">
        <f aca="false">D18+E18-F18</f>
        <v>0</v>
      </c>
      <c r="H18" s="27" t="n">
        <f aca="false">IFERROR(G18/$G$28,0)</f>
        <v>0</v>
      </c>
      <c r="I18" s="27" t="n">
        <f aca="false">IFERROR(G18/IF(C18="식재료",$D$6,IF(C18="주류·음료",$D$7,$D$8)),0)</f>
        <v>0</v>
      </c>
    </row>
    <row r="19" customFormat="false" ht="15" hidden="false" customHeight="false" outlineLevel="0" collapsed="false">
      <c r="B19" s="58" t="str">
        <f aca="false">기본설정!$G$9</f>
        <v>냉동·가공식품</v>
      </c>
      <c r="C19" s="59" t="str">
        <f aca="false">기본설정!$H$9</f>
        <v>식재료</v>
      </c>
      <c r="D19" s="26" t="n">
        <f aca="false">IF(기본설정!$C$6="전체",SUMIFS(재고실사!$V$4:$V$403,재고실사!$B$4:$B$403,$B19),SUMIFS(재고실사!$V$4:$V$403,재고실사!$B$4:$B$403,$B19,재고실사!$A$4:$A$403,기본설정!$C$6))</f>
        <v>0</v>
      </c>
      <c r="E19" s="26" t="n">
        <f aca="false">IF(기본설정!$C$6="전체",SUMIFS(매입장!$I$4:$I$1503,매입장!$E$4:$E$1503,$B19,매입장!$A$4:$A$1503,"&gt;="&amp;$L$2,매입장!$A$4:$A$1503,"&lt;"&amp;$L$3),SUMIFS(매입장!$I$4:$I$1503,매입장!$E$4:$E$1503,$B19,매입장!$A$4:$A$1503,"&gt;="&amp;$L$2,매입장!$A$4:$A$1503,"&lt;"&amp;$L$3,매입장!$B$4:$B$1503,기본설정!$C$6))</f>
        <v>0</v>
      </c>
      <c r="F19" s="26" t="n">
        <f aca="false">IF(기본설정!$C$6="전체",SUMIFS(재고실사!$T$4:$T$403,재고실사!$B$4:$B$403,$B19),SUMIFS(재고실사!$T$4:$T$403,재고실사!$B$4:$B$403,$B19,재고실사!$A$4:$A$403,기본설정!$C$6))</f>
        <v>0</v>
      </c>
      <c r="G19" s="41" t="n">
        <f aca="false">D19+E19-F19</f>
        <v>0</v>
      </c>
      <c r="H19" s="27" t="n">
        <f aca="false">IFERROR(G19/$G$28,0)</f>
        <v>0</v>
      </c>
      <c r="I19" s="27" t="n">
        <f aca="false">IFERROR(G19/IF(C19="식재료",$D$6,IF(C19="주류·음료",$D$7,$D$8)),0)</f>
        <v>0</v>
      </c>
    </row>
    <row r="20" customFormat="false" ht="15" hidden="false" customHeight="false" outlineLevel="0" collapsed="false">
      <c r="B20" s="58" t="str">
        <f aca="false">기본설정!$G$10</f>
        <v>양념·향신료·소스</v>
      </c>
      <c r="C20" s="59" t="str">
        <f aca="false">기본설정!$H$10</f>
        <v>식재료</v>
      </c>
      <c r="D20" s="26" t="n">
        <f aca="false">IF(기본설정!$C$6="전체",SUMIFS(재고실사!$V$4:$V$403,재고실사!$B$4:$B$403,$B20),SUMIFS(재고실사!$V$4:$V$403,재고실사!$B$4:$B$403,$B20,재고실사!$A$4:$A$403,기본설정!$C$6))</f>
        <v>0</v>
      </c>
      <c r="E20" s="26" t="n">
        <f aca="false">IF(기본설정!$C$6="전체",SUMIFS(매입장!$I$4:$I$1503,매입장!$E$4:$E$1503,$B20,매입장!$A$4:$A$1503,"&gt;="&amp;$L$2,매입장!$A$4:$A$1503,"&lt;"&amp;$L$3),SUMIFS(매입장!$I$4:$I$1503,매입장!$E$4:$E$1503,$B20,매입장!$A$4:$A$1503,"&gt;="&amp;$L$2,매입장!$A$4:$A$1503,"&lt;"&amp;$L$3,매입장!$B$4:$B$1503,기본설정!$C$6))</f>
        <v>0</v>
      </c>
      <c r="F20" s="26" t="n">
        <f aca="false">IF(기본설정!$C$6="전체",SUMIFS(재고실사!$T$4:$T$403,재고실사!$B$4:$B$403,$B20),SUMIFS(재고실사!$T$4:$T$403,재고실사!$B$4:$B$403,$B20,재고실사!$A$4:$A$403,기본설정!$C$6))</f>
        <v>0</v>
      </c>
      <c r="G20" s="41" t="n">
        <f aca="false">D20+E20-F20</f>
        <v>0</v>
      </c>
      <c r="H20" s="27" t="n">
        <f aca="false">IFERROR(G20/$G$28,0)</f>
        <v>0</v>
      </c>
      <c r="I20" s="27" t="n">
        <f aca="false">IFERROR(G20/IF(C20="식재료",$D$6,IF(C20="주류·음료",$D$7,$D$8)),0)</f>
        <v>0</v>
      </c>
    </row>
    <row r="21" customFormat="false" ht="15" hidden="false" customHeight="false" outlineLevel="0" collapsed="false">
      <c r="B21" s="58" t="str">
        <f aca="false">기본설정!$G$11</f>
        <v>유지·기타식재료</v>
      </c>
      <c r="C21" s="59" t="str">
        <f aca="false">기본설정!$H$11</f>
        <v>식재료</v>
      </c>
      <c r="D21" s="26" t="n">
        <f aca="false">IF(기본설정!$C$6="전체",SUMIFS(재고실사!$V$4:$V$403,재고실사!$B$4:$B$403,$B21),SUMIFS(재고실사!$V$4:$V$403,재고실사!$B$4:$B$403,$B21,재고실사!$A$4:$A$403,기본설정!$C$6))</f>
        <v>0</v>
      </c>
      <c r="E21" s="26" t="n">
        <f aca="false">IF(기본설정!$C$6="전체",SUMIFS(매입장!$I$4:$I$1503,매입장!$E$4:$E$1503,$B21,매입장!$A$4:$A$1503,"&gt;="&amp;$L$2,매입장!$A$4:$A$1503,"&lt;"&amp;$L$3),SUMIFS(매입장!$I$4:$I$1503,매입장!$E$4:$E$1503,$B21,매입장!$A$4:$A$1503,"&gt;="&amp;$L$2,매입장!$A$4:$A$1503,"&lt;"&amp;$L$3,매입장!$B$4:$B$1503,기본설정!$C$6))</f>
        <v>0</v>
      </c>
      <c r="F21" s="26" t="n">
        <f aca="false">IF(기본설정!$C$6="전체",SUMIFS(재고실사!$T$4:$T$403,재고실사!$B$4:$B$403,$B21),SUMIFS(재고실사!$T$4:$T$403,재고실사!$B$4:$B$403,$B21,재고실사!$A$4:$A$403,기본설정!$C$6))</f>
        <v>0</v>
      </c>
      <c r="G21" s="41" t="n">
        <f aca="false">D21+E21-F21</f>
        <v>0</v>
      </c>
      <c r="H21" s="27" t="n">
        <f aca="false">IFERROR(G21/$G$28,0)</f>
        <v>0</v>
      </c>
      <c r="I21" s="27" t="n">
        <f aca="false">IFERROR(G21/IF(C21="식재료",$D$6,IF(C21="주류·음료",$D$7,$D$8)),0)</f>
        <v>0</v>
      </c>
    </row>
    <row r="22" customFormat="false" ht="15" hidden="false" customHeight="false" outlineLevel="0" collapsed="false">
      <c r="B22" s="58" t="str">
        <f aca="false">기본설정!$G$12</f>
        <v>주류</v>
      </c>
      <c r="C22" s="59" t="str">
        <f aca="false">기본설정!$H$12</f>
        <v>주류·음료</v>
      </c>
      <c r="D22" s="26" t="n">
        <f aca="false">IF(기본설정!$C$6="전체",SUMIFS(재고실사!$V$4:$V$403,재고실사!$B$4:$B$403,$B22),SUMIFS(재고실사!$V$4:$V$403,재고실사!$B$4:$B$403,$B22,재고실사!$A$4:$A$403,기본설정!$C$6))</f>
        <v>0</v>
      </c>
      <c r="E22" s="26" t="n">
        <f aca="false">IF(기본설정!$C$6="전체",SUMIFS(매입장!$I$4:$I$1503,매입장!$E$4:$E$1503,$B22,매입장!$A$4:$A$1503,"&gt;="&amp;$L$2,매입장!$A$4:$A$1503,"&lt;"&amp;$L$3),SUMIFS(매입장!$I$4:$I$1503,매입장!$E$4:$E$1503,$B22,매입장!$A$4:$A$1503,"&gt;="&amp;$L$2,매입장!$A$4:$A$1503,"&lt;"&amp;$L$3,매입장!$B$4:$B$1503,기본설정!$C$6))</f>
        <v>288000</v>
      </c>
      <c r="F22" s="26" t="n">
        <f aca="false">IF(기본설정!$C$6="전체",SUMIFS(재고실사!$T$4:$T$403,재고실사!$B$4:$B$403,$B22),SUMIFS(재고실사!$T$4:$T$403,재고실사!$B$4:$B$403,$B22,재고실사!$A$4:$A$403,기본설정!$C$6))</f>
        <v>0</v>
      </c>
      <c r="G22" s="41" t="n">
        <f aca="false">D22+E22-F22</f>
        <v>288000</v>
      </c>
      <c r="H22" s="27" t="n">
        <f aca="false">IFERROR(G22/$G$28,0)</f>
        <v>0.409672830725462</v>
      </c>
      <c r="I22" s="27" t="n">
        <f aca="false">IFERROR(G22/IF(C22="식재료",$D$6,IF(C22="주류·음료",$D$7,$D$8)),0)</f>
        <v>0.609230769230769</v>
      </c>
    </row>
    <row r="23" customFormat="false" ht="15" hidden="false" customHeight="false" outlineLevel="0" collapsed="false">
      <c r="B23" s="58" t="str">
        <f aca="false">기본설정!$G$13</f>
        <v>음료·얼음</v>
      </c>
      <c r="C23" s="59" t="str">
        <f aca="false">기본설정!$H$13</f>
        <v>주류·음료</v>
      </c>
      <c r="D23" s="26" t="n">
        <f aca="false">IF(기본설정!$C$6="전체",SUMIFS(재고실사!$V$4:$V$403,재고실사!$B$4:$B$403,$B23),SUMIFS(재고실사!$V$4:$V$403,재고실사!$B$4:$B$403,$B23,재고실사!$A$4:$A$403,기본설정!$C$6))</f>
        <v>0</v>
      </c>
      <c r="E23" s="26" t="n">
        <f aca="false">IF(기본설정!$C$6="전체",SUMIFS(매입장!$I$4:$I$1503,매입장!$E$4:$E$1503,$B23,매입장!$A$4:$A$1503,"&gt;="&amp;$L$2,매입장!$A$4:$A$1503,"&lt;"&amp;$L$3),SUMIFS(매입장!$I$4:$I$1503,매입장!$E$4:$E$1503,$B23,매입장!$A$4:$A$1503,"&gt;="&amp;$L$2,매입장!$A$4:$A$1503,"&lt;"&amp;$L$3,매입장!$B$4:$B$1503,기본설정!$C$6))</f>
        <v>0</v>
      </c>
      <c r="F23" s="26" t="n">
        <f aca="false">IF(기본설정!$C$6="전체",SUMIFS(재고실사!$T$4:$T$403,재고실사!$B$4:$B$403,$B23),SUMIFS(재고실사!$T$4:$T$403,재고실사!$B$4:$B$403,$B23,재고실사!$A$4:$A$403,기본설정!$C$6))</f>
        <v>0</v>
      </c>
      <c r="G23" s="41" t="n">
        <f aca="false">D23+E23-F23</f>
        <v>0</v>
      </c>
      <c r="H23" s="27" t="n">
        <f aca="false">IFERROR(G23/$G$28,0)</f>
        <v>0</v>
      </c>
      <c r="I23" s="27" t="n">
        <f aca="false">IFERROR(G23/IF(C23="식재료",$D$6,IF(C23="주류·음료",$D$7,$D$8)),0)</f>
        <v>0</v>
      </c>
    </row>
    <row r="24" customFormat="false" ht="15" hidden="false" customHeight="false" outlineLevel="0" collapsed="false">
      <c r="B24" s="58" t="str">
        <f aca="false">기본설정!$G$14</f>
        <v>숯·소모품·포장</v>
      </c>
      <c r="C24" s="59" t="str">
        <f aca="false">기본설정!$H$14</f>
        <v>소모품</v>
      </c>
      <c r="D24" s="26" t="n">
        <f aca="false">IF(기본설정!$C$6="전체",SUMIFS(재고실사!$V$4:$V$403,재고실사!$B$4:$B$403,$B24),SUMIFS(재고실사!$V$4:$V$403,재고실사!$B$4:$B$403,$B24,재고실사!$A$4:$A$403,기본설정!$C$6))</f>
        <v>0</v>
      </c>
      <c r="E24" s="26" t="n">
        <f aca="false">IF(기본설정!$C$6="전체",SUMIFS(매입장!$I$4:$I$1503,매입장!$E$4:$E$1503,$B24,매입장!$A$4:$A$1503,"&gt;="&amp;$L$2,매입장!$A$4:$A$1503,"&lt;"&amp;$L$3),SUMIFS(매입장!$I$4:$I$1503,매입장!$E$4:$E$1503,$B24,매입장!$A$4:$A$1503,"&gt;="&amp;$L$2,매입장!$A$4:$A$1503,"&lt;"&amp;$L$3,매입장!$B$4:$B$1503,기본설정!$C$6))</f>
        <v>0</v>
      </c>
      <c r="F24" s="26" t="n">
        <f aca="false">IF(기본설정!$C$6="전체",SUMIFS(재고실사!$T$4:$T$403,재고실사!$B$4:$B$403,$B24),SUMIFS(재고실사!$T$4:$T$403,재고실사!$B$4:$B$403,$B24,재고실사!$A$4:$A$403,기본설정!$C$6))</f>
        <v>0</v>
      </c>
      <c r="G24" s="41" t="n">
        <f aca="false">D24+E24-F24</f>
        <v>0</v>
      </c>
      <c r="H24" s="27" t="n">
        <f aca="false">IFERROR(G24/$G$28,0)</f>
        <v>0</v>
      </c>
      <c r="I24" s="27" t="n">
        <f aca="false">IFERROR(G24/IF(C24="식재료",$D$6,IF(C24="주류·음료",$D$7,$D$8)),0)</f>
        <v>0</v>
      </c>
    </row>
    <row r="25" customFormat="false" ht="15" hidden="false" customHeight="false" outlineLevel="0" collapsed="false">
      <c r="B25" s="29" t="s">
        <v>334</v>
      </c>
      <c r="C25" s="60" t="s">
        <v>82</v>
      </c>
      <c r="D25" s="30" t="n">
        <f aca="false">SUMIF($C$14:$C$24,$C25,D$14:D$24)</f>
        <v>0</v>
      </c>
      <c r="E25" s="30" t="n">
        <f aca="false">SUMIF($C$14:$C$24,$C25,E$14:E$24)</f>
        <v>415000</v>
      </c>
      <c r="F25" s="30" t="n">
        <f aca="false">SUMIF($C$14:$C$24,$C25,F$14:F$24)</f>
        <v>0</v>
      </c>
      <c r="G25" s="30" t="n">
        <f aca="false">SUMIF($C$14:$C$24,$C25,G$14:G$24)</f>
        <v>415000</v>
      </c>
      <c r="H25" s="31" t="n">
        <f aca="false">IFERROR(G25/$G$28,0)</f>
        <v>0.590327169274538</v>
      </c>
      <c r="I25" s="31" t="n">
        <f aca="false">IFERROR(G25/$D$6,0)</f>
        <v>0.256460674157303</v>
      </c>
    </row>
    <row r="26" customFormat="false" ht="15" hidden="false" customHeight="false" outlineLevel="0" collapsed="false">
      <c r="B26" s="29" t="s">
        <v>335</v>
      </c>
      <c r="C26" s="60" t="s">
        <v>336</v>
      </c>
      <c r="D26" s="30" t="n">
        <f aca="false">SUMIF($C$14:$C$24,$C26,D$14:D$24)</f>
        <v>0</v>
      </c>
      <c r="E26" s="30" t="n">
        <f aca="false">SUMIF($C$14:$C$24,$C26,E$14:E$24)</f>
        <v>288000</v>
      </c>
      <c r="F26" s="30" t="n">
        <f aca="false">SUMIF($C$14:$C$24,$C26,F$14:F$24)</f>
        <v>0</v>
      </c>
      <c r="G26" s="30" t="n">
        <f aca="false">SUMIF($C$14:$C$24,$C26,G$14:G$24)</f>
        <v>288000</v>
      </c>
      <c r="H26" s="31" t="n">
        <f aca="false">IFERROR(G26/$G$28,0)</f>
        <v>0.409672830725462</v>
      </c>
      <c r="I26" s="31" t="n">
        <f aca="false">IFERROR(G26/$D$7,0)</f>
        <v>0.609230769230769</v>
      </c>
    </row>
    <row r="27" customFormat="false" ht="15" hidden="false" customHeight="false" outlineLevel="0" collapsed="false">
      <c r="B27" s="29" t="s">
        <v>337</v>
      </c>
      <c r="C27" s="60" t="s">
        <v>104</v>
      </c>
      <c r="D27" s="30" t="n">
        <f aca="false">SUMIF($C$14:$C$24,$C27,D$14:D$24)</f>
        <v>0</v>
      </c>
      <c r="E27" s="30" t="n">
        <f aca="false">SUMIF($C$14:$C$24,$C27,E$14:E$24)</f>
        <v>0</v>
      </c>
      <c r="F27" s="30" t="n">
        <f aca="false">SUMIF($C$14:$C$24,$C27,F$14:F$24)</f>
        <v>0</v>
      </c>
      <c r="G27" s="30" t="n">
        <f aca="false">SUMIF($C$14:$C$24,$C27,G$14:G$24)</f>
        <v>0</v>
      </c>
      <c r="H27" s="31" t="n">
        <f aca="false">IFERROR(G27/$G$28,0)</f>
        <v>0</v>
      </c>
      <c r="I27" s="31" t="n">
        <f aca="false">IFERROR(G27/$D$8,0)</f>
        <v>0</v>
      </c>
    </row>
    <row r="28" customFormat="false" ht="15" hidden="false" customHeight="false" outlineLevel="0" collapsed="false">
      <c r="B28" s="21" t="s">
        <v>338</v>
      </c>
      <c r="C28" s="21"/>
      <c r="D28" s="52" t="n">
        <f aca="false">SUM(D25:D27)</f>
        <v>0</v>
      </c>
      <c r="E28" s="52" t="n">
        <f aca="false">SUM(E25:E27)</f>
        <v>703000</v>
      </c>
      <c r="F28" s="52" t="n">
        <f aca="false">SUM(F25:F27)</f>
        <v>0</v>
      </c>
      <c r="G28" s="52" t="n">
        <f aca="false">SUM(G25:G27)</f>
        <v>703000</v>
      </c>
      <c r="H28" s="53" t="n">
        <f aca="false">IFERROR(G28/$G$28,0)</f>
        <v>1</v>
      </c>
      <c r="I28" s="53" t="n">
        <f aca="false">IFERROR(G28/$D$8,0)</f>
        <v>0.336217391304348</v>
      </c>
    </row>
    <row r="29" customFormat="false" ht="15" hidden="false" customHeight="false" outlineLevel="0" collapsed="false">
      <c r="B29" s="2" t="s">
        <v>339</v>
      </c>
    </row>
    <row r="31" customFormat="false" ht="21.75" hidden="false" customHeight="true" outlineLevel="0" collapsed="false">
      <c r="B31" s="55" t="s">
        <v>340</v>
      </c>
    </row>
    <row r="32" customFormat="false" ht="24" hidden="false" customHeight="true" outlineLevel="0" collapsed="false">
      <c r="B32" s="11" t="s">
        <v>198</v>
      </c>
      <c r="C32" s="11" t="s">
        <v>40</v>
      </c>
      <c r="D32" s="11" t="s">
        <v>341</v>
      </c>
      <c r="E32" s="11" t="s">
        <v>342</v>
      </c>
      <c r="F32" s="11" t="s">
        <v>343</v>
      </c>
      <c r="G32" s="11" t="s">
        <v>344</v>
      </c>
      <c r="H32" s="11" t="s">
        <v>345</v>
      </c>
    </row>
    <row r="33" customFormat="false" ht="15" hidden="false" customHeight="false" outlineLevel="0" collapsed="false">
      <c r="B33" s="29" t="s">
        <v>346</v>
      </c>
      <c r="C33" s="28" t="n">
        <f aca="false">G25</f>
        <v>415000</v>
      </c>
      <c r="D33" s="28" t="n">
        <f aca="false">D6</f>
        <v>1618181.81818182</v>
      </c>
      <c r="E33" s="37" t="n">
        <f aca="false">IFERROR(C33/D33,0)</f>
        <v>0.256460674157303</v>
      </c>
      <c r="F33" s="45" t="n">
        <f aca="false">기본설정!$C$8</f>
        <v>0.35</v>
      </c>
      <c r="G33" s="27" t="n">
        <f aca="false">IF(F33="","",E33-F33)</f>
        <v>-0.0935393258426966</v>
      </c>
      <c r="H33" s="61" t="str">
        <f aca="false">IF(D33=0,"매출 없음",IF(E33&gt;F33+기본설정!$C$10,"위험",IF(E33&gt;F33,"주의","적정")))</f>
        <v>적정</v>
      </c>
    </row>
    <row r="34" customFormat="false" ht="15" hidden="false" customHeight="false" outlineLevel="0" collapsed="false">
      <c r="B34" s="29" t="s">
        <v>347</v>
      </c>
      <c r="C34" s="28" t="n">
        <f aca="false">G26</f>
        <v>288000</v>
      </c>
      <c r="D34" s="28" t="n">
        <f aca="false">D7</f>
        <v>472727.272727273</v>
      </c>
      <c r="E34" s="37" t="n">
        <f aca="false">IFERROR(C34/D34,0)</f>
        <v>0.609230769230769</v>
      </c>
      <c r="F34" s="45" t="n">
        <f aca="false">기본설정!$C$9</f>
        <v>0.3</v>
      </c>
      <c r="G34" s="27" t="n">
        <f aca="false">IF(F34="","",E34-F34)</f>
        <v>0.309230769230769</v>
      </c>
      <c r="H34" s="61" t="str">
        <f aca="false">IF(D34=0,"매출 없음",IF(E34&gt;F34+기본설정!$C$10,"위험",IF(E34&gt;F34,"주의","적정")))</f>
        <v>위험</v>
      </c>
    </row>
    <row r="35" customFormat="false" ht="15" hidden="false" customHeight="false" outlineLevel="0" collapsed="false">
      <c r="B35" s="29" t="s">
        <v>348</v>
      </c>
      <c r="C35" s="28" t="n">
        <f aca="false">G25+G26</f>
        <v>703000</v>
      </c>
      <c r="D35" s="28" t="n">
        <f aca="false">D8</f>
        <v>2090909.09090909</v>
      </c>
      <c r="E35" s="37" t="n">
        <f aca="false">IFERROR(C35/D35,0)</f>
        <v>0.336217391304348</v>
      </c>
      <c r="F35" s="45" t="n">
        <f aca="false">IFERROR((기본설정!$C$8*D6+기본설정!$C$9*D7)/D8,기본설정!$C$8)</f>
        <v>0.338695652173913</v>
      </c>
      <c r="G35" s="27" t="n">
        <f aca="false">IF(F35="","",E35-F35)</f>
        <v>-0.00247826086956515</v>
      </c>
      <c r="H35" s="61" t="str">
        <f aca="false">IF(D35=0,"매출 없음",IF(E35&gt;F35+기본설정!$C$10,"위험",IF(E35&gt;F35,"주의","적정")))</f>
        <v>적정</v>
      </c>
    </row>
    <row r="36" customFormat="false" ht="15" hidden="false" customHeight="false" outlineLevel="0" collapsed="false">
      <c r="B36" s="29" t="s">
        <v>349</v>
      </c>
      <c r="C36" s="28" t="n">
        <f aca="false">G28</f>
        <v>703000</v>
      </c>
      <c r="D36" s="28" t="n">
        <f aca="false">D8</f>
        <v>2090909.09090909</v>
      </c>
      <c r="E36" s="37" t="n">
        <f aca="false">IFERROR(C36/D36,0)</f>
        <v>0.336217391304348</v>
      </c>
      <c r="F36" s="27"/>
      <c r="G36" s="27"/>
      <c r="H36" s="61" t="s">
        <v>350</v>
      </c>
    </row>
    <row r="38" customFormat="false" ht="21.75" hidden="false" customHeight="true" outlineLevel="0" collapsed="false">
      <c r="B38" s="55" t="s">
        <v>351</v>
      </c>
    </row>
    <row r="39" customFormat="false" ht="15" hidden="false" customHeight="false" outlineLevel="0" collapsed="false">
      <c r="B39" s="29" t="s">
        <v>352</v>
      </c>
      <c r="C39" s="28" t="n">
        <f aca="false">D8</f>
        <v>2090909.09090909</v>
      </c>
    </row>
    <row r="40" customFormat="false" ht="15" hidden="false" customHeight="false" outlineLevel="0" collapsed="false">
      <c r="B40" s="62" t="s">
        <v>353</v>
      </c>
      <c r="C40" s="28" t="n">
        <f aca="false">G28</f>
        <v>703000</v>
      </c>
    </row>
    <row r="41" customFormat="false" ht="15" hidden="false" customHeight="false" outlineLevel="0" collapsed="false">
      <c r="B41" s="21" t="s">
        <v>354</v>
      </c>
      <c r="C41" s="52" t="n">
        <f aca="false">C39-C40</f>
        <v>1387909.09090909</v>
      </c>
    </row>
    <row r="42" customFormat="false" ht="15" hidden="false" customHeight="false" outlineLevel="0" collapsed="false">
      <c r="B42" s="21" t="s">
        <v>355</v>
      </c>
      <c r="C42" s="56" t="n">
        <f aca="false">IFERROR(C41/C39,0)</f>
        <v>0.663782608695652</v>
      </c>
    </row>
    <row r="43" customFormat="false" ht="15" hidden="false" customHeight="false" outlineLevel="0" collapsed="false">
      <c r="B43" s="62" t="s">
        <v>356</v>
      </c>
      <c r="C43" s="28" t="n">
        <f aca="false">IFERROR(G28/C9,0)</f>
        <v>11338.7096774194</v>
      </c>
    </row>
    <row r="44" customFormat="false" ht="15" hidden="false" customHeight="false" outlineLevel="0" collapsed="false">
      <c r="B44" s="2" t="s">
        <v>357</v>
      </c>
    </row>
    <row r="46" customFormat="false" ht="21.75" hidden="false" customHeight="true" outlineLevel="0" collapsed="false">
      <c r="B46" s="55" t="s">
        <v>358</v>
      </c>
    </row>
    <row r="47" customFormat="false" ht="24" hidden="false" customHeight="true" outlineLevel="0" collapsed="false">
      <c r="B47" s="11" t="s">
        <v>198</v>
      </c>
      <c r="C47" s="11" t="s">
        <v>359</v>
      </c>
      <c r="D47" s="11" t="s">
        <v>360</v>
      </c>
      <c r="E47" s="11" t="s">
        <v>361</v>
      </c>
      <c r="F47" s="11" t="s">
        <v>362</v>
      </c>
      <c r="G47" s="11" t="s">
        <v>363</v>
      </c>
    </row>
    <row r="48" customFormat="false" ht="15" hidden="false" customHeight="false" outlineLevel="0" collapsed="false">
      <c r="B48" s="29" t="s">
        <v>82</v>
      </c>
      <c r="C48" s="26" t="n">
        <f aca="false">SUMIF(메뉴원가표!$C$6:$C$65,"식재료",메뉴원가표!$O$6:$O$65)</f>
        <v>0</v>
      </c>
      <c r="D48" s="28" t="n">
        <f aca="false">G25</f>
        <v>415000</v>
      </c>
      <c r="E48" s="28" t="n">
        <f aca="false">D48-C48</f>
        <v>415000</v>
      </c>
      <c r="F48" s="27" t="n">
        <f aca="false">IFERROR(E48/C48,0)</f>
        <v>0</v>
      </c>
      <c r="G48" s="63" t="str">
        <f aca="false">IF(C48=0,"메뉴원가표에 판매수량 입력 필요",IF(F48&gt;기본설정!$C$13,"주의: 로스·과다투입·서비스·누락 점검",IF(F48&lt;-기본설정!$C$13,"확인: 매입 누락·재고 과다계상 의심","적정 범위")))</f>
        <v>메뉴원가표에 판매수량 입력 필요</v>
      </c>
      <c r="H48" s="63"/>
      <c r="I48" s="63"/>
    </row>
    <row r="49" customFormat="false" ht="15" hidden="false" customHeight="false" outlineLevel="0" collapsed="false">
      <c r="B49" s="29" t="s">
        <v>336</v>
      </c>
      <c r="C49" s="26" t="n">
        <f aca="false">SUMIF(메뉴원가표!$C$6:$C$65,"주류·음료",메뉴원가표!$O$6:$O$65)</f>
        <v>0</v>
      </c>
      <c r="D49" s="28" t="n">
        <f aca="false">G26</f>
        <v>288000</v>
      </c>
      <c r="E49" s="28" t="n">
        <f aca="false">D49-C49</f>
        <v>288000</v>
      </c>
      <c r="F49" s="27" t="n">
        <f aca="false">IFERROR(E49/C49,0)</f>
        <v>0</v>
      </c>
      <c r="G49" s="63" t="str">
        <f aca="false">IF(C49=0,"메뉴원가표에 판매수량 입력 필요",IF(F49&gt;기본설정!$C$13,"주의: 로스·과다투입·서비스·누락 점검",IF(F49&lt;-기본설정!$C$13,"확인: 매입 누락·재고 과다계상 의심","적정 범위")))</f>
        <v>메뉴원가표에 판매수량 입력 필요</v>
      </c>
      <c r="H49" s="63"/>
      <c r="I49" s="63"/>
    </row>
    <row r="50" customFormat="false" ht="15" hidden="false" customHeight="false" outlineLevel="0" collapsed="false">
      <c r="B50" s="2" t="s">
        <v>364</v>
      </c>
    </row>
    <row r="52" customFormat="false" ht="21.75" hidden="false" customHeight="true" outlineLevel="0" collapsed="false">
      <c r="B52" s="55" t="s">
        <v>365</v>
      </c>
    </row>
    <row r="53" customFormat="false" ht="15" hidden="false" customHeight="false" outlineLevel="0" collapsed="false">
      <c r="B53" s="29" t="s">
        <v>366</v>
      </c>
      <c r="C53" s="26" t="n">
        <f aca="false">IF(기본설정!$C$6="전체",SUMIFS(매입장!$I$4:$I$1503,매입장!$J$4:$J$1503,"면세",매입장!$P$4:$P$1503,"식재료",매입장!$A$4:$A$1503,"&gt;="&amp;$L$2,매입장!$A$4:$A$1503,"&lt;"&amp;$L$3),SUMIFS(매입장!$I$4:$I$1503,매입장!$J$4:$J$1503,"면세",매입장!$P$4:$P$1503,"식재료",매입장!$A$4:$A$1503,"&gt;="&amp;$L$2,매입장!$A$4:$A$1503,"&lt;"&amp;$L$3,매입장!$B$4:$B$1503,기본설정!$C$6))</f>
        <v>415000</v>
      </c>
    </row>
    <row r="54" customFormat="false" ht="15" hidden="false" customHeight="false" outlineLevel="0" collapsed="false">
      <c r="B54" s="29" t="s">
        <v>76</v>
      </c>
      <c r="C54" s="64" t="n">
        <f aca="false">기본설정!$C$12</f>
        <v>0.0825688073394496</v>
      </c>
    </row>
    <row r="55" customFormat="false" ht="15" hidden="false" customHeight="false" outlineLevel="0" collapsed="false">
      <c r="B55" s="29" t="s">
        <v>367</v>
      </c>
      <c r="C55" s="52" t="n">
        <f aca="false">ROUND(C53*C54,0)</f>
        <v>34266</v>
      </c>
    </row>
    <row r="56" customFormat="false" ht="15" hidden="false" customHeight="false" outlineLevel="0" collapsed="false">
      <c r="B56" s="2" t="s">
        <v>368</v>
      </c>
    </row>
    <row r="58" customFormat="false" ht="21.75" hidden="false" customHeight="true" outlineLevel="0" collapsed="false">
      <c r="B58" s="55" t="s">
        <v>369</v>
      </c>
    </row>
    <row r="59" customFormat="false" ht="15" hidden="false" customHeight="false" outlineLevel="0" collapsed="false">
      <c r="B59" s="29" t="s">
        <v>370</v>
      </c>
      <c r="C59" s="15" t="str">
        <f aca="false">IF(SUMPRODUCT(--(INDEX(재고실사!$G$4:$R$403,0,기본설정!$C$5)&lt;&gt;""))=0,"미입력 → 기말재고 0으로 계산되어 원가가 과대 표시됩니다","입력됨")</f>
        <v>미입력 → 기말재고 0으로 계산되어 원가가 과대 표시됩니다</v>
      </c>
      <c r="D59" s="15"/>
      <c r="E59" s="15"/>
      <c r="F59" s="15"/>
      <c r="G59" s="15"/>
      <c r="H59" s="15"/>
      <c r="I59" s="15"/>
    </row>
    <row r="60" customFormat="false" ht="15" hidden="false" customHeight="false" outlineLevel="0" collapsed="false">
      <c r="B60" s="29" t="s">
        <v>371</v>
      </c>
      <c r="C60" s="65" t="str">
        <f aca="false">COUNTIFS(매입장!$D$4:$D$1503,"&lt;&gt;",매입장!$E$4:$E$1503,"")&amp;" 건"</f>
        <v>0 건</v>
      </c>
      <c r="D60" s="65"/>
      <c r="E60" s="65"/>
      <c r="F60" s="65"/>
      <c r="G60" s="65"/>
      <c r="H60" s="65"/>
      <c r="I60" s="65"/>
    </row>
    <row r="61" customFormat="false" ht="15" hidden="false" customHeight="false" outlineLevel="0" collapsed="false">
      <c r="B61" s="29" t="s">
        <v>372</v>
      </c>
      <c r="C61" s="65" t="str">
        <f aca="false">COUNTIFS(매입장!$A$4:$A$1503,"&lt;&gt;",매입장!$B$4:$B$1503,"")&amp;" 건"</f>
        <v>0 건</v>
      </c>
      <c r="D61" s="65"/>
      <c r="E61" s="65"/>
      <c r="F61" s="65"/>
      <c r="G61" s="65"/>
      <c r="H61" s="65"/>
      <c r="I61" s="65"/>
    </row>
    <row r="62" customFormat="false" ht="15" hidden="false" customHeight="false" outlineLevel="0" collapsed="false">
      <c r="B62" s="29" t="s">
        <v>373</v>
      </c>
      <c r="C62" s="65" t="str">
        <f aca="false">COUNTIF(메뉴원가표!$K$6:$K$65,"레시피 미입력")&amp;" 개"</f>
        <v>0 개</v>
      </c>
      <c r="D62" s="65"/>
      <c r="E62" s="65"/>
      <c r="F62" s="65"/>
      <c r="G62" s="65"/>
      <c r="H62" s="65"/>
      <c r="I62" s="65"/>
    </row>
    <row r="63" customFormat="false" ht="15" hidden="false" customHeight="false" outlineLevel="0" collapsed="false">
      <c r="B63" s="29" t="s">
        <v>374</v>
      </c>
      <c r="C63" s="65" t="str">
        <f aca="false">COUNTIF(메뉴원가표!$K$6:$K$65,"위험")&amp;" 개"</f>
        <v>13 개</v>
      </c>
      <c r="D63" s="65"/>
      <c r="E63" s="65"/>
      <c r="F63" s="65"/>
      <c r="G63" s="65"/>
      <c r="H63" s="65"/>
      <c r="I63" s="65"/>
    </row>
  </sheetData>
  <mergeCells count="7">
    <mergeCell ref="G48:I48"/>
    <mergeCell ref="G49:I49"/>
    <mergeCell ref="C59:I59"/>
    <mergeCell ref="C60:I60"/>
    <mergeCell ref="C61:I61"/>
    <mergeCell ref="C62:I62"/>
    <mergeCell ref="C63:I63"/>
  </mergeCells>
  <conditionalFormatting sqref="H33:H36">
    <cfRule type="expression" priority="2" aboveAverage="0" equalAverage="0" bottom="0" percent="0" rank="0" text="" dxfId="3">
      <formula>ISNUMBER(SEARCH("위험",H33))</formula>
    </cfRule>
    <cfRule type="expression" priority="3" aboveAverage="0" equalAverage="0" bottom="0" percent="0" rank="0" text="" dxfId="4">
      <formula>ISNUMBER(SEARCH("주의",H33))</formula>
    </cfRule>
    <cfRule type="expression" priority="4" aboveAverage="0" equalAverage="0" bottom="0" percent="0" rank="0" text="" dxfId="5">
      <formula>ISNUMBER(SEARCH("적정",H33))</formula>
    </cfRule>
  </conditionalFormatting>
  <conditionalFormatting sqref="G48:G49">
    <cfRule type="expression" priority="5" aboveAverage="0" equalAverage="0" bottom="0" percent="0" rank="0" text="" dxfId="3">
      <formula>LEFT(G48,2)="주의"</formula>
    </cfRule>
    <cfRule type="expression" priority="6" aboveAverage="0" equalAverage="0" bottom="0" percent="0" rank="0" text="" dxfId="6">
      <formula>LEFT(G48,2)="확인"</formula>
    </cfRule>
    <cfRule type="expression" priority="7" aboveAverage="0" equalAverage="0" bottom="0" percent="0" rank="0" text="" dxfId="5">
      <formula>LEFT(G48,2)="적정"</formula>
    </cfRule>
  </conditionalFormatting>
  <conditionalFormatting sqref="C59">
    <cfRule type="expression" priority="8" aboveAverage="0" equalAverage="0" bottom="0" percent="0" rank="0" text="" dxfId="3">
      <formula>LEFT(C59,3)="미입력"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4B1E"/>
    <pageSetUpPr fitToPage="false"/>
  </sheetPr>
  <dimension ref="A1:S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12"/>
    <col collapsed="false" customWidth="true" hidden="false" outlineLevel="0" max="17" min="16" style="0" width="8"/>
    <col collapsed="false" customWidth="true" hidden="false" outlineLevel="0" max="19" min="18" style="0" width="9"/>
  </cols>
  <sheetData>
    <row r="1" customFormat="false" ht="27.75" hidden="false" customHeight="true" outlineLevel="0" collapsed="false">
      <c r="A1" s="1" t="s">
        <v>375</v>
      </c>
    </row>
    <row r="2" customFormat="false" ht="15" hidden="false" customHeight="false" outlineLevel="0" collapsed="false">
      <c r="A2" s="2" t="s">
        <v>376</v>
      </c>
    </row>
    <row r="4" customFormat="false" ht="39.75" hidden="false" customHeight="true" outlineLevel="0" collapsed="false">
      <c r="A4" s="11" t="s">
        <v>377</v>
      </c>
      <c r="B4" s="11" t="s">
        <v>378</v>
      </c>
      <c r="C4" s="11" t="s">
        <v>379</v>
      </c>
      <c r="D4" s="11" t="s">
        <v>380</v>
      </c>
      <c r="E4" s="11" t="s">
        <v>381</v>
      </c>
      <c r="F4" s="11" t="s">
        <v>382</v>
      </c>
      <c r="G4" s="11" t="s">
        <v>383</v>
      </c>
      <c r="H4" s="11" t="s">
        <v>384</v>
      </c>
      <c r="I4" s="11" t="s">
        <v>385</v>
      </c>
      <c r="J4" s="11" t="s">
        <v>386</v>
      </c>
      <c r="K4" s="11" t="s">
        <v>387</v>
      </c>
      <c r="L4" s="11" t="s">
        <v>388</v>
      </c>
      <c r="M4" s="11" t="s">
        <v>389</v>
      </c>
      <c r="N4" s="11" t="s">
        <v>390</v>
      </c>
      <c r="O4" s="11" t="s">
        <v>391</v>
      </c>
      <c r="P4" s="11" t="s">
        <v>392</v>
      </c>
      <c r="Q4" s="11" t="s">
        <v>393</v>
      </c>
      <c r="R4" s="11" t="s">
        <v>394</v>
      </c>
      <c r="S4" s="11" t="s">
        <v>19</v>
      </c>
    </row>
    <row r="5" customFormat="false" ht="15" hidden="false" customHeight="false" outlineLevel="0" collapsed="false">
      <c r="A5" s="66" t="n">
        <v>1</v>
      </c>
      <c r="B5" s="28" t="n">
        <f aca="false">IF(기본설정!$C$6="전체",SUMIFS(매출일보!$G$4:$G$403,매출일보!$A$4:$A$403,"&gt;="&amp;DATE(기본설정!$C$4,$A5,1),매출일보!$A$4:$A$403,"&lt;"&amp;DATE(기본설정!$C$4,$A5+1,1)),SUMIFS(매출일보!$G$4:$G$403,매출일보!$A$4:$A$403,"&gt;="&amp;DATE(기본설정!$C$4,$A5,1),매출일보!$A$4:$A$403,"&lt;"&amp;DATE(기본설정!$C$4,$A5+1,1),매출일보!$B$4:$B$403,기본설정!$C$6))</f>
        <v>0</v>
      </c>
      <c r="C5" s="28" t="n">
        <f aca="false">IF(기본설정!$C$6="전체",SUMIFS(매출일보!$I$4:$I$403,매출일보!$A$4:$A$403,"&gt;="&amp;DATE(기본설정!$C$4,$A5,1),매출일보!$A$4:$A$403,"&lt;"&amp;DATE(기본설정!$C$4,$A5+1,1)),SUMIFS(매출일보!$I$4:$I$403,매출일보!$A$4:$A$403,"&gt;="&amp;DATE(기본설정!$C$4,$A5,1),매출일보!$A$4:$A$403,"&lt;"&amp;DATE(기본설정!$C$4,$A5+1,1),매출일보!$B$4:$B$403,기본설정!$C$6))/1.1</f>
        <v>0</v>
      </c>
      <c r="D5" s="28" t="n">
        <f aca="false">IF(기본설정!$C$6="전체",SUMIFS(매출일보!$H$4:$H$403,매출일보!$A$4:$A$403,"&gt;="&amp;DATE(기본설정!$C$4,$A5,1),매출일보!$A$4:$A$403,"&lt;"&amp;DATE(기본설정!$C$4,$A5+1,1)),SUMIFS(매출일보!$H$4:$H$403,매출일보!$A$4:$A$403,"&gt;="&amp;DATE(기본설정!$C$4,$A5,1),매출일보!$A$4:$A$403,"&lt;"&amp;DATE(기본설정!$C$4,$A5+1,1),매출일보!$B$4:$B$403,기본설정!$C$6))/1.1</f>
        <v>0</v>
      </c>
      <c r="E5" s="28" t="n">
        <f aca="false">C5+D5</f>
        <v>0</v>
      </c>
      <c r="F5" s="28" t="n">
        <f aca="false">IF(기본설정!$C$6="전체",SUMIFS(매입장!$I$4:$I$1503,매입장!$P$4:$P$1503,"식재료",매입장!$A$4:$A$1503,"&gt;="&amp;DATE(기본설정!$C$4,$A5,1),매입장!$A$4:$A$1503,"&lt;"&amp;DATE(기본설정!$C$4,$A5+1,1)),SUMIFS(매입장!$I$4:$I$1503,매입장!$P$4:$P$1503,"식재료",매입장!$A$4:$A$1503,"&gt;="&amp;DATE(기본설정!$C$4,$A5,1),매입장!$A$4:$A$1503,"&lt;"&amp;DATE(기본설정!$C$4,$A5+1,1),매입장!$B$4:$B$1503,기본설정!$C$6))</f>
        <v>0</v>
      </c>
      <c r="G5" s="28" t="n">
        <f aca="false">IF(기본설정!$C$6="전체",SUMPRODUCT((재고실사!$W$4:$W$403="식재료")*재고실사!$E$4:$E$403*INDEX(재고실사!$F$4:$R$403,0,$A5+0)),SUMPRODUCT((재고실사!$W$4:$W$403="식재료")*(재고실사!$A$4:$A$403=기본설정!$C$6)*재고실사!$E$4:$E$403*INDEX(재고실사!$F$4:$R$403,0,$A5+0)))+IF(기본설정!$C$6="전체",SUMIFS(매입장!$I$4:$I$1503,매입장!$P$4:$P$1503,"식재료",매입장!$A$4:$A$1503,"&gt;="&amp;DATE(기본설정!$C$4,$A5,1),매입장!$A$4:$A$1503,"&lt;"&amp;DATE(기본설정!$C$4,$A5+1,1)),SUMIFS(매입장!$I$4:$I$1503,매입장!$P$4:$P$1503,"식재료",매입장!$A$4:$A$1503,"&gt;="&amp;DATE(기본설정!$C$4,$A5,1),매입장!$A$4:$A$1503,"&lt;"&amp;DATE(기본설정!$C$4,$A5+1,1),매입장!$B$4:$B$1503,기본설정!$C$6))-IF(기본설정!$C$6="전체",SUMPRODUCT((재고실사!$W$4:$W$403="식재료")*재고실사!$E$4:$E$403*INDEX(재고실사!$F$4:$R$403,0,$A5+1)),SUMPRODUCT((재고실사!$W$4:$W$403="식재료")*(재고실사!$A$4:$A$403=기본설정!$C$6)*재고실사!$E$4:$E$403*INDEX(재고실사!$F$4:$R$403,0,$A5+1)))</f>
        <v>0</v>
      </c>
      <c r="H5" s="27" t="n">
        <f aca="false">IFERROR(G5/C5,0)</f>
        <v>0</v>
      </c>
      <c r="I5" s="28" t="n">
        <f aca="false">IF(기본설정!$C$6="전체",SUMIFS(매입장!$I$4:$I$1503,매입장!$P$4:$P$1503,"주류·음료",매입장!$A$4:$A$1503,"&gt;="&amp;DATE(기본설정!$C$4,$A5,1),매입장!$A$4:$A$1503,"&lt;"&amp;DATE(기본설정!$C$4,$A5+1,1)),SUMIFS(매입장!$I$4:$I$1503,매입장!$P$4:$P$1503,"주류·음료",매입장!$A$4:$A$1503,"&gt;="&amp;DATE(기본설정!$C$4,$A5,1),매입장!$A$4:$A$1503,"&lt;"&amp;DATE(기본설정!$C$4,$A5+1,1),매입장!$B$4:$B$1503,기본설정!$C$6))</f>
        <v>0</v>
      </c>
      <c r="J5" s="28" t="n">
        <f aca="false">IF(기본설정!$C$6="전체",SUMPRODUCT((재고실사!$W$4:$W$403="주류·음료")*재고실사!$E$4:$E$403*INDEX(재고실사!$F$4:$R$403,0,$A5+0)),SUMPRODUCT((재고실사!$W$4:$W$403="주류·음료")*(재고실사!$A$4:$A$403=기본설정!$C$6)*재고실사!$E$4:$E$403*INDEX(재고실사!$F$4:$R$403,0,$A5+0)))+IF(기본설정!$C$6="전체",SUMIFS(매입장!$I$4:$I$1503,매입장!$P$4:$P$1503,"주류·음료",매입장!$A$4:$A$1503,"&gt;="&amp;DATE(기본설정!$C$4,$A5,1),매입장!$A$4:$A$1503,"&lt;"&amp;DATE(기본설정!$C$4,$A5+1,1)),SUMIFS(매입장!$I$4:$I$1503,매입장!$P$4:$P$1503,"주류·음료",매입장!$A$4:$A$1503,"&gt;="&amp;DATE(기본설정!$C$4,$A5,1),매입장!$A$4:$A$1503,"&lt;"&amp;DATE(기본설정!$C$4,$A5+1,1),매입장!$B$4:$B$1503,기본설정!$C$6))-IF(기본설정!$C$6="전체",SUMPRODUCT((재고실사!$W$4:$W$403="주류·음료")*재고실사!$E$4:$E$403*INDEX(재고실사!$F$4:$R$403,0,$A5+1)),SUMPRODUCT((재고실사!$W$4:$W$403="주류·음료")*(재고실사!$A$4:$A$403=기본설정!$C$6)*재고실사!$E$4:$E$403*INDEX(재고실사!$F$4:$R$403,0,$A5+1)))</f>
        <v>0</v>
      </c>
      <c r="K5" s="27" t="n">
        <f aca="false">IFERROR(J5/D5,0)</f>
        <v>0</v>
      </c>
      <c r="L5" s="28" t="n">
        <f aca="false">IF(기본설정!$C$6="전체",SUMPRODUCT((재고실사!$W$4:$W$403="소모품")*재고실사!$E$4:$E$403*INDEX(재고실사!$F$4:$R$403,0,$A5+0)),SUMPRODUCT((재고실사!$W$4:$W$403="소모품")*(재고실사!$A$4:$A$403=기본설정!$C$6)*재고실사!$E$4:$E$403*INDEX(재고실사!$F$4:$R$403,0,$A5+0)))+IF(기본설정!$C$6="전체",SUMIFS(매입장!$I$4:$I$1503,매입장!$P$4:$P$1503,"소모품",매입장!$A$4:$A$1503,"&gt;="&amp;DATE(기본설정!$C$4,$A5,1),매입장!$A$4:$A$1503,"&lt;"&amp;DATE(기본설정!$C$4,$A5+1,1)),SUMIFS(매입장!$I$4:$I$1503,매입장!$P$4:$P$1503,"소모품",매입장!$A$4:$A$1503,"&gt;="&amp;DATE(기본설정!$C$4,$A5,1),매입장!$A$4:$A$1503,"&lt;"&amp;DATE(기본설정!$C$4,$A5+1,1),매입장!$B$4:$B$1503,기본설정!$C$6))-IF(기본설정!$C$6="전체",SUMPRODUCT((재고실사!$W$4:$W$403="소모품")*재고실사!$E$4:$E$403*INDEX(재고실사!$F$4:$R$403,0,$A5+1)),SUMPRODUCT((재고실사!$W$4:$W$403="소모품")*(재고실사!$A$4:$A$403=기본설정!$C$6)*재고실사!$E$4:$E$403*INDEX(재고실사!$F$4:$R$403,0,$A5+1)))</f>
        <v>0</v>
      </c>
      <c r="M5" s="28" t="n">
        <f aca="false">G5+J5+L5</f>
        <v>0</v>
      </c>
      <c r="N5" s="27" t="n">
        <f aca="false">IFERROR(M5/E5,0)</f>
        <v>0</v>
      </c>
      <c r="O5" s="28" t="n">
        <f aca="false">E5-M5</f>
        <v>0</v>
      </c>
      <c r="P5" s="27" t="n">
        <f aca="false">IFERROR(O5/E5,0)</f>
        <v>0</v>
      </c>
      <c r="Q5" s="67" t="n">
        <f aca="false">IF(기본설정!$C$6="전체",SUMIFS(매출일보!$J$4:$J$403,매출일보!$A$4:$A$403,"&gt;="&amp;DATE(기본설정!$C$4,$A5,1),매출일보!$A$4:$A$403,"&lt;"&amp;DATE(기본설정!$C$4,$A5+1,1)),SUMIFS(매출일보!$J$4:$J$403,매출일보!$A$4:$A$403,"&gt;="&amp;DATE(기본설정!$C$4,$A5,1),매출일보!$A$4:$A$403,"&lt;"&amp;DATE(기본설정!$C$4,$A5+1,1),매출일보!$B$4:$B$403,기본설정!$C$6))</f>
        <v>0</v>
      </c>
      <c r="R5" s="28" t="n">
        <f aca="false">IFERROR(B5/Q5,0)</f>
        <v>0</v>
      </c>
      <c r="S5" s="13" t="str">
        <f aca="false">IF(SUMPRODUCT(--(INDEX(재고실사!$F$4:$R$403,0,$A5+1)&lt;&gt;""))&gt;0,"입력","미입력")</f>
        <v>미입력</v>
      </c>
    </row>
    <row r="6" customFormat="false" ht="15" hidden="false" customHeight="false" outlineLevel="0" collapsed="false">
      <c r="A6" s="66" t="n">
        <v>2</v>
      </c>
      <c r="B6" s="28" t="n">
        <f aca="false">IF(기본설정!$C$6="전체",SUMIFS(매출일보!$G$4:$G$403,매출일보!$A$4:$A$403,"&gt;="&amp;DATE(기본설정!$C$4,$A6,1),매출일보!$A$4:$A$403,"&lt;"&amp;DATE(기본설정!$C$4,$A6+1,1)),SUMIFS(매출일보!$G$4:$G$403,매출일보!$A$4:$A$403,"&gt;="&amp;DATE(기본설정!$C$4,$A6,1),매출일보!$A$4:$A$403,"&lt;"&amp;DATE(기본설정!$C$4,$A6+1,1),매출일보!$B$4:$B$403,기본설정!$C$6))</f>
        <v>0</v>
      </c>
      <c r="C6" s="28" t="n">
        <f aca="false">IF(기본설정!$C$6="전체",SUMIFS(매출일보!$I$4:$I$403,매출일보!$A$4:$A$403,"&gt;="&amp;DATE(기본설정!$C$4,$A6,1),매출일보!$A$4:$A$403,"&lt;"&amp;DATE(기본설정!$C$4,$A6+1,1)),SUMIFS(매출일보!$I$4:$I$403,매출일보!$A$4:$A$403,"&gt;="&amp;DATE(기본설정!$C$4,$A6,1),매출일보!$A$4:$A$403,"&lt;"&amp;DATE(기본설정!$C$4,$A6+1,1),매출일보!$B$4:$B$403,기본설정!$C$6))/1.1</f>
        <v>0</v>
      </c>
      <c r="D6" s="28" t="n">
        <f aca="false">IF(기본설정!$C$6="전체",SUMIFS(매출일보!$H$4:$H$403,매출일보!$A$4:$A$403,"&gt;="&amp;DATE(기본설정!$C$4,$A6,1),매출일보!$A$4:$A$403,"&lt;"&amp;DATE(기본설정!$C$4,$A6+1,1)),SUMIFS(매출일보!$H$4:$H$403,매출일보!$A$4:$A$403,"&gt;="&amp;DATE(기본설정!$C$4,$A6,1),매출일보!$A$4:$A$403,"&lt;"&amp;DATE(기본설정!$C$4,$A6+1,1),매출일보!$B$4:$B$403,기본설정!$C$6))/1.1</f>
        <v>0</v>
      </c>
      <c r="E6" s="28" t="n">
        <f aca="false">C6+D6</f>
        <v>0</v>
      </c>
      <c r="F6" s="28" t="n">
        <f aca="false">IF(기본설정!$C$6="전체",SUMIFS(매입장!$I$4:$I$1503,매입장!$P$4:$P$1503,"식재료",매입장!$A$4:$A$1503,"&gt;="&amp;DATE(기본설정!$C$4,$A6,1),매입장!$A$4:$A$1503,"&lt;"&amp;DATE(기본설정!$C$4,$A6+1,1)),SUMIFS(매입장!$I$4:$I$1503,매입장!$P$4:$P$1503,"식재료",매입장!$A$4:$A$1503,"&gt;="&amp;DATE(기본설정!$C$4,$A6,1),매입장!$A$4:$A$1503,"&lt;"&amp;DATE(기본설정!$C$4,$A6+1,1),매입장!$B$4:$B$1503,기본설정!$C$6))</f>
        <v>0</v>
      </c>
      <c r="G6" s="28" t="n">
        <f aca="false">IF(기본설정!$C$6="전체",SUMPRODUCT((재고실사!$W$4:$W$403="식재료")*재고실사!$E$4:$E$403*INDEX(재고실사!$F$4:$R$403,0,$A6+0)),SUMPRODUCT((재고실사!$W$4:$W$403="식재료")*(재고실사!$A$4:$A$403=기본설정!$C$6)*재고실사!$E$4:$E$403*INDEX(재고실사!$F$4:$R$403,0,$A6+0)))+IF(기본설정!$C$6="전체",SUMIFS(매입장!$I$4:$I$1503,매입장!$P$4:$P$1503,"식재료",매입장!$A$4:$A$1503,"&gt;="&amp;DATE(기본설정!$C$4,$A6,1),매입장!$A$4:$A$1503,"&lt;"&amp;DATE(기본설정!$C$4,$A6+1,1)),SUMIFS(매입장!$I$4:$I$1503,매입장!$P$4:$P$1503,"식재료",매입장!$A$4:$A$1503,"&gt;="&amp;DATE(기본설정!$C$4,$A6,1),매입장!$A$4:$A$1503,"&lt;"&amp;DATE(기본설정!$C$4,$A6+1,1),매입장!$B$4:$B$1503,기본설정!$C$6))-IF(기본설정!$C$6="전체",SUMPRODUCT((재고실사!$W$4:$W$403="식재료")*재고실사!$E$4:$E$403*INDEX(재고실사!$F$4:$R$403,0,$A6+1)),SUMPRODUCT((재고실사!$W$4:$W$403="식재료")*(재고실사!$A$4:$A$403=기본설정!$C$6)*재고실사!$E$4:$E$403*INDEX(재고실사!$F$4:$R$403,0,$A6+1)))</f>
        <v>0</v>
      </c>
      <c r="H6" s="27" t="n">
        <f aca="false">IFERROR(G6/C6,0)</f>
        <v>0</v>
      </c>
      <c r="I6" s="28" t="n">
        <f aca="false">IF(기본설정!$C$6="전체",SUMIFS(매입장!$I$4:$I$1503,매입장!$P$4:$P$1503,"주류·음료",매입장!$A$4:$A$1503,"&gt;="&amp;DATE(기본설정!$C$4,$A6,1),매입장!$A$4:$A$1503,"&lt;"&amp;DATE(기본설정!$C$4,$A6+1,1)),SUMIFS(매입장!$I$4:$I$1503,매입장!$P$4:$P$1503,"주류·음료",매입장!$A$4:$A$1503,"&gt;="&amp;DATE(기본설정!$C$4,$A6,1),매입장!$A$4:$A$1503,"&lt;"&amp;DATE(기본설정!$C$4,$A6+1,1),매입장!$B$4:$B$1503,기본설정!$C$6))</f>
        <v>0</v>
      </c>
      <c r="J6" s="28" t="n">
        <f aca="false">IF(기본설정!$C$6="전체",SUMPRODUCT((재고실사!$W$4:$W$403="주류·음료")*재고실사!$E$4:$E$403*INDEX(재고실사!$F$4:$R$403,0,$A6+0)),SUMPRODUCT((재고실사!$W$4:$W$403="주류·음료")*(재고실사!$A$4:$A$403=기본설정!$C$6)*재고실사!$E$4:$E$403*INDEX(재고실사!$F$4:$R$403,0,$A6+0)))+IF(기본설정!$C$6="전체",SUMIFS(매입장!$I$4:$I$1503,매입장!$P$4:$P$1503,"주류·음료",매입장!$A$4:$A$1503,"&gt;="&amp;DATE(기본설정!$C$4,$A6,1),매입장!$A$4:$A$1503,"&lt;"&amp;DATE(기본설정!$C$4,$A6+1,1)),SUMIFS(매입장!$I$4:$I$1503,매입장!$P$4:$P$1503,"주류·음료",매입장!$A$4:$A$1503,"&gt;="&amp;DATE(기본설정!$C$4,$A6,1),매입장!$A$4:$A$1503,"&lt;"&amp;DATE(기본설정!$C$4,$A6+1,1),매입장!$B$4:$B$1503,기본설정!$C$6))-IF(기본설정!$C$6="전체",SUMPRODUCT((재고실사!$W$4:$W$403="주류·음료")*재고실사!$E$4:$E$403*INDEX(재고실사!$F$4:$R$403,0,$A6+1)),SUMPRODUCT((재고실사!$W$4:$W$403="주류·음료")*(재고실사!$A$4:$A$403=기본설정!$C$6)*재고실사!$E$4:$E$403*INDEX(재고실사!$F$4:$R$403,0,$A6+1)))</f>
        <v>0</v>
      </c>
      <c r="K6" s="27" t="n">
        <f aca="false">IFERROR(J6/D6,0)</f>
        <v>0</v>
      </c>
      <c r="L6" s="28" t="n">
        <f aca="false">IF(기본설정!$C$6="전체",SUMPRODUCT((재고실사!$W$4:$W$403="소모품")*재고실사!$E$4:$E$403*INDEX(재고실사!$F$4:$R$403,0,$A6+0)),SUMPRODUCT((재고실사!$W$4:$W$403="소모품")*(재고실사!$A$4:$A$403=기본설정!$C$6)*재고실사!$E$4:$E$403*INDEX(재고실사!$F$4:$R$403,0,$A6+0)))+IF(기본설정!$C$6="전체",SUMIFS(매입장!$I$4:$I$1503,매입장!$P$4:$P$1503,"소모품",매입장!$A$4:$A$1503,"&gt;="&amp;DATE(기본설정!$C$4,$A6,1),매입장!$A$4:$A$1503,"&lt;"&amp;DATE(기본설정!$C$4,$A6+1,1)),SUMIFS(매입장!$I$4:$I$1503,매입장!$P$4:$P$1503,"소모품",매입장!$A$4:$A$1503,"&gt;="&amp;DATE(기본설정!$C$4,$A6,1),매입장!$A$4:$A$1503,"&lt;"&amp;DATE(기본설정!$C$4,$A6+1,1),매입장!$B$4:$B$1503,기본설정!$C$6))-IF(기본설정!$C$6="전체",SUMPRODUCT((재고실사!$W$4:$W$403="소모품")*재고실사!$E$4:$E$403*INDEX(재고실사!$F$4:$R$403,0,$A6+1)),SUMPRODUCT((재고실사!$W$4:$W$403="소모품")*(재고실사!$A$4:$A$403=기본설정!$C$6)*재고실사!$E$4:$E$403*INDEX(재고실사!$F$4:$R$403,0,$A6+1)))</f>
        <v>0</v>
      </c>
      <c r="M6" s="28" t="n">
        <f aca="false">G6+J6+L6</f>
        <v>0</v>
      </c>
      <c r="N6" s="27" t="n">
        <f aca="false">IFERROR(M6/E6,0)</f>
        <v>0</v>
      </c>
      <c r="O6" s="28" t="n">
        <f aca="false">E6-M6</f>
        <v>0</v>
      </c>
      <c r="P6" s="27" t="n">
        <f aca="false">IFERROR(O6/E6,0)</f>
        <v>0</v>
      </c>
      <c r="Q6" s="67" t="n">
        <f aca="false">IF(기본설정!$C$6="전체",SUMIFS(매출일보!$J$4:$J$403,매출일보!$A$4:$A$403,"&gt;="&amp;DATE(기본설정!$C$4,$A6,1),매출일보!$A$4:$A$403,"&lt;"&amp;DATE(기본설정!$C$4,$A6+1,1)),SUMIFS(매출일보!$J$4:$J$403,매출일보!$A$4:$A$403,"&gt;="&amp;DATE(기본설정!$C$4,$A6,1),매출일보!$A$4:$A$403,"&lt;"&amp;DATE(기본설정!$C$4,$A6+1,1),매출일보!$B$4:$B$403,기본설정!$C$6))</f>
        <v>0</v>
      </c>
      <c r="R6" s="28" t="n">
        <f aca="false">IFERROR(B6/Q6,0)</f>
        <v>0</v>
      </c>
      <c r="S6" s="13" t="str">
        <f aca="false">IF(SUMPRODUCT(--(INDEX(재고실사!$F$4:$R$403,0,$A6+1)&lt;&gt;""))&gt;0,"입력","미입력")</f>
        <v>미입력</v>
      </c>
    </row>
    <row r="7" customFormat="false" ht="15" hidden="false" customHeight="false" outlineLevel="0" collapsed="false">
      <c r="A7" s="66" t="n">
        <v>3</v>
      </c>
      <c r="B7" s="28" t="n">
        <f aca="false">IF(기본설정!$C$6="전체",SUMIFS(매출일보!$G$4:$G$403,매출일보!$A$4:$A$403,"&gt;="&amp;DATE(기본설정!$C$4,$A7,1),매출일보!$A$4:$A$403,"&lt;"&amp;DATE(기본설정!$C$4,$A7+1,1)),SUMIFS(매출일보!$G$4:$G$403,매출일보!$A$4:$A$403,"&gt;="&amp;DATE(기본설정!$C$4,$A7,1),매출일보!$A$4:$A$403,"&lt;"&amp;DATE(기본설정!$C$4,$A7+1,1),매출일보!$B$4:$B$403,기본설정!$C$6))</f>
        <v>0</v>
      </c>
      <c r="C7" s="28" t="n">
        <f aca="false">IF(기본설정!$C$6="전체",SUMIFS(매출일보!$I$4:$I$403,매출일보!$A$4:$A$403,"&gt;="&amp;DATE(기본설정!$C$4,$A7,1),매출일보!$A$4:$A$403,"&lt;"&amp;DATE(기본설정!$C$4,$A7+1,1)),SUMIFS(매출일보!$I$4:$I$403,매출일보!$A$4:$A$403,"&gt;="&amp;DATE(기본설정!$C$4,$A7,1),매출일보!$A$4:$A$403,"&lt;"&amp;DATE(기본설정!$C$4,$A7+1,1),매출일보!$B$4:$B$403,기본설정!$C$6))/1.1</f>
        <v>0</v>
      </c>
      <c r="D7" s="28" t="n">
        <f aca="false">IF(기본설정!$C$6="전체",SUMIFS(매출일보!$H$4:$H$403,매출일보!$A$4:$A$403,"&gt;="&amp;DATE(기본설정!$C$4,$A7,1),매출일보!$A$4:$A$403,"&lt;"&amp;DATE(기본설정!$C$4,$A7+1,1)),SUMIFS(매출일보!$H$4:$H$403,매출일보!$A$4:$A$403,"&gt;="&amp;DATE(기본설정!$C$4,$A7,1),매출일보!$A$4:$A$403,"&lt;"&amp;DATE(기본설정!$C$4,$A7+1,1),매출일보!$B$4:$B$403,기본설정!$C$6))/1.1</f>
        <v>0</v>
      </c>
      <c r="E7" s="28" t="n">
        <f aca="false">C7+D7</f>
        <v>0</v>
      </c>
      <c r="F7" s="28" t="n">
        <f aca="false">IF(기본설정!$C$6="전체",SUMIFS(매입장!$I$4:$I$1503,매입장!$P$4:$P$1503,"식재료",매입장!$A$4:$A$1503,"&gt;="&amp;DATE(기본설정!$C$4,$A7,1),매입장!$A$4:$A$1503,"&lt;"&amp;DATE(기본설정!$C$4,$A7+1,1)),SUMIFS(매입장!$I$4:$I$1503,매입장!$P$4:$P$1503,"식재료",매입장!$A$4:$A$1503,"&gt;="&amp;DATE(기본설정!$C$4,$A7,1),매입장!$A$4:$A$1503,"&lt;"&amp;DATE(기본설정!$C$4,$A7+1,1),매입장!$B$4:$B$1503,기본설정!$C$6))</f>
        <v>0</v>
      </c>
      <c r="G7" s="28" t="n">
        <f aca="false">IF(기본설정!$C$6="전체",SUMPRODUCT((재고실사!$W$4:$W$403="식재료")*재고실사!$E$4:$E$403*INDEX(재고실사!$F$4:$R$403,0,$A7+0)),SUMPRODUCT((재고실사!$W$4:$W$403="식재료")*(재고실사!$A$4:$A$403=기본설정!$C$6)*재고실사!$E$4:$E$403*INDEX(재고실사!$F$4:$R$403,0,$A7+0)))+IF(기본설정!$C$6="전체",SUMIFS(매입장!$I$4:$I$1503,매입장!$P$4:$P$1503,"식재료",매입장!$A$4:$A$1503,"&gt;="&amp;DATE(기본설정!$C$4,$A7,1),매입장!$A$4:$A$1503,"&lt;"&amp;DATE(기본설정!$C$4,$A7+1,1)),SUMIFS(매입장!$I$4:$I$1503,매입장!$P$4:$P$1503,"식재료",매입장!$A$4:$A$1503,"&gt;="&amp;DATE(기본설정!$C$4,$A7,1),매입장!$A$4:$A$1503,"&lt;"&amp;DATE(기본설정!$C$4,$A7+1,1),매입장!$B$4:$B$1503,기본설정!$C$6))-IF(기본설정!$C$6="전체",SUMPRODUCT((재고실사!$W$4:$W$403="식재료")*재고실사!$E$4:$E$403*INDEX(재고실사!$F$4:$R$403,0,$A7+1)),SUMPRODUCT((재고실사!$W$4:$W$403="식재료")*(재고실사!$A$4:$A$403=기본설정!$C$6)*재고실사!$E$4:$E$403*INDEX(재고실사!$F$4:$R$403,0,$A7+1)))</f>
        <v>0</v>
      </c>
      <c r="H7" s="27" t="n">
        <f aca="false">IFERROR(G7/C7,0)</f>
        <v>0</v>
      </c>
      <c r="I7" s="28" t="n">
        <f aca="false">IF(기본설정!$C$6="전체",SUMIFS(매입장!$I$4:$I$1503,매입장!$P$4:$P$1503,"주류·음료",매입장!$A$4:$A$1503,"&gt;="&amp;DATE(기본설정!$C$4,$A7,1),매입장!$A$4:$A$1503,"&lt;"&amp;DATE(기본설정!$C$4,$A7+1,1)),SUMIFS(매입장!$I$4:$I$1503,매입장!$P$4:$P$1503,"주류·음료",매입장!$A$4:$A$1503,"&gt;="&amp;DATE(기본설정!$C$4,$A7,1),매입장!$A$4:$A$1503,"&lt;"&amp;DATE(기본설정!$C$4,$A7+1,1),매입장!$B$4:$B$1503,기본설정!$C$6))</f>
        <v>0</v>
      </c>
      <c r="J7" s="28" t="n">
        <f aca="false">IF(기본설정!$C$6="전체",SUMPRODUCT((재고실사!$W$4:$W$403="주류·음료")*재고실사!$E$4:$E$403*INDEX(재고실사!$F$4:$R$403,0,$A7+0)),SUMPRODUCT((재고실사!$W$4:$W$403="주류·음료")*(재고실사!$A$4:$A$403=기본설정!$C$6)*재고실사!$E$4:$E$403*INDEX(재고실사!$F$4:$R$403,0,$A7+0)))+IF(기본설정!$C$6="전체",SUMIFS(매입장!$I$4:$I$1503,매입장!$P$4:$P$1503,"주류·음료",매입장!$A$4:$A$1503,"&gt;="&amp;DATE(기본설정!$C$4,$A7,1),매입장!$A$4:$A$1503,"&lt;"&amp;DATE(기본설정!$C$4,$A7+1,1)),SUMIFS(매입장!$I$4:$I$1503,매입장!$P$4:$P$1503,"주류·음료",매입장!$A$4:$A$1503,"&gt;="&amp;DATE(기본설정!$C$4,$A7,1),매입장!$A$4:$A$1503,"&lt;"&amp;DATE(기본설정!$C$4,$A7+1,1),매입장!$B$4:$B$1503,기본설정!$C$6))-IF(기본설정!$C$6="전체",SUMPRODUCT((재고실사!$W$4:$W$403="주류·음료")*재고실사!$E$4:$E$403*INDEX(재고실사!$F$4:$R$403,0,$A7+1)),SUMPRODUCT((재고실사!$W$4:$W$403="주류·음료")*(재고실사!$A$4:$A$403=기본설정!$C$6)*재고실사!$E$4:$E$403*INDEX(재고실사!$F$4:$R$403,0,$A7+1)))</f>
        <v>0</v>
      </c>
      <c r="K7" s="27" t="n">
        <f aca="false">IFERROR(J7/D7,0)</f>
        <v>0</v>
      </c>
      <c r="L7" s="28" t="n">
        <f aca="false">IF(기본설정!$C$6="전체",SUMPRODUCT((재고실사!$W$4:$W$403="소모품")*재고실사!$E$4:$E$403*INDEX(재고실사!$F$4:$R$403,0,$A7+0)),SUMPRODUCT((재고실사!$W$4:$W$403="소모품")*(재고실사!$A$4:$A$403=기본설정!$C$6)*재고실사!$E$4:$E$403*INDEX(재고실사!$F$4:$R$403,0,$A7+0)))+IF(기본설정!$C$6="전체",SUMIFS(매입장!$I$4:$I$1503,매입장!$P$4:$P$1503,"소모품",매입장!$A$4:$A$1503,"&gt;="&amp;DATE(기본설정!$C$4,$A7,1),매입장!$A$4:$A$1503,"&lt;"&amp;DATE(기본설정!$C$4,$A7+1,1)),SUMIFS(매입장!$I$4:$I$1503,매입장!$P$4:$P$1503,"소모품",매입장!$A$4:$A$1503,"&gt;="&amp;DATE(기본설정!$C$4,$A7,1),매입장!$A$4:$A$1503,"&lt;"&amp;DATE(기본설정!$C$4,$A7+1,1),매입장!$B$4:$B$1503,기본설정!$C$6))-IF(기본설정!$C$6="전체",SUMPRODUCT((재고실사!$W$4:$W$403="소모품")*재고실사!$E$4:$E$403*INDEX(재고실사!$F$4:$R$403,0,$A7+1)),SUMPRODUCT((재고실사!$W$4:$W$403="소모품")*(재고실사!$A$4:$A$403=기본설정!$C$6)*재고실사!$E$4:$E$403*INDEX(재고실사!$F$4:$R$403,0,$A7+1)))</f>
        <v>0</v>
      </c>
      <c r="M7" s="28" t="n">
        <f aca="false">G7+J7+L7</f>
        <v>0</v>
      </c>
      <c r="N7" s="27" t="n">
        <f aca="false">IFERROR(M7/E7,0)</f>
        <v>0</v>
      </c>
      <c r="O7" s="28" t="n">
        <f aca="false">E7-M7</f>
        <v>0</v>
      </c>
      <c r="P7" s="27" t="n">
        <f aca="false">IFERROR(O7/E7,0)</f>
        <v>0</v>
      </c>
      <c r="Q7" s="67" t="n">
        <f aca="false">IF(기본설정!$C$6="전체",SUMIFS(매출일보!$J$4:$J$403,매출일보!$A$4:$A$403,"&gt;="&amp;DATE(기본설정!$C$4,$A7,1),매출일보!$A$4:$A$403,"&lt;"&amp;DATE(기본설정!$C$4,$A7+1,1)),SUMIFS(매출일보!$J$4:$J$403,매출일보!$A$4:$A$403,"&gt;="&amp;DATE(기본설정!$C$4,$A7,1),매출일보!$A$4:$A$403,"&lt;"&amp;DATE(기본설정!$C$4,$A7+1,1),매출일보!$B$4:$B$403,기본설정!$C$6))</f>
        <v>0</v>
      </c>
      <c r="R7" s="28" t="n">
        <f aca="false">IFERROR(B7/Q7,0)</f>
        <v>0</v>
      </c>
      <c r="S7" s="13" t="str">
        <f aca="false">IF(SUMPRODUCT(--(INDEX(재고실사!$F$4:$R$403,0,$A7+1)&lt;&gt;""))&gt;0,"입력","미입력")</f>
        <v>미입력</v>
      </c>
    </row>
    <row r="8" customFormat="false" ht="15" hidden="false" customHeight="false" outlineLevel="0" collapsed="false">
      <c r="A8" s="66" t="n">
        <v>4</v>
      </c>
      <c r="B8" s="28" t="n">
        <f aca="false">IF(기본설정!$C$6="전체",SUMIFS(매출일보!$G$4:$G$403,매출일보!$A$4:$A$403,"&gt;="&amp;DATE(기본설정!$C$4,$A8,1),매출일보!$A$4:$A$403,"&lt;"&amp;DATE(기본설정!$C$4,$A8+1,1)),SUMIFS(매출일보!$G$4:$G$403,매출일보!$A$4:$A$403,"&gt;="&amp;DATE(기본설정!$C$4,$A8,1),매출일보!$A$4:$A$403,"&lt;"&amp;DATE(기본설정!$C$4,$A8+1,1),매출일보!$B$4:$B$403,기본설정!$C$6))</f>
        <v>0</v>
      </c>
      <c r="C8" s="28" t="n">
        <f aca="false">IF(기본설정!$C$6="전체",SUMIFS(매출일보!$I$4:$I$403,매출일보!$A$4:$A$403,"&gt;="&amp;DATE(기본설정!$C$4,$A8,1),매출일보!$A$4:$A$403,"&lt;"&amp;DATE(기본설정!$C$4,$A8+1,1)),SUMIFS(매출일보!$I$4:$I$403,매출일보!$A$4:$A$403,"&gt;="&amp;DATE(기본설정!$C$4,$A8,1),매출일보!$A$4:$A$403,"&lt;"&amp;DATE(기본설정!$C$4,$A8+1,1),매출일보!$B$4:$B$403,기본설정!$C$6))/1.1</f>
        <v>0</v>
      </c>
      <c r="D8" s="28" t="n">
        <f aca="false">IF(기본설정!$C$6="전체",SUMIFS(매출일보!$H$4:$H$403,매출일보!$A$4:$A$403,"&gt;="&amp;DATE(기본설정!$C$4,$A8,1),매출일보!$A$4:$A$403,"&lt;"&amp;DATE(기본설정!$C$4,$A8+1,1)),SUMIFS(매출일보!$H$4:$H$403,매출일보!$A$4:$A$403,"&gt;="&amp;DATE(기본설정!$C$4,$A8,1),매출일보!$A$4:$A$403,"&lt;"&amp;DATE(기본설정!$C$4,$A8+1,1),매출일보!$B$4:$B$403,기본설정!$C$6))/1.1</f>
        <v>0</v>
      </c>
      <c r="E8" s="28" t="n">
        <f aca="false">C8+D8</f>
        <v>0</v>
      </c>
      <c r="F8" s="28" t="n">
        <f aca="false">IF(기본설정!$C$6="전체",SUMIFS(매입장!$I$4:$I$1503,매입장!$P$4:$P$1503,"식재료",매입장!$A$4:$A$1503,"&gt;="&amp;DATE(기본설정!$C$4,$A8,1),매입장!$A$4:$A$1503,"&lt;"&amp;DATE(기본설정!$C$4,$A8+1,1)),SUMIFS(매입장!$I$4:$I$1503,매입장!$P$4:$P$1503,"식재료",매입장!$A$4:$A$1503,"&gt;="&amp;DATE(기본설정!$C$4,$A8,1),매입장!$A$4:$A$1503,"&lt;"&amp;DATE(기본설정!$C$4,$A8+1,1),매입장!$B$4:$B$1503,기본설정!$C$6))</f>
        <v>0</v>
      </c>
      <c r="G8" s="28" t="n">
        <f aca="false">IF(기본설정!$C$6="전체",SUMPRODUCT((재고실사!$W$4:$W$403="식재료")*재고실사!$E$4:$E$403*INDEX(재고실사!$F$4:$R$403,0,$A8+0)),SUMPRODUCT((재고실사!$W$4:$W$403="식재료")*(재고실사!$A$4:$A$403=기본설정!$C$6)*재고실사!$E$4:$E$403*INDEX(재고실사!$F$4:$R$403,0,$A8+0)))+IF(기본설정!$C$6="전체",SUMIFS(매입장!$I$4:$I$1503,매입장!$P$4:$P$1503,"식재료",매입장!$A$4:$A$1503,"&gt;="&amp;DATE(기본설정!$C$4,$A8,1),매입장!$A$4:$A$1503,"&lt;"&amp;DATE(기본설정!$C$4,$A8+1,1)),SUMIFS(매입장!$I$4:$I$1503,매입장!$P$4:$P$1503,"식재료",매입장!$A$4:$A$1503,"&gt;="&amp;DATE(기본설정!$C$4,$A8,1),매입장!$A$4:$A$1503,"&lt;"&amp;DATE(기본설정!$C$4,$A8+1,1),매입장!$B$4:$B$1503,기본설정!$C$6))-IF(기본설정!$C$6="전체",SUMPRODUCT((재고실사!$W$4:$W$403="식재료")*재고실사!$E$4:$E$403*INDEX(재고실사!$F$4:$R$403,0,$A8+1)),SUMPRODUCT((재고실사!$W$4:$W$403="식재료")*(재고실사!$A$4:$A$403=기본설정!$C$6)*재고실사!$E$4:$E$403*INDEX(재고실사!$F$4:$R$403,0,$A8+1)))</f>
        <v>0</v>
      </c>
      <c r="H8" s="27" t="n">
        <f aca="false">IFERROR(G8/C8,0)</f>
        <v>0</v>
      </c>
      <c r="I8" s="28" t="n">
        <f aca="false">IF(기본설정!$C$6="전체",SUMIFS(매입장!$I$4:$I$1503,매입장!$P$4:$P$1503,"주류·음료",매입장!$A$4:$A$1503,"&gt;="&amp;DATE(기본설정!$C$4,$A8,1),매입장!$A$4:$A$1503,"&lt;"&amp;DATE(기본설정!$C$4,$A8+1,1)),SUMIFS(매입장!$I$4:$I$1503,매입장!$P$4:$P$1503,"주류·음료",매입장!$A$4:$A$1503,"&gt;="&amp;DATE(기본설정!$C$4,$A8,1),매입장!$A$4:$A$1503,"&lt;"&amp;DATE(기본설정!$C$4,$A8+1,1),매입장!$B$4:$B$1503,기본설정!$C$6))</f>
        <v>0</v>
      </c>
      <c r="J8" s="28" t="n">
        <f aca="false">IF(기본설정!$C$6="전체",SUMPRODUCT((재고실사!$W$4:$W$403="주류·음료")*재고실사!$E$4:$E$403*INDEX(재고실사!$F$4:$R$403,0,$A8+0)),SUMPRODUCT((재고실사!$W$4:$W$403="주류·음료")*(재고실사!$A$4:$A$403=기본설정!$C$6)*재고실사!$E$4:$E$403*INDEX(재고실사!$F$4:$R$403,0,$A8+0)))+IF(기본설정!$C$6="전체",SUMIFS(매입장!$I$4:$I$1503,매입장!$P$4:$P$1503,"주류·음료",매입장!$A$4:$A$1503,"&gt;="&amp;DATE(기본설정!$C$4,$A8,1),매입장!$A$4:$A$1503,"&lt;"&amp;DATE(기본설정!$C$4,$A8+1,1)),SUMIFS(매입장!$I$4:$I$1503,매입장!$P$4:$P$1503,"주류·음료",매입장!$A$4:$A$1503,"&gt;="&amp;DATE(기본설정!$C$4,$A8,1),매입장!$A$4:$A$1503,"&lt;"&amp;DATE(기본설정!$C$4,$A8+1,1),매입장!$B$4:$B$1503,기본설정!$C$6))-IF(기본설정!$C$6="전체",SUMPRODUCT((재고실사!$W$4:$W$403="주류·음료")*재고실사!$E$4:$E$403*INDEX(재고실사!$F$4:$R$403,0,$A8+1)),SUMPRODUCT((재고실사!$W$4:$W$403="주류·음료")*(재고실사!$A$4:$A$403=기본설정!$C$6)*재고실사!$E$4:$E$403*INDEX(재고실사!$F$4:$R$403,0,$A8+1)))</f>
        <v>0</v>
      </c>
      <c r="K8" s="27" t="n">
        <f aca="false">IFERROR(J8/D8,0)</f>
        <v>0</v>
      </c>
      <c r="L8" s="28" t="n">
        <f aca="false">IF(기본설정!$C$6="전체",SUMPRODUCT((재고실사!$W$4:$W$403="소모품")*재고실사!$E$4:$E$403*INDEX(재고실사!$F$4:$R$403,0,$A8+0)),SUMPRODUCT((재고실사!$W$4:$W$403="소모품")*(재고실사!$A$4:$A$403=기본설정!$C$6)*재고실사!$E$4:$E$403*INDEX(재고실사!$F$4:$R$403,0,$A8+0)))+IF(기본설정!$C$6="전체",SUMIFS(매입장!$I$4:$I$1503,매입장!$P$4:$P$1503,"소모품",매입장!$A$4:$A$1503,"&gt;="&amp;DATE(기본설정!$C$4,$A8,1),매입장!$A$4:$A$1503,"&lt;"&amp;DATE(기본설정!$C$4,$A8+1,1)),SUMIFS(매입장!$I$4:$I$1503,매입장!$P$4:$P$1503,"소모품",매입장!$A$4:$A$1503,"&gt;="&amp;DATE(기본설정!$C$4,$A8,1),매입장!$A$4:$A$1503,"&lt;"&amp;DATE(기본설정!$C$4,$A8+1,1),매입장!$B$4:$B$1503,기본설정!$C$6))-IF(기본설정!$C$6="전체",SUMPRODUCT((재고실사!$W$4:$W$403="소모품")*재고실사!$E$4:$E$403*INDEX(재고실사!$F$4:$R$403,0,$A8+1)),SUMPRODUCT((재고실사!$W$4:$W$403="소모품")*(재고실사!$A$4:$A$403=기본설정!$C$6)*재고실사!$E$4:$E$403*INDEX(재고실사!$F$4:$R$403,0,$A8+1)))</f>
        <v>0</v>
      </c>
      <c r="M8" s="28" t="n">
        <f aca="false">G8+J8+L8</f>
        <v>0</v>
      </c>
      <c r="N8" s="27" t="n">
        <f aca="false">IFERROR(M8/E8,0)</f>
        <v>0</v>
      </c>
      <c r="O8" s="28" t="n">
        <f aca="false">E8-M8</f>
        <v>0</v>
      </c>
      <c r="P8" s="27" t="n">
        <f aca="false">IFERROR(O8/E8,0)</f>
        <v>0</v>
      </c>
      <c r="Q8" s="67" t="n">
        <f aca="false">IF(기본설정!$C$6="전체",SUMIFS(매출일보!$J$4:$J$403,매출일보!$A$4:$A$403,"&gt;="&amp;DATE(기본설정!$C$4,$A8,1),매출일보!$A$4:$A$403,"&lt;"&amp;DATE(기본설정!$C$4,$A8+1,1)),SUMIFS(매출일보!$J$4:$J$403,매출일보!$A$4:$A$403,"&gt;="&amp;DATE(기본설정!$C$4,$A8,1),매출일보!$A$4:$A$403,"&lt;"&amp;DATE(기본설정!$C$4,$A8+1,1),매출일보!$B$4:$B$403,기본설정!$C$6))</f>
        <v>0</v>
      </c>
      <c r="R8" s="28" t="n">
        <f aca="false">IFERROR(B8/Q8,0)</f>
        <v>0</v>
      </c>
      <c r="S8" s="13" t="str">
        <f aca="false">IF(SUMPRODUCT(--(INDEX(재고실사!$F$4:$R$403,0,$A8+1)&lt;&gt;""))&gt;0,"입력","미입력")</f>
        <v>미입력</v>
      </c>
    </row>
    <row r="9" customFormat="false" ht="15" hidden="false" customHeight="false" outlineLevel="0" collapsed="false">
      <c r="A9" s="66" t="n">
        <v>5</v>
      </c>
      <c r="B9" s="28" t="n">
        <f aca="false">IF(기본설정!$C$6="전체",SUMIFS(매출일보!$G$4:$G$403,매출일보!$A$4:$A$403,"&gt;="&amp;DATE(기본설정!$C$4,$A9,1),매출일보!$A$4:$A$403,"&lt;"&amp;DATE(기본설정!$C$4,$A9+1,1)),SUMIFS(매출일보!$G$4:$G$403,매출일보!$A$4:$A$403,"&gt;="&amp;DATE(기본설정!$C$4,$A9,1),매출일보!$A$4:$A$403,"&lt;"&amp;DATE(기본설정!$C$4,$A9+1,1),매출일보!$B$4:$B$403,기본설정!$C$6))</f>
        <v>0</v>
      </c>
      <c r="C9" s="28" t="n">
        <f aca="false">IF(기본설정!$C$6="전체",SUMIFS(매출일보!$I$4:$I$403,매출일보!$A$4:$A$403,"&gt;="&amp;DATE(기본설정!$C$4,$A9,1),매출일보!$A$4:$A$403,"&lt;"&amp;DATE(기본설정!$C$4,$A9+1,1)),SUMIFS(매출일보!$I$4:$I$403,매출일보!$A$4:$A$403,"&gt;="&amp;DATE(기본설정!$C$4,$A9,1),매출일보!$A$4:$A$403,"&lt;"&amp;DATE(기본설정!$C$4,$A9+1,1),매출일보!$B$4:$B$403,기본설정!$C$6))/1.1</f>
        <v>0</v>
      </c>
      <c r="D9" s="28" t="n">
        <f aca="false">IF(기본설정!$C$6="전체",SUMIFS(매출일보!$H$4:$H$403,매출일보!$A$4:$A$403,"&gt;="&amp;DATE(기본설정!$C$4,$A9,1),매출일보!$A$4:$A$403,"&lt;"&amp;DATE(기본설정!$C$4,$A9+1,1)),SUMIFS(매출일보!$H$4:$H$403,매출일보!$A$4:$A$403,"&gt;="&amp;DATE(기본설정!$C$4,$A9,1),매출일보!$A$4:$A$403,"&lt;"&amp;DATE(기본설정!$C$4,$A9+1,1),매출일보!$B$4:$B$403,기본설정!$C$6))/1.1</f>
        <v>0</v>
      </c>
      <c r="E9" s="28" t="n">
        <f aca="false">C9+D9</f>
        <v>0</v>
      </c>
      <c r="F9" s="28" t="n">
        <f aca="false">IF(기본설정!$C$6="전체",SUMIFS(매입장!$I$4:$I$1503,매입장!$P$4:$P$1503,"식재료",매입장!$A$4:$A$1503,"&gt;="&amp;DATE(기본설정!$C$4,$A9,1),매입장!$A$4:$A$1503,"&lt;"&amp;DATE(기본설정!$C$4,$A9+1,1)),SUMIFS(매입장!$I$4:$I$1503,매입장!$P$4:$P$1503,"식재료",매입장!$A$4:$A$1503,"&gt;="&amp;DATE(기본설정!$C$4,$A9,1),매입장!$A$4:$A$1503,"&lt;"&amp;DATE(기본설정!$C$4,$A9+1,1),매입장!$B$4:$B$1503,기본설정!$C$6))</f>
        <v>0</v>
      </c>
      <c r="G9" s="28" t="n">
        <f aca="false">IF(기본설정!$C$6="전체",SUMPRODUCT((재고실사!$W$4:$W$403="식재료")*재고실사!$E$4:$E$403*INDEX(재고실사!$F$4:$R$403,0,$A9+0)),SUMPRODUCT((재고실사!$W$4:$W$403="식재료")*(재고실사!$A$4:$A$403=기본설정!$C$6)*재고실사!$E$4:$E$403*INDEX(재고실사!$F$4:$R$403,0,$A9+0)))+IF(기본설정!$C$6="전체",SUMIFS(매입장!$I$4:$I$1503,매입장!$P$4:$P$1503,"식재료",매입장!$A$4:$A$1503,"&gt;="&amp;DATE(기본설정!$C$4,$A9,1),매입장!$A$4:$A$1503,"&lt;"&amp;DATE(기본설정!$C$4,$A9+1,1)),SUMIFS(매입장!$I$4:$I$1503,매입장!$P$4:$P$1503,"식재료",매입장!$A$4:$A$1503,"&gt;="&amp;DATE(기본설정!$C$4,$A9,1),매입장!$A$4:$A$1503,"&lt;"&amp;DATE(기본설정!$C$4,$A9+1,1),매입장!$B$4:$B$1503,기본설정!$C$6))-IF(기본설정!$C$6="전체",SUMPRODUCT((재고실사!$W$4:$W$403="식재료")*재고실사!$E$4:$E$403*INDEX(재고실사!$F$4:$R$403,0,$A9+1)),SUMPRODUCT((재고실사!$W$4:$W$403="식재료")*(재고실사!$A$4:$A$403=기본설정!$C$6)*재고실사!$E$4:$E$403*INDEX(재고실사!$F$4:$R$403,0,$A9+1)))</f>
        <v>0</v>
      </c>
      <c r="H9" s="27" t="n">
        <f aca="false">IFERROR(G9/C9,0)</f>
        <v>0</v>
      </c>
      <c r="I9" s="28" t="n">
        <f aca="false">IF(기본설정!$C$6="전체",SUMIFS(매입장!$I$4:$I$1503,매입장!$P$4:$P$1503,"주류·음료",매입장!$A$4:$A$1503,"&gt;="&amp;DATE(기본설정!$C$4,$A9,1),매입장!$A$4:$A$1503,"&lt;"&amp;DATE(기본설정!$C$4,$A9+1,1)),SUMIFS(매입장!$I$4:$I$1503,매입장!$P$4:$P$1503,"주류·음료",매입장!$A$4:$A$1503,"&gt;="&amp;DATE(기본설정!$C$4,$A9,1),매입장!$A$4:$A$1503,"&lt;"&amp;DATE(기본설정!$C$4,$A9+1,1),매입장!$B$4:$B$1503,기본설정!$C$6))</f>
        <v>0</v>
      </c>
      <c r="J9" s="28" t="n">
        <f aca="false">IF(기본설정!$C$6="전체",SUMPRODUCT((재고실사!$W$4:$W$403="주류·음료")*재고실사!$E$4:$E$403*INDEX(재고실사!$F$4:$R$403,0,$A9+0)),SUMPRODUCT((재고실사!$W$4:$W$403="주류·음료")*(재고실사!$A$4:$A$403=기본설정!$C$6)*재고실사!$E$4:$E$403*INDEX(재고실사!$F$4:$R$403,0,$A9+0)))+IF(기본설정!$C$6="전체",SUMIFS(매입장!$I$4:$I$1503,매입장!$P$4:$P$1503,"주류·음료",매입장!$A$4:$A$1503,"&gt;="&amp;DATE(기본설정!$C$4,$A9,1),매입장!$A$4:$A$1503,"&lt;"&amp;DATE(기본설정!$C$4,$A9+1,1)),SUMIFS(매입장!$I$4:$I$1503,매입장!$P$4:$P$1503,"주류·음료",매입장!$A$4:$A$1503,"&gt;="&amp;DATE(기본설정!$C$4,$A9,1),매입장!$A$4:$A$1503,"&lt;"&amp;DATE(기본설정!$C$4,$A9+1,1),매입장!$B$4:$B$1503,기본설정!$C$6))-IF(기본설정!$C$6="전체",SUMPRODUCT((재고실사!$W$4:$W$403="주류·음료")*재고실사!$E$4:$E$403*INDEX(재고실사!$F$4:$R$403,0,$A9+1)),SUMPRODUCT((재고실사!$W$4:$W$403="주류·음료")*(재고실사!$A$4:$A$403=기본설정!$C$6)*재고실사!$E$4:$E$403*INDEX(재고실사!$F$4:$R$403,0,$A9+1)))</f>
        <v>0</v>
      </c>
      <c r="K9" s="27" t="n">
        <f aca="false">IFERROR(J9/D9,0)</f>
        <v>0</v>
      </c>
      <c r="L9" s="28" t="n">
        <f aca="false">IF(기본설정!$C$6="전체",SUMPRODUCT((재고실사!$W$4:$W$403="소모품")*재고실사!$E$4:$E$403*INDEX(재고실사!$F$4:$R$403,0,$A9+0)),SUMPRODUCT((재고실사!$W$4:$W$403="소모품")*(재고실사!$A$4:$A$403=기본설정!$C$6)*재고실사!$E$4:$E$403*INDEX(재고실사!$F$4:$R$403,0,$A9+0)))+IF(기본설정!$C$6="전체",SUMIFS(매입장!$I$4:$I$1503,매입장!$P$4:$P$1503,"소모품",매입장!$A$4:$A$1503,"&gt;="&amp;DATE(기본설정!$C$4,$A9,1),매입장!$A$4:$A$1503,"&lt;"&amp;DATE(기본설정!$C$4,$A9+1,1)),SUMIFS(매입장!$I$4:$I$1503,매입장!$P$4:$P$1503,"소모품",매입장!$A$4:$A$1503,"&gt;="&amp;DATE(기본설정!$C$4,$A9,1),매입장!$A$4:$A$1503,"&lt;"&amp;DATE(기본설정!$C$4,$A9+1,1),매입장!$B$4:$B$1503,기본설정!$C$6))-IF(기본설정!$C$6="전체",SUMPRODUCT((재고실사!$W$4:$W$403="소모품")*재고실사!$E$4:$E$403*INDEX(재고실사!$F$4:$R$403,0,$A9+1)),SUMPRODUCT((재고실사!$W$4:$W$403="소모품")*(재고실사!$A$4:$A$403=기본설정!$C$6)*재고실사!$E$4:$E$403*INDEX(재고실사!$F$4:$R$403,0,$A9+1)))</f>
        <v>0</v>
      </c>
      <c r="M9" s="28" t="n">
        <f aca="false">G9+J9+L9</f>
        <v>0</v>
      </c>
      <c r="N9" s="27" t="n">
        <f aca="false">IFERROR(M9/E9,0)</f>
        <v>0</v>
      </c>
      <c r="O9" s="28" t="n">
        <f aca="false">E9-M9</f>
        <v>0</v>
      </c>
      <c r="P9" s="27" t="n">
        <f aca="false">IFERROR(O9/E9,0)</f>
        <v>0</v>
      </c>
      <c r="Q9" s="67" t="n">
        <f aca="false">IF(기본설정!$C$6="전체",SUMIFS(매출일보!$J$4:$J$403,매출일보!$A$4:$A$403,"&gt;="&amp;DATE(기본설정!$C$4,$A9,1),매출일보!$A$4:$A$403,"&lt;"&amp;DATE(기본설정!$C$4,$A9+1,1)),SUMIFS(매출일보!$J$4:$J$403,매출일보!$A$4:$A$403,"&gt;="&amp;DATE(기본설정!$C$4,$A9,1),매출일보!$A$4:$A$403,"&lt;"&amp;DATE(기본설정!$C$4,$A9+1,1),매출일보!$B$4:$B$403,기본설정!$C$6))</f>
        <v>0</v>
      </c>
      <c r="R9" s="28" t="n">
        <f aca="false">IFERROR(B9/Q9,0)</f>
        <v>0</v>
      </c>
      <c r="S9" s="13" t="str">
        <f aca="false">IF(SUMPRODUCT(--(INDEX(재고실사!$F$4:$R$403,0,$A9+1)&lt;&gt;""))&gt;0,"입력","미입력")</f>
        <v>미입력</v>
      </c>
    </row>
    <row r="10" customFormat="false" ht="15" hidden="false" customHeight="false" outlineLevel="0" collapsed="false">
      <c r="A10" s="66" t="n">
        <v>6</v>
      </c>
      <c r="B10" s="28" t="n">
        <f aca="false">IF(기본설정!$C$6="전체",SUMIFS(매출일보!$G$4:$G$403,매출일보!$A$4:$A$403,"&gt;="&amp;DATE(기본설정!$C$4,$A10,1),매출일보!$A$4:$A$403,"&lt;"&amp;DATE(기본설정!$C$4,$A10+1,1)),SUMIFS(매출일보!$G$4:$G$403,매출일보!$A$4:$A$403,"&gt;="&amp;DATE(기본설정!$C$4,$A10,1),매출일보!$A$4:$A$403,"&lt;"&amp;DATE(기본설정!$C$4,$A10+1,1),매출일보!$B$4:$B$403,기본설정!$C$6))</f>
        <v>0</v>
      </c>
      <c r="C10" s="28" t="n">
        <f aca="false">IF(기본설정!$C$6="전체",SUMIFS(매출일보!$I$4:$I$403,매출일보!$A$4:$A$403,"&gt;="&amp;DATE(기본설정!$C$4,$A10,1),매출일보!$A$4:$A$403,"&lt;"&amp;DATE(기본설정!$C$4,$A10+1,1)),SUMIFS(매출일보!$I$4:$I$403,매출일보!$A$4:$A$403,"&gt;="&amp;DATE(기본설정!$C$4,$A10,1),매출일보!$A$4:$A$403,"&lt;"&amp;DATE(기본설정!$C$4,$A10+1,1),매출일보!$B$4:$B$403,기본설정!$C$6))/1.1</f>
        <v>0</v>
      </c>
      <c r="D10" s="28" t="n">
        <f aca="false">IF(기본설정!$C$6="전체",SUMIFS(매출일보!$H$4:$H$403,매출일보!$A$4:$A$403,"&gt;="&amp;DATE(기본설정!$C$4,$A10,1),매출일보!$A$4:$A$403,"&lt;"&amp;DATE(기본설정!$C$4,$A10+1,1)),SUMIFS(매출일보!$H$4:$H$403,매출일보!$A$4:$A$403,"&gt;="&amp;DATE(기본설정!$C$4,$A10,1),매출일보!$A$4:$A$403,"&lt;"&amp;DATE(기본설정!$C$4,$A10+1,1),매출일보!$B$4:$B$403,기본설정!$C$6))/1.1</f>
        <v>0</v>
      </c>
      <c r="E10" s="28" t="n">
        <f aca="false">C10+D10</f>
        <v>0</v>
      </c>
      <c r="F10" s="28" t="n">
        <f aca="false">IF(기본설정!$C$6="전체",SUMIFS(매입장!$I$4:$I$1503,매입장!$P$4:$P$1503,"식재료",매입장!$A$4:$A$1503,"&gt;="&amp;DATE(기본설정!$C$4,$A10,1),매입장!$A$4:$A$1503,"&lt;"&amp;DATE(기본설정!$C$4,$A10+1,1)),SUMIFS(매입장!$I$4:$I$1503,매입장!$P$4:$P$1503,"식재료",매입장!$A$4:$A$1503,"&gt;="&amp;DATE(기본설정!$C$4,$A10,1),매입장!$A$4:$A$1503,"&lt;"&amp;DATE(기본설정!$C$4,$A10+1,1),매입장!$B$4:$B$1503,기본설정!$C$6))</f>
        <v>0</v>
      </c>
      <c r="G10" s="28" t="n">
        <f aca="false">IF(기본설정!$C$6="전체",SUMPRODUCT((재고실사!$W$4:$W$403="식재료")*재고실사!$E$4:$E$403*INDEX(재고실사!$F$4:$R$403,0,$A10+0)),SUMPRODUCT((재고실사!$W$4:$W$403="식재료")*(재고실사!$A$4:$A$403=기본설정!$C$6)*재고실사!$E$4:$E$403*INDEX(재고실사!$F$4:$R$403,0,$A10+0)))+IF(기본설정!$C$6="전체",SUMIFS(매입장!$I$4:$I$1503,매입장!$P$4:$P$1503,"식재료",매입장!$A$4:$A$1503,"&gt;="&amp;DATE(기본설정!$C$4,$A10,1),매입장!$A$4:$A$1503,"&lt;"&amp;DATE(기본설정!$C$4,$A10+1,1)),SUMIFS(매입장!$I$4:$I$1503,매입장!$P$4:$P$1503,"식재료",매입장!$A$4:$A$1503,"&gt;="&amp;DATE(기본설정!$C$4,$A10,1),매입장!$A$4:$A$1503,"&lt;"&amp;DATE(기본설정!$C$4,$A10+1,1),매입장!$B$4:$B$1503,기본설정!$C$6))-IF(기본설정!$C$6="전체",SUMPRODUCT((재고실사!$W$4:$W$403="식재료")*재고실사!$E$4:$E$403*INDEX(재고실사!$F$4:$R$403,0,$A10+1)),SUMPRODUCT((재고실사!$W$4:$W$403="식재료")*(재고실사!$A$4:$A$403=기본설정!$C$6)*재고실사!$E$4:$E$403*INDEX(재고실사!$F$4:$R$403,0,$A10+1)))</f>
        <v>0</v>
      </c>
      <c r="H10" s="27" t="n">
        <f aca="false">IFERROR(G10/C10,0)</f>
        <v>0</v>
      </c>
      <c r="I10" s="28" t="n">
        <f aca="false">IF(기본설정!$C$6="전체",SUMIFS(매입장!$I$4:$I$1503,매입장!$P$4:$P$1503,"주류·음료",매입장!$A$4:$A$1503,"&gt;="&amp;DATE(기본설정!$C$4,$A10,1),매입장!$A$4:$A$1503,"&lt;"&amp;DATE(기본설정!$C$4,$A10+1,1)),SUMIFS(매입장!$I$4:$I$1503,매입장!$P$4:$P$1503,"주류·음료",매입장!$A$4:$A$1503,"&gt;="&amp;DATE(기본설정!$C$4,$A10,1),매입장!$A$4:$A$1503,"&lt;"&amp;DATE(기본설정!$C$4,$A10+1,1),매입장!$B$4:$B$1503,기본설정!$C$6))</f>
        <v>0</v>
      </c>
      <c r="J10" s="28" t="n">
        <f aca="false">IF(기본설정!$C$6="전체",SUMPRODUCT((재고실사!$W$4:$W$403="주류·음료")*재고실사!$E$4:$E$403*INDEX(재고실사!$F$4:$R$403,0,$A10+0)),SUMPRODUCT((재고실사!$W$4:$W$403="주류·음료")*(재고실사!$A$4:$A$403=기본설정!$C$6)*재고실사!$E$4:$E$403*INDEX(재고실사!$F$4:$R$403,0,$A10+0)))+IF(기본설정!$C$6="전체",SUMIFS(매입장!$I$4:$I$1503,매입장!$P$4:$P$1503,"주류·음료",매입장!$A$4:$A$1503,"&gt;="&amp;DATE(기본설정!$C$4,$A10,1),매입장!$A$4:$A$1503,"&lt;"&amp;DATE(기본설정!$C$4,$A10+1,1)),SUMIFS(매입장!$I$4:$I$1503,매입장!$P$4:$P$1503,"주류·음료",매입장!$A$4:$A$1503,"&gt;="&amp;DATE(기본설정!$C$4,$A10,1),매입장!$A$4:$A$1503,"&lt;"&amp;DATE(기본설정!$C$4,$A10+1,1),매입장!$B$4:$B$1503,기본설정!$C$6))-IF(기본설정!$C$6="전체",SUMPRODUCT((재고실사!$W$4:$W$403="주류·음료")*재고실사!$E$4:$E$403*INDEX(재고실사!$F$4:$R$403,0,$A10+1)),SUMPRODUCT((재고실사!$W$4:$W$403="주류·음료")*(재고실사!$A$4:$A$403=기본설정!$C$6)*재고실사!$E$4:$E$403*INDEX(재고실사!$F$4:$R$403,0,$A10+1)))</f>
        <v>0</v>
      </c>
      <c r="K10" s="27" t="n">
        <f aca="false">IFERROR(J10/D10,0)</f>
        <v>0</v>
      </c>
      <c r="L10" s="28" t="n">
        <f aca="false">IF(기본설정!$C$6="전체",SUMPRODUCT((재고실사!$W$4:$W$403="소모품")*재고실사!$E$4:$E$403*INDEX(재고실사!$F$4:$R$403,0,$A10+0)),SUMPRODUCT((재고실사!$W$4:$W$403="소모품")*(재고실사!$A$4:$A$403=기본설정!$C$6)*재고실사!$E$4:$E$403*INDEX(재고실사!$F$4:$R$403,0,$A10+0)))+IF(기본설정!$C$6="전체",SUMIFS(매입장!$I$4:$I$1503,매입장!$P$4:$P$1503,"소모품",매입장!$A$4:$A$1503,"&gt;="&amp;DATE(기본설정!$C$4,$A10,1),매입장!$A$4:$A$1503,"&lt;"&amp;DATE(기본설정!$C$4,$A10+1,1)),SUMIFS(매입장!$I$4:$I$1503,매입장!$P$4:$P$1503,"소모품",매입장!$A$4:$A$1503,"&gt;="&amp;DATE(기본설정!$C$4,$A10,1),매입장!$A$4:$A$1503,"&lt;"&amp;DATE(기본설정!$C$4,$A10+1,1),매입장!$B$4:$B$1503,기본설정!$C$6))-IF(기본설정!$C$6="전체",SUMPRODUCT((재고실사!$W$4:$W$403="소모품")*재고실사!$E$4:$E$403*INDEX(재고실사!$F$4:$R$403,0,$A10+1)),SUMPRODUCT((재고실사!$W$4:$W$403="소모품")*(재고실사!$A$4:$A$403=기본설정!$C$6)*재고실사!$E$4:$E$403*INDEX(재고실사!$F$4:$R$403,0,$A10+1)))</f>
        <v>0</v>
      </c>
      <c r="M10" s="28" t="n">
        <f aca="false">G10+J10+L10</f>
        <v>0</v>
      </c>
      <c r="N10" s="27" t="n">
        <f aca="false">IFERROR(M10/E10,0)</f>
        <v>0</v>
      </c>
      <c r="O10" s="28" t="n">
        <f aca="false">E10-M10</f>
        <v>0</v>
      </c>
      <c r="P10" s="27" t="n">
        <f aca="false">IFERROR(O10/E10,0)</f>
        <v>0</v>
      </c>
      <c r="Q10" s="67" t="n">
        <f aca="false">IF(기본설정!$C$6="전체",SUMIFS(매출일보!$J$4:$J$403,매출일보!$A$4:$A$403,"&gt;="&amp;DATE(기본설정!$C$4,$A10,1),매출일보!$A$4:$A$403,"&lt;"&amp;DATE(기본설정!$C$4,$A10+1,1)),SUMIFS(매출일보!$J$4:$J$403,매출일보!$A$4:$A$403,"&gt;="&amp;DATE(기본설정!$C$4,$A10,1),매출일보!$A$4:$A$403,"&lt;"&amp;DATE(기본설정!$C$4,$A10+1,1),매출일보!$B$4:$B$403,기본설정!$C$6))</f>
        <v>0</v>
      </c>
      <c r="R10" s="28" t="n">
        <f aca="false">IFERROR(B10/Q10,0)</f>
        <v>0</v>
      </c>
      <c r="S10" s="13" t="str">
        <f aca="false">IF(SUMPRODUCT(--(INDEX(재고실사!$F$4:$R$403,0,$A10+1)&lt;&gt;""))&gt;0,"입력","미입력")</f>
        <v>미입력</v>
      </c>
    </row>
    <row r="11" customFormat="false" ht="15" hidden="false" customHeight="false" outlineLevel="0" collapsed="false">
      <c r="A11" s="66" t="n">
        <v>7</v>
      </c>
      <c r="B11" s="28" t="n">
        <f aca="false">IF(기본설정!$C$6="전체",SUMIFS(매출일보!$G$4:$G$403,매출일보!$A$4:$A$403,"&gt;="&amp;DATE(기본설정!$C$4,$A11,1),매출일보!$A$4:$A$403,"&lt;"&amp;DATE(기본설정!$C$4,$A11+1,1)),SUMIFS(매출일보!$G$4:$G$403,매출일보!$A$4:$A$403,"&gt;="&amp;DATE(기본설정!$C$4,$A11,1),매출일보!$A$4:$A$403,"&lt;"&amp;DATE(기본설정!$C$4,$A11+1,1),매출일보!$B$4:$B$403,기본설정!$C$6))</f>
        <v>0</v>
      </c>
      <c r="C11" s="28" t="n">
        <f aca="false">IF(기본설정!$C$6="전체",SUMIFS(매출일보!$I$4:$I$403,매출일보!$A$4:$A$403,"&gt;="&amp;DATE(기본설정!$C$4,$A11,1),매출일보!$A$4:$A$403,"&lt;"&amp;DATE(기본설정!$C$4,$A11+1,1)),SUMIFS(매출일보!$I$4:$I$403,매출일보!$A$4:$A$403,"&gt;="&amp;DATE(기본설정!$C$4,$A11,1),매출일보!$A$4:$A$403,"&lt;"&amp;DATE(기본설정!$C$4,$A11+1,1),매출일보!$B$4:$B$403,기본설정!$C$6))/1.1</f>
        <v>0</v>
      </c>
      <c r="D11" s="28" t="n">
        <f aca="false">IF(기본설정!$C$6="전체",SUMIFS(매출일보!$H$4:$H$403,매출일보!$A$4:$A$403,"&gt;="&amp;DATE(기본설정!$C$4,$A11,1),매출일보!$A$4:$A$403,"&lt;"&amp;DATE(기본설정!$C$4,$A11+1,1)),SUMIFS(매출일보!$H$4:$H$403,매출일보!$A$4:$A$403,"&gt;="&amp;DATE(기본설정!$C$4,$A11,1),매출일보!$A$4:$A$403,"&lt;"&amp;DATE(기본설정!$C$4,$A11+1,1),매출일보!$B$4:$B$403,기본설정!$C$6))/1.1</f>
        <v>0</v>
      </c>
      <c r="E11" s="28" t="n">
        <f aca="false">C11+D11</f>
        <v>0</v>
      </c>
      <c r="F11" s="28" t="n">
        <f aca="false">IF(기본설정!$C$6="전체",SUMIFS(매입장!$I$4:$I$1503,매입장!$P$4:$P$1503,"식재료",매입장!$A$4:$A$1503,"&gt;="&amp;DATE(기본설정!$C$4,$A11,1),매입장!$A$4:$A$1503,"&lt;"&amp;DATE(기본설정!$C$4,$A11+1,1)),SUMIFS(매입장!$I$4:$I$1503,매입장!$P$4:$P$1503,"식재료",매입장!$A$4:$A$1503,"&gt;="&amp;DATE(기본설정!$C$4,$A11,1),매입장!$A$4:$A$1503,"&lt;"&amp;DATE(기본설정!$C$4,$A11+1,1),매입장!$B$4:$B$1503,기본설정!$C$6))</f>
        <v>0</v>
      </c>
      <c r="G11" s="28" t="n">
        <f aca="false">IF(기본설정!$C$6="전체",SUMPRODUCT((재고실사!$W$4:$W$403="식재료")*재고실사!$E$4:$E$403*INDEX(재고실사!$F$4:$R$403,0,$A11+0)),SUMPRODUCT((재고실사!$W$4:$W$403="식재료")*(재고실사!$A$4:$A$403=기본설정!$C$6)*재고실사!$E$4:$E$403*INDEX(재고실사!$F$4:$R$403,0,$A11+0)))+IF(기본설정!$C$6="전체",SUMIFS(매입장!$I$4:$I$1503,매입장!$P$4:$P$1503,"식재료",매입장!$A$4:$A$1503,"&gt;="&amp;DATE(기본설정!$C$4,$A11,1),매입장!$A$4:$A$1503,"&lt;"&amp;DATE(기본설정!$C$4,$A11+1,1)),SUMIFS(매입장!$I$4:$I$1503,매입장!$P$4:$P$1503,"식재료",매입장!$A$4:$A$1503,"&gt;="&amp;DATE(기본설정!$C$4,$A11,1),매입장!$A$4:$A$1503,"&lt;"&amp;DATE(기본설정!$C$4,$A11+1,1),매입장!$B$4:$B$1503,기본설정!$C$6))-IF(기본설정!$C$6="전체",SUMPRODUCT((재고실사!$W$4:$W$403="식재료")*재고실사!$E$4:$E$403*INDEX(재고실사!$F$4:$R$403,0,$A11+1)),SUMPRODUCT((재고실사!$W$4:$W$403="식재료")*(재고실사!$A$4:$A$403=기본설정!$C$6)*재고실사!$E$4:$E$403*INDEX(재고실사!$F$4:$R$403,0,$A11+1)))</f>
        <v>0</v>
      </c>
      <c r="H11" s="27" t="n">
        <f aca="false">IFERROR(G11/C11,0)</f>
        <v>0</v>
      </c>
      <c r="I11" s="28" t="n">
        <f aca="false">IF(기본설정!$C$6="전체",SUMIFS(매입장!$I$4:$I$1503,매입장!$P$4:$P$1503,"주류·음료",매입장!$A$4:$A$1503,"&gt;="&amp;DATE(기본설정!$C$4,$A11,1),매입장!$A$4:$A$1503,"&lt;"&amp;DATE(기본설정!$C$4,$A11+1,1)),SUMIFS(매입장!$I$4:$I$1503,매입장!$P$4:$P$1503,"주류·음료",매입장!$A$4:$A$1503,"&gt;="&amp;DATE(기본설정!$C$4,$A11,1),매입장!$A$4:$A$1503,"&lt;"&amp;DATE(기본설정!$C$4,$A11+1,1),매입장!$B$4:$B$1503,기본설정!$C$6))</f>
        <v>0</v>
      </c>
      <c r="J11" s="28" t="n">
        <f aca="false">IF(기본설정!$C$6="전체",SUMPRODUCT((재고실사!$W$4:$W$403="주류·음료")*재고실사!$E$4:$E$403*INDEX(재고실사!$F$4:$R$403,0,$A11+0)),SUMPRODUCT((재고실사!$W$4:$W$403="주류·음료")*(재고실사!$A$4:$A$403=기본설정!$C$6)*재고실사!$E$4:$E$403*INDEX(재고실사!$F$4:$R$403,0,$A11+0)))+IF(기본설정!$C$6="전체",SUMIFS(매입장!$I$4:$I$1503,매입장!$P$4:$P$1503,"주류·음료",매입장!$A$4:$A$1503,"&gt;="&amp;DATE(기본설정!$C$4,$A11,1),매입장!$A$4:$A$1503,"&lt;"&amp;DATE(기본설정!$C$4,$A11+1,1)),SUMIFS(매입장!$I$4:$I$1503,매입장!$P$4:$P$1503,"주류·음료",매입장!$A$4:$A$1503,"&gt;="&amp;DATE(기본설정!$C$4,$A11,1),매입장!$A$4:$A$1503,"&lt;"&amp;DATE(기본설정!$C$4,$A11+1,1),매입장!$B$4:$B$1503,기본설정!$C$6))-IF(기본설정!$C$6="전체",SUMPRODUCT((재고실사!$W$4:$W$403="주류·음료")*재고실사!$E$4:$E$403*INDEX(재고실사!$F$4:$R$403,0,$A11+1)),SUMPRODUCT((재고실사!$W$4:$W$403="주류·음료")*(재고실사!$A$4:$A$403=기본설정!$C$6)*재고실사!$E$4:$E$403*INDEX(재고실사!$F$4:$R$403,0,$A11+1)))</f>
        <v>0</v>
      </c>
      <c r="K11" s="27" t="n">
        <f aca="false">IFERROR(J11/D11,0)</f>
        <v>0</v>
      </c>
      <c r="L11" s="28" t="n">
        <f aca="false">IF(기본설정!$C$6="전체",SUMPRODUCT((재고실사!$W$4:$W$403="소모품")*재고실사!$E$4:$E$403*INDEX(재고실사!$F$4:$R$403,0,$A11+0)),SUMPRODUCT((재고실사!$W$4:$W$403="소모품")*(재고실사!$A$4:$A$403=기본설정!$C$6)*재고실사!$E$4:$E$403*INDEX(재고실사!$F$4:$R$403,0,$A11+0)))+IF(기본설정!$C$6="전체",SUMIFS(매입장!$I$4:$I$1503,매입장!$P$4:$P$1503,"소모품",매입장!$A$4:$A$1503,"&gt;="&amp;DATE(기본설정!$C$4,$A11,1),매입장!$A$4:$A$1503,"&lt;"&amp;DATE(기본설정!$C$4,$A11+1,1)),SUMIFS(매입장!$I$4:$I$1503,매입장!$P$4:$P$1503,"소모품",매입장!$A$4:$A$1503,"&gt;="&amp;DATE(기본설정!$C$4,$A11,1),매입장!$A$4:$A$1503,"&lt;"&amp;DATE(기본설정!$C$4,$A11+1,1),매입장!$B$4:$B$1503,기본설정!$C$6))-IF(기본설정!$C$6="전체",SUMPRODUCT((재고실사!$W$4:$W$403="소모품")*재고실사!$E$4:$E$403*INDEX(재고실사!$F$4:$R$403,0,$A11+1)),SUMPRODUCT((재고실사!$W$4:$W$403="소모품")*(재고실사!$A$4:$A$403=기본설정!$C$6)*재고실사!$E$4:$E$403*INDEX(재고실사!$F$4:$R$403,0,$A11+1)))</f>
        <v>0</v>
      </c>
      <c r="M11" s="28" t="n">
        <f aca="false">G11+J11+L11</f>
        <v>0</v>
      </c>
      <c r="N11" s="27" t="n">
        <f aca="false">IFERROR(M11/E11,0)</f>
        <v>0</v>
      </c>
      <c r="O11" s="28" t="n">
        <f aca="false">E11-M11</f>
        <v>0</v>
      </c>
      <c r="P11" s="27" t="n">
        <f aca="false">IFERROR(O11/E11,0)</f>
        <v>0</v>
      </c>
      <c r="Q11" s="67" t="n">
        <f aca="false">IF(기본설정!$C$6="전체",SUMIFS(매출일보!$J$4:$J$403,매출일보!$A$4:$A$403,"&gt;="&amp;DATE(기본설정!$C$4,$A11,1),매출일보!$A$4:$A$403,"&lt;"&amp;DATE(기본설정!$C$4,$A11+1,1)),SUMIFS(매출일보!$J$4:$J$403,매출일보!$A$4:$A$403,"&gt;="&amp;DATE(기본설정!$C$4,$A11,1),매출일보!$A$4:$A$403,"&lt;"&amp;DATE(기본설정!$C$4,$A11+1,1),매출일보!$B$4:$B$403,기본설정!$C$6))</f>
        <v>0</v>
      </c>
      <c r="R11" s="28" t="n">
        <f aca="false">IFERROR(B11/Q11,0)</f>
        <v>0</v>
      </c>
      <c r="S11" s="13" t="str">
        <f aca="false">IF(SUMPRODUCT(--(INDEX(재고실사!$F$4:$R$403,0,$A11+1)&lt;&gt;""))&gt;0,"입력","미입력")</f>
        <v>미입력</v>
      </c>
    </row>
    <row r="12" customFormat="false" ht="15" hidden="false" customHeight="false" outlineLevel="0" collapsed="false">
      <c r="A12" s="66" t="n">
        <v>8</v>
      </c>
      <c r="B12" s="28" t="n">
        <f aca="false">IF(기본설정!$C$6="전체",SUMIFS(매출일보!$G$4:$G$403,매출일보!$A$4:$A$403,"&gt;="&amp;DATE(기본설정!$C$4,$A12,1),매출일보!$A$4:$A$403,"&lt;"&amp;DATE(기본설정!$C$4,$A12+1,1)),SUMIFS(매출일보!$G$4:$G$403,매출일보!$A$4:$A$403,"&gt;="&amp;DATE(기본설정!$C$4,$A12,1),매출일보!$A$4:$A$403,"&lt;"&amp;DATE(기본설정!$C$4,$A12+1,1),매출일보!$B$4:$B$403,기본설정!$C$6))</f>
        <v>0</v>
      </c>
      <c r="C12" s="28" t="n">
        <f aca="false">IF(기본설정!$C$6="전체",SUMIFS(매출일보!$I$4:$I$403,매출일보!$A$4:$A$403,"&gt;="&amp;DATE(기본설정!$C$4,$A12,1),매출일보!$A$4:$A$403,"&lt;"&amp;DATE(기본설정!$C$4,$A12+1,1)),SUMIFS(매출일보!$I$4:$I$403,매출일보!$A$4:$A$403,"&gt;="&amp;DATE(기본설정!$C$4,$A12,1),매출일보!$A$4:$A$403,"&lt;"&amp;DATE(기본설정!$C$4,$A12+1,1),매출일보!$B$4:$B$403,기본설정!$C$6))/1.1</f>
        <v>0</v>
      </c>
      <c r="D12" s="28" t="n">
        <f aca="false">IF(기본설정!$C$6="전체",SUMIFS(매출일보!$H$4:$H$403,매출일보!$A$4:$A$403,"&gt;="&amp;DATE(기본설정!$C$4,$A12,1),매출일보!$A$4:$A$403,"&lt;"&amp;DATE(기본설정!$C$4,$A12+1,1)),SUMIFS(매출일보!$H$4:$H$403,매출일보!$A$4:$A$403,"&gt;="&amp;DATE(기본설정!$C$4,$A12,1),매출일보!$A$4:$A$403,"&lt;"&amp;DATE(기본설정!$C$4,$A12+1,1),매출일보!$B$4:$B$403,기본설정!$C$6))/1.1</f>
        <v>0</v>
      </c>
      <c r="E12" s="28" t="n">
        <f aca="false">C12+D12</f>
        <v>0</v>
      </c>
      <c r="F12" s="28" t="n">
        <f aca="false">IF(기본설정!$C$6="전체",SUMIFS(매입장!$I$4:$I$1503,매입장!$P$4:$P$1503,"식재료",매입장!$A$4:$A$1503,"&gt;="&amp;DATE(기본설정!$C$4,$A12,1),매입장!$A$4:$A$1503,"&lt;"&amp;DATE(기본설정!$C$4,$A12+1,1)),SUMIFS(매입장!$I$4:$I$1503,매입장!$P$4:$P$1503,"식재료",매입장!$A$4:$A$1503,"&gt;="&amp;DATE(기본설정!$C$4,$A12,1),매입장!$A$4:$A$1503,"&lt;"&amp;DATE(기본설정!$C$4,$A12+1,1),매입장!$B$4:$B$1503,기본설정!$C$6))</f>
        <v>0</v>
      </c>
      <c r="G12" s="28" t="n">
        <f aca="false">IF(기본설정!$C$6="전체",SUMPRODUCT((재고실사!$W$4:$W$403="식재료")*재고실사!$E$4:$E$403*INDEX(재고실사!$F$4:$R$403,0,$A12+0)),SUMPRODUCT((재고실사!$W$4:$W$403="식재료")*(재고실사!$A$4:$A$403=기본설정!$C$6)*재고실사!$E$4:$E$403*INDEX(재고실사!$F$4:$R$403,0,$A12+0)))+IF(기본설정!$C$6="전체",SUMIFS(매입장!$I$4:$I$1503,매입장!$P$4:$P$1503,"식재료",매입장!$A$4:$A$1503,"&gt;="&amp;DATE(기본설정!$C$4,$A12,1),매입장!$A$4:$A$1503,"&lt;"&amp;DATE(기본설정!$C$4,$A12+1,1)),SUMIFS(매입장!$I$4:$I$1503,매입장!$P$4:$P$1503,"식재료",매입장!$A$4:$A$1503,"&gt;="&amp;DATE(기본설정!$C$4,$A12,1),매입장!$A$4:$A$1503,"&lt;"&amp;DATE(기본설정!$C$4,$A12+1,1),매입장!$B$4:$B$1503,기본설정!$C$6))-IF(기본설정!$C$6="전체",SUMPRODUCT((재고실사!$W$4:$W$403="식재료")*재고실사!$E$4:$E$403*INDEX(재고실사!$F$4:$R$403,0,$A12+1)),SUMPRODUCT((재고실사!$W$4:$W$403="식재료")*(재고실사!$A$4:$A$403=기본설정!$C$6)*재고실사!$E$4:$E$403*INDEX(재고실사!$F$4:$R$403,0,$A12+1)))</f>
        <v>0</v>
      </c>
      <c r="H12" s="27" t="n">
        <f aca="false">IFERROR(G12/C12,0)</f>
        <v>0</v>
      </c>
      <c r="I12" s="28" t="n">
        <f aca="false">IF(기본설정!$C$6="전체",SUMIFS(매입장!$I$4:$I$1503,매입장!$P$4:$P$1503,"주류·음료",매입장!$A$4:$A$1503,"&gt;="&amp;DATE(기본설정!$C$4,$A12,1),매입장!$A$4:$A$1503,"&lt;"&amp;DATE(기본설정!$C$4,$A12+1,1)),SUMIFS(매입장!$I$4:$I$1503,매입장!$P$4:$P$1503,"주류·음료",매입장!$A$4:$A$1503,"&gt;="&amp;DATE(기본설정!$C$4,$A12,1),매입장!$A$4:$A$1503,"&lt;"&amp;DATE(기본설정!$C$4,$A12+1,1),매입장!$B$4:$B$1503,기본설정!$C$6))</f>
        <v>0</v>
      </c>
      <c r="J12" s="28" t="n">
        <f aca="false">IF(기본설정!$C$6="전체",SUMPRODUCT((재고실사!$W$4:$W$403="주류·음료")*재고실사!$E$4:$E$403*INDEX(재고실사!$F$4:$R$403,0,$A12+0)),SUMPRODUCT((재고실사!$W$4:$W$403="주류·음료")*(재고실사!$A$4:$A$403=기본설정!$C$6)*재고실사!$E$4:$E$403*INDEX(재고실사!$F$4:$R$403,0,$A12+0)))+IF(기본설정!$C$6="전체",SUMIFS(매입장!$I$4:$I$1503,매입장!$P$4:$P$1503,"주류·음료",매입장!$A$4:$A$1503,"&gt;="&amp;DATE(기본설정!$C$4,$A12,1),매입장!$A$4:$A$1503,"&lt;"&amp;DATE(기본설정!$C$4,$A12+1,1)),SUMIFS(매입장!$I$4:$I$1503,매입장!$P$4:$P$1503,"주류·음료",매입장!$A$4:$A$1503,"&gt;="&amp;DATE(기본설정!$C$4,$A12,1),매입장!$A$4:$A$1503,"&lt;"&amp;DATE(기본설정!$C$4,$A12+1,1),매입장!$B$4:$B$1503,기본설정!$C$6))-IF(기본설정!$C$6="전체",SUMPRODUCT((재고실사!$W$4:$W$403="주류·음료")*재고실사!$E$4:$E$403*INDEX(재고실사!$F$4:$R$403,0,$A12+1)),SUMPRODUCT((재고실사!$W$4:$W$403="주류·음료")*(재고실사!$A$4:$A$403=기본설정!$C$6)*재고실사!$E$4:$E$403*INDEX(재고실사!$F$4:$R$403,0,$A12+1)))</f>
        <v>0</v>
      </c>
      <c r="K12" s="27" t="n">
        <f aca="false">IFERROR(J12/D12,0)</f>
        <v>0</v>
      </c>
      <c r="L12" s="28" t="n">
        <f aca="false">IF(기본설정!$C$6="전체",SUMPRODUCT((재고실사!$W$4:$W$403="소모품")*재고실사!$E$4:$E$403*INDEX(재고실사!$F$4:$R$403,0,$A12+0)),SUMPRODUCT((재고실사!$W$4:$W$403="소모품")*(재고실사!$A$4:$A$403=기본설정!$C$6)*재고실사!$E$4:$E$403*INDEX(재고실사!$F$4:$R$403,0,$A12+0)))+IF(기본설정!$C$6="전체",SUMIFS(매입장!$I$4:$I$1503,매입장!$P$4:$P$1503,"소모품",매입장!$A$4:$A$1503,"&gt;="&amp;DATE(기본설정!$C$4,$A12,1),매입장!$A$4:$A$1503,"&lt;"&amp;DATE(기본설정!$C$4,$A12+1,1)),SUMIFS(매입장!$I$4:$I$1503,매입장!$P$4:$P$1503,"소모품",매입장!$A$4:$A$1503,"&gt;="&amp;DATE(기본설정!$C$4,$A12,1),매입장!$A$4:$A$1503,"&lt;"&amp;DATE(기본설정!$C$4,$A12+1,1),매입장!$B$4:$B$1503,기본설정!$C$6))-IF(기본설정!$C$6="전체",SUMPRODUCT((재고실사!$W$4:$W$403="소모품")*재고실사!$E$4:$E$403*INDEX(재고실사!$F$4:$R$403,0,$A12+1)),SUMPRODUCT((재고실사!$W$4:$W$403="소모품")*(재고실사!$A$4:$A$403=기본설정!$C$6)*재고실사!$E$4:$E$403*INDEX(재고실사!$F$4:$R$403,0,$A12+1)))</f>
        <v>0</v>
      </c>
      <c r="M12" s="28" t="n">
        <f aca="false">G12+J12+L12</f>
        <v>0</v>
      </c>
      <c r="N12" s="27" t="n">
        <f aca="false">IFERROR(M12/E12,0)</f>
        <v>0</v>
      </c>
      <c r="O12" s="28" t="n">
        <f aca="false">E12-M12</f>
        <v>0</v>
      </c>
      <c r="P12" s="27" t="n">
        <f aca="false">IFERROR(O12/E12,0)</f>
        <v>0</v>
      </c>
      <c r="Q12" s="67" t="n">
        <f aca="false">IF(기본설정!$C$6="전체",SUMIFS(매출일보!$J$4:$J$403,매출일보!$A$4:$A$403,"&gt;="&amp;DATE(기본설정!$C$4,$A12,1),매출일보!$A$4:$A$403,"&lt;"&amp;DATE(기본설정!$C$4,$A12+1,1)),SUMIFS(매출일보!$J$4:$J$403,매출일보!$A$4:$A$403,"&gt;="&amp;DATE(기본설정!$C$4,$A12,1),매출일보!$A$4:$A$403,"&lt;"&amp;DATE(기본설정!$C$4,$A12+1,1),매출일보!$B$4:$B$403,기본설정!$C$6))</f>
        <v>0</v>
      </c>
      <c r="R12" s="28" t="n">
        <f aca="false">IFERROR(B12/Q12,0)</f>
        <v>0</v>
      </c>
      <c r="S12" s="13" t="str">
        <f aca="false">IF(SUMPRODUCT(--(INDEX(재고실사!$F$4:$R$403,0,$A12+1)&lt;&gt;""))&gt;0,"입력","미입력")</f>
        <v>미입력</v>
      </c>
    </row>
    <row r="13" customFormat="false" ht="15" hidden="false" customHeight="false" outlineLevel="0" collapsed="false">
      <c r="A13" s="66" t="n">
        <v>9</v>
      </c>
      <c r="B13" s="28" t="n">
        <f aca="false">IF(기본설정!$C$6="전체",SUMIFS(매출일보!$G$4:$G$403,매출일보!$A$4:$A$403,"&gt;="&amp;DATE(기본설정!$C$4,$A13,1),매출일보!$A$4:$A$403,"&lt;"&amp;DATE(기본설정!$C$4,$A13+1,1)),SUMIFS(매출일보!$G$4:$G$403,매출일보!$A$4:$A$403,"&gt;="&amp;DATE(기본설정!$C$4,$A13,1),매출일보!$A$4:$A$403,"&lt;"&amp;DATE(기본설정!$C$4,$A13+1,1),매출일보!$B$4:$B$403,기본설정!$C$6))</f>
        <v>0</v>
      </c>
      <c r="C13" s="28" t="n">
        <f aca="false">IF(기본설정!$C$6="전체",SUMIFS(매출일보!$I$4:$I$403,매출일보!$A$4:$A$403,"&gt;="&amp;DATE(기본설정!$C$4,$A13,1),매출일보!$A$4:$A$403,"&lt;"&amp;DATE(기본설정!$C$4,$A13+1,1)),SUMIFS(매출일보!$I$4:$I$403,매출일보!$A$4:$A$403,"&gt;="&amp;DATE(기본설정!$C$4,$A13,1),매출일보!$A$4:$A$403,"&lt;"&amp;DATE(기본설정!$C$4,$A13+1,1),매출일보!$B$4:$B$403,기본설정!$C$6))/1.1</f>
        <v>0</v>
      </c>
      <c r="D13" s="28" t="n">
        <f aca="false">IF(기본설정!$C$6="전체",SUMIFS(매출일보!$H$4:$H$403,매출일보!$A$4:$A$403,"&gt;="&amp;DATE(기본설정!$C$4,$A13,1),매출일보!$A$4:$A$403,"&lt;"&amp;DATE(기본설정!$C$4,$A13+1,1)),SUMIFS(매출일보!$H$4:$H$403,매출일보!$A$4:$A$403,"&gt;="&amp;DATE(기본설정!$C$4,$A13,1),매출일보!$A$4:$A$403,"&lt;"&amp;DATE(기본설정!$C$4,$A13+1,1),매출일보!$B$4:$B$403,기본설정!$C$6))/1.1</f>
        <v>0</v>
      </c>
      <c r="E13" s="28" t="n">
        <f aca="false">C13+D13</f>
        <v>0</v>
      </c>
      <c r="F13" s="28" t="n">
        <f aca="false">IF(기본설정!$C$6="전체",SUMIFS(매입장!$I$4:$I$1503,매입장!$P$4:$P$1503,"식재료",매입장!$A$4:$A$1503,"&gt;="&amp;DATE(기본설정!$C$4,$A13,1),매입장!$A$4:$A$1503,"&lt;"&amp;DATE(기본설정!$C$4,$A13+1,1)),SUMIFS(매입장!$I$4:$I$1503,매입장!$P$4:$P$1503,"식재료",매입장!$A$4:$A$1503,"&gt;="&amp;DATE(기본설정!$C$4,$A13,1),매입장!$A$4:$A$1503,"&lt;"&amp;DATE(기본설정!$C$4,$A13+1,1),매입장!$B$4:$B$1503,기본설정!$C$6))</f>
        <v>0</v>
      </c>
      <c r="G13" s="28" t="n">
        <f aca="false">IF(기본설정!$C$6="전체",SUMPRODUCT((재고실사!$W$4:$W$403="식재료")*재고실사!$E$4:$E$403*INDEX(재고실사!$F$4:$R$403,0,$A13+0)),SUMPRODUCT((재고실사!$W$4:$W$403="식재료")*(재고실사!$A$4:$A$403=기본설정!$C$6)*재고실사!$E$4:$E$403*INDEX(재고실사!$F$4:$R$403,0,$A13+0)))+IF(기본설정!$C$6="전체",SUMIFS(매입장!$I$4:$I$1503,매입장!$P$4:$P$1503,"식재료",매입장!$A$4:$A$1503,"&gt;="&amp;DATE(기본설정!$C$4,$A13,1),매입장!$A$4:$A$1503,"&lt;"&amp;DATE(기본설정!$C$4,$A13+1,1)),SUMIFS(매입장!$I$4:$I$1503,매입장!$P$4:$P$1503,"식재료",매입장!$A$4:$A$1503,"&gt;="&amp;DATE(기본설정!$C$4,$A13,1),매입장!$A$4:$A$1503,"&lt;"&amp;DATE(기본설정!$C$4,$A13+1,1),매입장!$B$4:$B$1503,기본설정!$C$6))-IF(기본설정!$C$6="전체",SUMPRODUCT((재고실사!$W$4:$W$403="식재료")*재고실사!$E$4:$E$403*INDEX(재고실사!$F$4:$R$403,0,$A13+1)),SUMPRODUCT((재고실사!$W$4:$W$403="식재료")*(재고실사!$A$4:$A$403=기본설정!$C$6)*재고실사!$E$4:$E$403*INDEX(재고실사!$F$4:$R$403,0,$A13+1)))</f>
        <v>0</v>
      </c>
      <c r="H13" s="27" t="n">
        <f aca="false">IFERROR(G13/C13,0)</f>
        <v>0</v>
      </c>
      <c r="I13" s="28" t="n">
        <f aca="false">IF(기본설정!$C$6="전체",SUMIFS(매입장!$I$4:$I$1503,매입장!$P$4:$P$1503,"주류·음료",매입장!$A$4:$A$1503,"&gt;="&amp;DATE(기본설정!$C$4,$A13,1),매입장!$A$4:$A$1503,"&lt;"&amp;DATE(기본설정!$C$4,$A13+1,1)),SUMIFS(매입장!$I$4:$I$1503,매입장!$P$4:$P$1503,"주류·음료",매입장!$A$4:$A$1503,"&gt;="&amp;DATE(기본설정!$C$4,$A13,1),매입장!$A$4:$A$1503,"&lt;"&amp;DATE(기본설정!$C$4,$A13+1,1),매입장!$B$4:$B$1503,기본설정!$C$6))</f>
        <v>0</v>
      </c>
      <c r="J13" s="28" t="n">
        <f aca="false">IF(기본설정!$C$6="전체",SUMPRODUCT((재고실사!$W$4:$W$403="주류·음료")*재고실사!$E$4:$E$403*INDEX(재고실사!$F$4:$R$403,0,$A13+0)),SUMPRODUCT((재고실사!$W$4:$W$403="주류·음료")*(재고실사!$A$4:$A$403=기본설정!$C$6)*재고실사!$E$4:$E$403*INDEX(재고실사!$F$4:$R$403,0,$A13+0)))+IF(기본설정!$C$6="전체",SUMIFS(매입장!$I$4:$I$1503,매입장!$P$4:$P$1503,"주류·음료",매입장!$A$4:$A$1503,"&gt;="&amp;DATE(기본설정!$C$4,$A13,1),매입장!$A$4:$A$1503,"&lt;"&amp;DATE(기본설정!$C$4,$A13+1,1)),SUMIFS(매입장!$I$4:$I$1503,매입장!$P$4:$P$1503,"주류·음료",매입장!$A$4:$A$1503,"&gt;="&amp;DATE(기본설정!$C$4,$A13,1),매입장!$A$4:$A$1503,"&lt;"&amp;DATE(기본설정!$C$4,$A13+1,1),매입장!$B$4:$B$1503,기본설정!$C$6))-IF(기본설정!$C$6="전체",SUMPRODUCT((재고실사!$W$4:$W$403="주류·음료")*재고실사!$E$4:$E$403*INDEX(재고실사!$F$4:$R$403,0,$A13+1)),SUMPRODUCT((재고실사!$W$4:$W$403="주류·음료")*(재고실사!$A$4:$A$403=기본설정!$C$6)*재고실사!$E$4:$E$403*INDEX(재고실사!$F$4:$R$403,0,$A13+1)))</f>
        <v>0</v>
      </c>
      <c r="K13" s="27" t="n">
        <f aca="false">IFERROR(J13/D13,0)</f>
        <v>0</v>
      </c>
      <c r="L13" s="28" t="n">
        <f aca="false">IF(기본설정!$C$6="전체",SUMPRODUCT((재고실사!$W$4:$W$403="소모품")*재고실사!$E$4:$E$403*INDEX(재고실사!$F$4:$R$403,0,$A13+0)),SUMPRODUCT((재고실사!$W$4:$W$403="소모품")*(재고실사!$A$4:$A$403=기본설정!$C$6)*재고실사!$E$4:$E$403*INDEX(재고실사!$F$4:$R$403,0,$A13+0)))+IF(기본설정!$C$6="전체",SUMIFS(매입장!$I$4:$I$1503,매입장!$P$4:$P$1503,"소모품",매입장!$A$4:$A$1503,"&gt;="&amp;DATE(기본설정!$C$4,$A13,1),매입장!$A$4:$A$1503,"&lt;"&amp;DATE(기본설정!$C$4,$A13+1,1)),SUMIFS(매입장!$I$4:$I$1503,매입장!$P$4:$P$1503,"소모품",매입장!$A$4:$A$1503,"&gt;="&amp;DATE(기본설정!$C$4,$A13,1),매입장!$A$4:$A$1503,"&lt;"&amp;DATE(기본설정!$C$4,$A13+1,1),매입장!$B$4:$B$1503,기본설정!$C$6))-IF(기본설정!$C$6="전체",SUMPRODUCT((재고실사!$W$4:$W$403="소모품")*재고실사!$E$4:$E$403*INDEX(재고실사!$F$4:$R$403,0,$A13+1)),SUMPRODUCT((재고실사!$W$4:$W$403="소모품")*(재고실사!$A$4:$A$403=기본설정!$C$6)*재고실사!$E$4:$E$403*INDEX(재고실사!$F$4:$R$403,0,$A13+1)))</f>
        <v>0</v>
      </c>
      <c r="M13" s="28" t="n">
        <f aca="false">G13+J13+L13</f>
        <v>0</v>
      </c>
      <c r="N13" s="27" t="n">
        <f aca="false">IFERROR(M13/E13,0)</f>
        <v>0</v>
      </c>
      <c r="O13" s="28" t="n">
        <f aca="false">E13-M13</f>
        <v>0</v>
      </c>
      <c r="P13" s="27" t="n">
        <f aca="false">IFERROR(O13/E13,0)</f>
        <v>0</v>
      </c>
      <c r="Q13" s="67" t="n">
        <f aca="false">IF(기본설정!$C$6="전체",SUMIFS(매출일보!$J$4:$J$403,매출일보!$A$4:$A$403,"&gt;="&amp;DATE(기본설정!$C$4,$A13,1),매출일보!$A$4:$A$403,"&lt;"&amp;DATE(기본설정!$C$4,$A13+1,1)),SUMIFS(매출일보!$J$4:$J$403,매출일보!$A$4:$A$403,"&gt;="&amp;DATE(기본설정!$C$4,$A13,1),매출일보!$A$4:$A$403,"&lt;"&amp;DATE(기본설정!$C$4,$A13+1,1),매출일보!$B$4:$B$403,기본설정!$C$6))</f>
        <v>0</v>
      </c>
      <c r="R13" s="28" t="n">
        <f aca="false">IFERROR(B13/Q13,0)</f>
        <v>0</v>
      </c>
      <c r="S13" s="13" t="str">
        <f aca="false">IF(SUMPRODUCT(--(INDEX(재고실사!$F$4:$R$403,0,$A13+1)&lt;&gt;""))&gt;0,"입력","미입력")</f>
        <v>미입력</v>
      </c>
    </row>
    <row r="14" customFormat="false" ht="15" hidden="false" customHeight="false" outlineLevel="0" collapsed="false">
      <c r="A14" s="66" t="n">
        <v>10</v>
      </c>
      <c r="B14" s="28" t="n">
        <f aca="false">IF(기본설정!$C$6="전체",SUMIFS(매출일보!$G$4:$G$403,매출일보!$A$4:$A$403,"&gt;="&amp;DATE(기본설정!$C$4,$A14,1),매출일보!$A$4:$A$403,"&lt;"&amp;DATE(기본설정!$C$4,$A14+1,1)),SUMIFS(매출일보!$G$4:$G$403,매출일보!$A$4:$A$403,"&gt;="&amp;DATE(기본설정!$C$4,$A14,1),매출일보!$A$4:$A$403,"&lt;"&amp;DATE(기본설정!$C$4,$A14+1,1),매출일보!$B$4:$B$403,기본설정!$C$6))</f>
        <v>2300000</v>
      </c>
      <c r="C14" s="28" t="n">
        <f aca="false">IF(기본설정!$C$6="전체",SUMIFS(매출일보!$I$4:$I$403,매출일보!$A$4:$A$403,"&gt;="&amp;DATE(기본설정!$C$4,$A14,1),매출일보!$A$4:$A$403,"&lt;"&amp;DATE(기본설정!$C$4,$A14+1,1)),SUMIFS(매출일보!$I$4:$I$403,매출일보!$A$4:$A$403,"&gt;="&amp;DATE(기본설정!$C$4,$A14,1),매출일보!$A$4:$A$403,"&lt;"&amp;DATE(기본설정!$C$4,$A14+1,1),매출일보!$B$4:$B$403,기본설정!$C$6))/1.1</f>
        <v>1618181.81818182</v>
      </c>
      <c r="D14" s="28" t="n">
        <f aca="false">IF(기본설정!$C$6="전체",SUMIFS(매출일보!$H$4:$H$403,매출일보!$A$4:$A$403,"&gt;="&amp;DATE(기본설정!$C$4,$A14,1),매출일보!$A$4:$A$403,"&lt;"&amp;DATE(기본설정!$C$4,$A14+1,1)),SUMIFS(매출일보!$H$4:$H$403,매출일보!$A$4:$A$403,"&gt;="&amp;DATE(기본설정!$C$4,$A14,1),매출일보!$A$4:$A$403,"&lt;"&amp;DATE(기본설정!$C$4,$A14+1,1),매출일보!$B$4:$B$403,기본설정!$C$6))/1.1</f>
        <v>472727.272727273</v>
      </c>
      <c r="E14" s="28" t="n">
        <f aca="false">C14+D14</f>
        <v>2090909.09090909</v>
      </c>
      <c r="F14" s="28" t="n">
        <f aca="false">IF(기본설정!$C$6="전체",SUMIFS(매입장!$I$4:$I$1503,매입장!$P$4:$P$1503,"식재료",매입장!$A$4:$A$1503,"&gt;="&amp;DATE(기본설정!$C$4,$A14,1),매입장!$A$4:$A$1503,"&lt;"&amp;DATE(기본설정!$C$4,$A14+1,1)),SUMIFS(매입장!$I$4:$I$1503,매입장!$P$4:$P$1503,"식재료",매입장!$A$4:$A$1503,"&gt;="&amp;DATE(기본설정!$C$4,$A14,1),매입장!$A$4:$A$1503,"&lt;"&amp;DATE(기본설정!$C$4,$A14+1,1),매입장!$B$4:$B$1503,기본설정!$C$6))</f>
        <v>415000</v>
      </c>
      <c r="G14" s="28" t="n">
        <f aca="false">IF(기본설정!$C$6="전체",SUMPRODUCT((재고실사!$W$4:$W$403="식재료")*재고실사!$E$4:$E$403*INDEX(재고실사!$F$4:$R$403,0,$A14+0)),SUMPRODUCT((재고실사!$W$4:$W$403="식재료")*(재고실사!$A$4:$A$403=기본설정!$C$6)*재고실사!$E$4:$E$403*INDEX(재고실사!$F$4:$R$403,0,$A14+0)))+IF(기본설정!$C$6="전체",SUMIFS(매입장!$I$4:$I$1503,매입장!$P$4:$P$1503,"식재료",매입장!$A$4:$A$1503,"&gt;="&amp;DATE(기본설정!$C$4,$A14,1),매입장!$A$4:$A$1503,"&lt;"&amp;DATE(기본설정!$C$4,$A14+1,1)),SUMIFS(매입장!$I$4:$I$1503,매입장!$P$4:$P$1503,"식재료",매입장!$A$4:$A$1503,"&gt;="&amp;DATE(기본설정!$C$4,$A14,1),매입장!$A$4:$A$1503,"&lt;"&amp;DATE(기본설정!$C$4,$A14+1,1),매입장!$B$4:$B$1503,기본설정!$C$6))-IF(기본설정!$C$6="전체",SUMPRODUCT((재고실사!$W$4:$W$403="식재료")*재고실사!$E$4:$E$403*INDEX(재고실사!$F$4:$R$403,0,$A14+1)),SUMPRODUCT((재고실사!$W$4:$W$403="식재료")*(재고실사!$A$4:$A$403=기본설정!$C$6)*재고실사!$E$4:$E$403*INDEX(재고실사!$F$4:$R$403,0,$A14+1)))</f>
        <v>415000</v>
      </c>
      <c r="H14" s="27" t="n">
        <f aca="false">IFERROR(G14/C14,0)</f>
        <v>0.256460674157303</v>
      </c>
      <c r="I14" s="28" t="n">
        <f aca="false">IF(기본설정!$C$6="전체",SUMIFS(매입장!$I$4:$I$1503,매입장!$P$4:$P$1503,"주류·음료",매입장!$A$4:$A$1503,"&gt;="&amp;DATE(기본설정!$C$4,$A14,1),매입장!$A$4:$A$1503,"&lt;"&amp;DATE(기본설정!$C$4,$A14+1,1)),SUMIFS(매입장!$I$4:$I$1503,매입장!$P$4:$P$1503,"주류·음료",매입장!$A$4:$A$1503,"&gt;="&amp;DATE(기본설정!$C$4,$A14,1),매입장!$A$4:$A$1503,"&lt;"&amp;DATE(기본설정!$C$4,$A14+1,1),매입장!$B$4:$B$1503,기본설정!$C$6))</f>
        <v>288000</v>
      </c>
      <c r="J14" s="28" t="n">
        <f aca="false">IF(기본설정!$C$6="전체",SUMPRODUCT((재고실사!$W$4:$W$403="주류·음료")*재고실사!$E$4:$E$403*INDEX(재고실사!$F$4:$R$403,0,$A14+0)),SUMPRODUCT((재고실사!$W$4:$W$403="주류·음료")*(재고실사!$A$4:$A$403=기본설정!$C$6)*재고실사!$E$4:$E$403*INDEX(재고실사!$F$4:$R$403,0,$A14+0)))+IF(기본설정!$C$6="전체",SUMIFS(매입장!$I$4:$I$1503,매입장!$P$4:$P$1503,"주류·음료",매입장!$A$4:$A$1503,"&gt;="&amp;DATE(기본설정!$C$4,$A14,1),매입장!$A$4:$A$1503,"&lt;"&amp;DATE(기본설정!$C$4,$A14+1,1)),SUMIFS(매입장!$I$4:$I$1503,매입장!$P$4:$P$1503,"주류·음료",매입장!$A$4:$A$1503,"&gt;="&amp;DATE(기본설정!$C$4,$A14,1),매입장!$A$4:$A$1503,"&lt;"&amp;DATE(기본설정!$C$4,$A14+1,1),매입장!$B$4:$B$1503,기본설정!$C$6))-IF(기본설정!$C$6="전체",SUMPRODUCT((재고실사!$W$4:$W$403="주류·음료")*재고실사!$E$4:$E$403*INDEX(재고실사!$F$4:$R$403,0,$A14+1)),SUMPRODUCT((재고실사!$W$4:$W$403="주류·음료")*(재고실사!$A$4:$A$403=기본설정!$C$6)*재고실사!$E$4:$E$403*INDEX(재고실사!$F$4:$R$403,0,$A14+1)))</f>
        <v>288000</v>
      </c>
      <c r="K14" s="27" t="n">
        <f aca="false">IFERROR(J14/D14,0)</f>
        <v>0.609230769230769</v>
      </c>
      <c r="L14" s="28" t="n">
        <f aca="false">IF(기본설정!$C$6="전체",SUMPRODUCT((재고실사!$W$4:$W$403="소모품")*재고실사!$E$4:$E$403*INDEX(재고실사!$F$4:$R$403,0,$A14+0)),SUMPRODUCT((재고실사!$W$4:$W$403="소모품")*(재고실사!$A$4:$A$403=기본설정!$C$6)*재고실사!$E$4:$E$403*INDEX(재고실사!$F$4:$R$403,0,$A14+0)))+IF(기본설정!$C$6="전체",SUMIFS(매입장!$I$4:$I$1503,매입장!$P$4:$P$1503,"소모품",매입장!$A$4:$A$1503,"&gt;="&amp;DATE(기본설정!$C$4,$A14,1),매입장!$A$4:$A$1503,"&lt;"&amp;DATE(기본설정!$C$4,$A14+1,1)),SUMIFS(매입장!$I$4:$I$1503,매입장!$P$4:$P$1503,"소모품",매입장!$A$4:$A$1503,"&gt;="&amp;DATE(기본설정!$C$4,$A14,1),매입장!$A$4:$A$1503,"&lt;"&amp;DATE(기본설정!$C$4,$A14+1,1),매입장!$B$4:$B$1503,기본설정!$C$6))-IF(기본설정!$C$6="전체",SUMPRODUCT((재고실사!$W$4:$W$403="소모품")*재고실사!$E$4:$E$403*INDEX(재고실사!$F$4:$R$403,0,$A14+1)),SUMPRODUCT((재고실사!$W$4:$W$403="소모품")*(재고실사!$A$4:$A$403=기본설정!$C$6)*재고실사!$E$4:$E$403*INDEX(재고실사!$F$4:$R$403,0,$A14+1)))</f>
        <v>0</v>
      </c>
      <c r="M14" s="28" t="n">
        <f aca="false">G14+J14+L14</f>
        <v>703000</v>
      </c>
      <c r="N14" s="27" t="n">
        <f aca="false">IFERROR(M14/E14,0)</f>
        <v>0.336217391304348</v>
      </c>
      <c r="O14" s="28" t="n">
        <f aca="false">E14-M14</f>
        <v>1387909.09090909</v>
      </c>
      <c r="P14" s="27" t="n">
        <f aca="false">IFERROR(O14/E14,0)</f>
        <v>0.663782608695652</v>
      </c>
      <c r="Q14" s="67" t="n">
        <f aca="false">IF(기본설정!$C$6="전체",SUMIFS(매출일보!$J$4:$J$403,매출일보!$A$4:$A$403,"&gt;="&amp;DATE(기본설정!$C$4,$A14,1),매출일보!$A$4:$A$403,"&lt;"&amp;DATE(기본설정!$C$4,$A14+1,1)),SUMIFS(매출일보!$J$4:$J$403,매출일보!$A$4:$A$403,"&gt;="&amp;DATE(기본설정!$C$4,$A14,1),매출일보!$A$4:$A$403,"&lt;"&amp;DATE(기본설정!$C$4,$A14+1,1),매출일보!$B$4:$B$403,기본설정!$C$6))</f>
        <v>62</v>
      </c>
      <c r="R14" s="28" t="n">
        <f aca="false">IFERROR(B14/Q14,0)</f>
        <v>37096.7741935484</v>
      </c>
      <c r="S14" s="13" t="str">
        <f aca="false">IF(SUMPRODUCT(--(INDEX(재고실사!$F$4:$R$403,0,$A14+1)&lt;&gt;""))&gt;0,"입력","미입력")</f>
        <v>미입력</v>
      </c>
    </row>
    <row r="15" customFormat="false" ht="15" hidden="false" customHeight="false" outlineLevel="0" collapsed="false">
      <c r="A15" s="66" t="n">
        <v>11</v>
      </c>
      <c r="B15" s="28" t="n">
        <f aca="false">IF(기본설정!$C$6="전체",SUMIFS(매출일보!$G$4:$G$403,매출일보!$A$4:$A$403,"&gt;="&amp;DATE(기본설정!$C$4,$A15,1),매출일보!$A$4:$A$403,"&lt;"&amp;DATE(기본설정!$C$4,$A15+1,1)),SUMIFS(매출일보!$G$4:$G$403,매출일보!$A$4:$A$403,"&gt;="&amp;DATE(기본설정!$C$4,$A15,1),매출일보!$A$4:$A$403,"&lt;"&amp;DATE(기본설정!$C$4,$A15+1,1),매출일보!$B$4:$B$403,기본설정!$C$6))</f>
        <v>0</v>
      </c>
      <c r="C15" s="28" t="n">
        <f aca="false">IF(기본설정!$C$6="전체",SUMIFS(매출일보!$I$4:$I$403,매출일보!$A$4:$A$403,"&gt;="&amp;DATE(기본설정!$C$4,$A15,1),매출일보!$A$4:$A$403,"&lt;"&amp;DATE(기본설정!$C$4,$A15+1,1)),SUMIFS(매출일보!$I$4:$I$403,매출일보!$A$4:$A$403,"&gt;="&amp;DATE(기본설정!$C$4,$A15,1),매출일보!$A$4:$A$403,"&lt;"&amp;DATE(기본설정!$C$4,$A15+1,1),매출일보!$B$4:$B$403,기본설정!$C$6))/1.1</f>
        <v>0</v>
      </c>
      <c r="D15" s="28" t="n">
        <f aca="false">IF(기본설정!$C$6="전체",SUMIFS(매출일보!$H$4:$H$403,매출일보!$A$4:$A$403,"&gt;="&amp;DATE(기본설정!$C$4,$A15,1),매출일보!$A$4:$A$403,"&lt;"&amp;DATE(기본설정!$C$4,$A15+1,1)),SUMIFS(매출일보!$H$4:$H$403,매출일보!$A$4:$A$403,"&gt;="&amp;DATE(기본설정!$C$4,$A15,1),매출일보!$A$4:$A$403,"&lt;"&amp;DATE(기본설정!$C$4,$A15+1,1),매출일보!$B$4:$B$403,기본설정!$C$6))/1.1</f>
        <v>0</v>
      </c>
      <c r="E15" s="28" t="n">
        <f aca="false">C15+D15</f>
        <v>0</v>
      </c>
      <c r="F15" s="28" t="n">
        <f aca="false">IF(기본설정!$C$6="전체",SUMIFS(매입장!$I$4:$I$1503,매입장!$P$4:$P$1503,"식재료",매입장!$A$4:$A$1503,"&gt;="&amp;DATE(기본설정!$C$4,$A15,1),매입장!$A$4:$A$1503,"&lt;"&amp;DATE(기본설정!$C$4,$A15+1,1)),SUMIFS(매입장!$I$4:$I$1503,매입장!$P$4:$P$1503,"식재료",매입장!$A$4:$A$1503,"&gt;="&amp;DATE(기본설정!$C$4,$A15,1),매입장!$A$4:$A$1503,"&lt;"&amp;DATE(기본설정!$C$4,$A15+1,1),매입장!$B$4:$B$1503,기본설정!$C$6))</f>
        <v>0</v>
      </c>
      <c r="G15" s="28" t="n">
        <f aca="false">IF(기본설정!$C$6="전체",SUMPRODUCT((재고실사!$W$4:$W$403="식재료")*재고실사!$E$4:$E$403*INDEX(재고실사!$F$4:$R$403,0,$A15+0)),SUMPRODUCT((재고실사!$W$4:$W$403="식재료")*(재고실사!$A$4:$A$403=기본설정!$C$6)*재고실사!$E$4:$E$403*INDEX(재고실사!$F$4:$R$403,0,$A15+0)))+IF(기본설정!$C$6="전체",SUMIFS(매입장!$I$4:$I$1503,매입장!$P$4:$P$1503,"식재료",매입장!$A$4:$A$1503,"&gt;="&amp;DATE(기본설정!$C$4,$A15,1),매입장!$A$4:$A$1503,"&lt;"&amp;DATE(기본설정!$C$4,$A15+1,1)),SUMIFS(매입장!$I$4:$I$1503,매입장!$P$4:$P$1503,"식재료",매입장!$A$4:$A$1503,"&gt;="&amp;DATE(기본설정!$C$4,$A15,1),매입장!$A$4:$A$1503,"&lt;"&amp;DATE(기본설정!$C$4,$A15+1,1),매입장!$B$4:$B$1503,기본설정!$C$6))-IF(기본설정!$C$6="전체",SUMPRODUCT((재고실사!$W$4:$W$403="식재료")*재고실사!$E$4:$E$403*INDEX(재고실사!$F$4:$R$403,0,$A15+1)),SUMPRODUCT((재고실사!$W$4:$W$403="식재료")*(재고실사!$A$4:$A$403=기본설정!$C$6)*재고실사!$E$4:$E$403*INDEX(재고실사!$F$4:$R$403,0,$A15+1)))</f>
        <v>0</v>
      </c>
      <c r="H15" s="27" t="n">
        <f aca="false">IFERROR(G15/C15,0)</f>
        <v>0</v>
      </c>
      <c r="I15" s="28" t="n">
        <f aca="false">IF(기본설정!$C$6="전체",SUMIFS(매입장!$I$4:$I$1503,매입장!$P$4:$P$1503,"주류·음료",매입장!$A$4:$A$1503,"&gt;="&amp;DATE(기본설정!$C$4,$A15,1),매입장!$A$4:$A$1503,"&lt;"&amp;DATE(기본설정!$C$4,$A15+1,1)),SUMIFS(매입장!$I$4:$I$1503,매입장!$P$4:$P$1503,"주류·음료",매입장!$A$4:$A$1503,"&gt;="&amp;DATE(기본설정!$C$4,$A15,1),매입장!$A$4:$A$1503,"&lt;"&amp;DATE(기본설정!$C$4,$A15+1,1),매입장!$B$4:$B$1503,기본설정!$C$6))</f>
        <v>0</v>
      </c>
      <c r="J15" s="28" t="n">
        <f aca="false">IF(기본설정!$C$6="전체",SUMPRODUCT((재고실사!$W$4:$W$403="주류·음료")*재고실사!$E$4:$E$403*INDEX(재고실사!$F$4:$R$403,0,$A15+0)),SUMPRODUCT((재고실사!$W$4:$W$403="주류·음료")*(재고실사!$A$4:$A$403=기본설정!$C$6)*재고실사!$E$4:$E$403*INDEX(재고실사!$F$4:$R$403,0,$A15+0)))+IF(기본설정!$C$6="전체",SUMIFS(매입장!$I$4:$I$1503,매입장!$P$4:$P$1503,"주류·음료",매입장!$A$4:$A$1503,"&gt;="&amp;DATE(기본설정!$C$4,$A15,1),매입장!$A$4:$A$1503,"&lt;"&amp;DATE(기본설정!$C$4,$A15+1,1)),SUMIFS(매입장!$I$4:$I$1503,매입장!$P$4:$P$1503,"주류·음료",매입장!$A$4:$A$1503,"&gt;="&amp;DATE(기본설정!$C$4,$A15,1),매입장!$A$4:$A$1503,"&lt;"&amp;DATE(기본설정!$C$4,$A15+1,1),매입장!$B$4:$B$1503,기본설정!$C$6))-IF(기본설정!$C$6="전체",SUMPRODUCT((재고실사!$W$4:$W$403="주류·음료")*재고실사!$E$4:$E$403*INDEX(재고실사!$F$4:$R$403,0,$A15+1)),SUMPRODUCT((재고실사!$W$4:$W$403="주류·음료")*(재고실사!$A$4:$A$403=기본설정!$C$6)*재고실사!$E$4:$E$403*INDEX(재고실사!$F$4:$R$403,0,$A15+1)))</f>
        <v>0</v>
      </c>
      <c r="K15" s="27" t="n">
        <f aca="false">IFERROR(J15/D15,0)</f>
        <v>0</v>
      </c>
      <c r="L15" s="28" t="n">
        <f aca="false">IF(기본설정!$C$6="전체",SUMPRODUCT((재고실사!$W$4:$W$403="소모품")*재고실사!$E$4:$E$403*INDEX(재고실사!$F$4:$R$403,0,$A15+0)),SUMPRODUCT((재고실사!$W$4:$W$403="소모품")*(재고실사!$A$4:$A$403=기본설정!$C$6)*재고실사!$E$4:$E$403*INDEX(재고실사!$F$4:$R$403,0,$A15+0)))+IF(기본설정!$C$6="전체",SUMIFS(매입장!$I$4:$I$1503,매입장!$P$4:$P$1503,"소모품",매입장!$A$4:$A$1503,"&gt;="&amp;DATE(기본설정!$C$4,$A15,1),매입장!$A$4:$A$1503,"&lt;"&amp;DATE(기본설정!$C$4,$A15+1,1)),SUMIFS(매입장!$I$4:$I$1503,매입장!$P$4:$P$1503,"소모품",매입장!$A$4:$A$1503,"&gt;="&amp;DATE(기본설정!$C$4,$A15,1),매입장!$A$4:$A$1503,"&lt;"&amp;DATE(기본설정!$C$4,$A15+1,1),매입장!$B$4:$B$1503,기본설정!$C$6))-IF(기본설정!$C$6="전체",SUMPRODUCT((재고실사!$W$4:$W$403="소모품")*재고실사!$E$4:$E$403*INDEX(재고실사!$F$4:$R$403,0,$A15+1)),SUMPRODUCT((재고실사!$W$4:$W$403="소모품")*(재고실사!$A$4:$A$403=기본설정!$C$6)*재고실사!$E$4:$E$403*INDEX(재고실사!$F$4:$R$403,0,$A15+1)))</f>
        <v>0</v>
      </c>
      <c r="M15" s="28" t="n">
        <f aca="false">G15+J15+L15</f>
        <v>0</v>
      </c>
      <c r="N15" s="27" t="n">
        <f aca="false">IFERROR(M15/E15,0)</f>
        <v>0</v>
      </c>
      <c r="O15" s="28" t="n">
        <f aca="false">E15-M15</f>
        <v>0</v>
      </c>
      <c r="P15" s="27" t="n">
        <f aca="false">IFERROR(O15/E15,0)</f>
        <v>0</v>
      </c>
      <c r="Q15" s="67" t="n">
        <f aca="false">IF(기본설정!$C$6="전체",SUMIFS(매출일보!$J$4:$J$403,매출일보!$A$4:$A$403,"&gt;="&amp;DATE(기본설정!$C$4,$A15,1),매출일보!$A$4:$A$403,"&lt;"&amp;DATE(기본설정!$C$4,$A15+1,1)),SUMIFS(매출일보!$J$4:$J$403,매출일보!$A$4:$A$403,"&gt;="&amp;DATE(기본설정!$C$4,$A15,1),매출일보!$A$4:$A$403,"&lt;"&amp;DATE(기본설정!$C$4,$A15+1,1),매출일보!$B$4:$B$403,기본설정!$C$6))</f>
        <v>0</v>
      </c>
      <c r="R15" s="28" t="n">
        <f aca="false">IFERROR(B15/Q15,0)</f>
        <v>0</v>
      </c>
      <c r="S15" s="13" t="str">
        <f aca="false">IF(SUMPRODUCT(--(INDEX(재고실사!$F$4:$R$403,0,$A15+1)&lt;&gt;""))&gt;0,"입력","미입력")</f>
        <v>미입력</v>
      </c>
    </row>
    <row r="16" customFormat="false" ht="15" hidden="false" customHeight="false" outlineLevel="0" collapsed="false">
      <c r="A16" s="66" t="n">
        <v>12</v>
      </c>
      <c r="B16" s="28" t="n">
        <f aca="false">IF(기본설정!$C$6="전체",SUMIFS(매출일보!$G$4:$G$403,매출일보!$A$4:$A$403,"&gt;="&amp;DATE(기본설정!$C$4,$A16,1),매출일보!$A$4:$A$403,"&lt;"&amp;DATE(기본설정!$C$4,$A16+1,1)),SUMIFS(매출일보!$G$4:$G$403,매출일보!$A$4:$A$403,"&gt;="&amp;DATE(기본설정!$C$4,$A16,1),매출일보!$A$4:$A$403,"&lt;"&amp;DATE(기본설정!$C$4,$A16+1,1),매출일보!$B$4:$B$403,기본설정!$C$6))</f>
        <v>0</v>
      </c>
      <c r="C16" s="28" t="n">
        <f aca="false">IF(기본설정!$C$6="전체",SUMIFS(매출일보!$I$4:$I$403,매출일보!$A$4:$A$403,"&gt;="&amp;DATE(기본설정!$C$4,$A16,1),매출일보!$A$4:$A$403,"&lt;"&amp;DATE(기본설정!$C$4,$A16+1,1)),SUMIFS(매출일보!$I$4:$I$403,매출일보!$A$4:$A$403,"&gt;="&amp;DATE(기본설정!$C$4,$A16,1),매출일보!$A$4:$A$403,"&lt;"&amp;DATE(기본설정!$C$4,$A16+1,1),매출일보!$B$4:$B$403,기본설정!$C$6))/1.1</f>
        <v>0</v>
      </c>
      <c r="D16" s="28" t="n">
        <f aca="false">IF(기본설정!$C$6="전체",SUMIFS(매출일보!$H$4:$H$403,매출일보!$A$4:$A$403,"&gt;="&amp;DATE(기본설정!$C$4,$A16,1),매출일보!$A$4:$A$403,"&lt;"&amp;DATE(기본설정!$C$4,$A16+1,1)),SUMIFS(매출일보!$H$4:$H$403,매출일보!$A$4:$A$403,"&gt;="&amp;DATE(기본설정!$C$4,$A16,1),매출일보!$A$4:$A$403,"&lt;"&amp;DATE(기본설정!$C$4,$A16+1,1),매출일보!$B$4:$B$403,기본설정!$C$6))/1.1</f>
        <v>0</v>
      </c>
      <c r="E16" s="28" t="n">
        <f aca="false">C16+D16</f>
        <v>0</v>
      </c>
      <c r="F16" s="28" t="n">
        <f aca="false">IF(기본설정!$C$6="전체",SUMIFS(매입장!$I$4:$I$1503,매입장!$P$4:$P$1503,"식재료",매입장!$A$4:$A$1503,"&gt;="&amp;DATE(기본설정!$C$4,$A16,1),매입장!$A$4:$A$1503,"&lt;"&amp;DATE(기본설정!$C$4,$A16+1,1)),SUMIFS(매입장!$I$4:$I$1503,매입장!$P$4:$P$1503,"식재료",매입장!$A$4:$A$1503,"&gt;="&amp;DATE(기본설정!$C$4,$A16,1),매입장!$A$4:$A$1503,"&lt;"&amp;DATE(기본설정!$C$4,$A16+1,1),매입장!$B$4:$B$1503,기본설정!$C$6))</f>
        <v>0</v>
      </c>
      <c r="G16" s="28" t="n">
        <f aca="false">IF(기본설정!$C$6="전체",SUMPRODUCT((재고실사!$W$4:$W$403="식재료")*재고실사!$E$4:$E$403*INDEX(재고실사!$F$4:$R$403,0,$A16+0)),SUMPRODUCT((재고실사!$W$4:$W$403="식재료")*(재고실사!$A$4:$A$403=기본설정!$C$6)*재고실사!$E$4:$E$403*INDEX(재고실사!$F$4:$R$403,0,$A16+0)))+IF(기본설정!$C$6="전체",SUMIFS(매입장!$I$4:$I$1503,매입장!$P$4:$P$1503,"식재료",매입장!$A$4:$A$1503,"&gt;="&amp;DATE(기본설정!$C$4,$A16,1),매입장!$A$4:$A$1503,"&lt;"&amp;DATE(기본설정!$C$4,$A16+1,1)),SUMIFS(매입장!$I$4:$I$1503,매입장!$P$4:$P$1503,"식재료",매입장!$A$4:$A$1503,"&gt;="&amp;DATE(기본설정!$C$4,$A16,1),매입장!$A$4:$A$1503,"&lt;"&amp;DATE(기본설정!$C$4,$A16+1,1),매입장!$B$4:$B$1503,기본설정!$C$6))-IF(기본설정!$C$6="전체",SUMPRODUCT((재고실사!$W$4:$W$403="식재료")*재고실사!$E$4:$E$403*INDEX(재고실사!$F$4:$R$403,0,$A16+1)),SUMPRODUCT((재고실사!$W$4:$W$403="식재료")*(재고실사!$A$4:$A$403=기본설정!$C$6)*재고실사!$E$4:$E$403*INDEX(재고실사!$F$4:$R$403,0,$A16+1)))</f>
        <v>0</v>
      </c>
      <c r="H16" s="27" t="n">
        <f aca="false">IFERROR(G16/C16,0)</f>
        <v>0</v>
      </c>
      <c r="I16" s="28" t="n">
        <f aca="false">IF(기본설정!$C$6="전체",SUMIFS(매입장!$I$4:$I$1503,매입장!$P$4:$P$1503,"주류·음료",매입장!$A$4:$A$1503,"&gt;="&amp;DATE(기본설정!$C$4,$A16,1),매입장!$A$4:$A$1503,"&lt;"&amp;DATE(기본설정!$C$4,$A16+1,1)),SUMIFS(매입장!$I$4:$I$1503,매입장!$P$4:$P$1503,"주류·음료",매입장!$A$4:$A$1503,"&gt;="&amp;DATE(기본설정!$C$4,$A16,1),매입장!$A$4:$A$1503,"&lt;"&amp;DATE(기본설정!$C$4,$A16+1,1),매입장!$B$4:$B$1503,기본설정!$C$6))</f>
        <v>0</v>
      </c>
      <c r="J16" s="28" t="n">
        <f aca="false">IF(기본설정!$C$6="전체",SUMPRODUCT((재고실사!$W$4:$W$403="주류·음료")*재고실사!$E$4:$E$403*INDEX(재고실사!$F$4:$R$403,0,$A16+0)),SUMPRODUCT((재고실사!$W$4:$W$403="주류·음료")*(재고실사!$A$4:$A$403=기본설정!$C$6)*재고실사!$E$4:$E$403*INDEX(재고실사!$F$4:$R$403,0,$A16+0)))+IF(기본설정!$C$6="전체",SUMIFS(매입장!$I$4:$I$1503,매입장!$P$4:$P$1503,"주류·음료",매입장!$A$4:$A$1503,"&gt;="&amp;DATE(기본설정!$C$4,$A16,1),매입장!$A$4:$A$1503,"&lt;"&amp;DATE(기본설정!$C$4,$A16+1,1)),SUMIFS(매입장!$I$4:$I$1503,매입장!$P$4:$P$1503,"주류·음료",매입장!$A$4:$A$1503,"&gt;="&amp;DATE(기본설정!$C$4,$A16,1),매입장!$A$4:$A$1503,"&lt;"&amp;DATE(기본설정!$C$4,$A16+1,1),매입장!$B$4:$B$1503,기본설정!$C$6))-IF(기본설정!$C$6="전체",SUMPRODUCT((재고실사!$W$4:$W$403="주류·음료")*재고실사!$E$4:$E$403*INDEX(재고실사!$F$4:$R$403,0,$A16+1)),SUMPRODUCT((재고실사!$W$4:$W$403="주류·음료")*(재고실사!$A$4:$A$403=기본설정!$C$6)*재고실사!$E$4:$E$403*INDEX(재고실사!$F$4:$R$403,0,$A16+1)))</f>
        <v>0</v>
      </c>
      <c r="K16" s="27" t="n">
        <f aca="false">IFERROR(J16/D16,0)</f>
        <v>0</v>
      </c>
      <c r="L16" s="28" t="n">
        <f aca="false">IF(기본설정!$C$6="전체",SUMPRODUCT((재고실사!$W$4:$W$403="소모품")*재고실사!$E$4:$E$403*INDEX(재고실사!$F$4:$R$403,0,$A16+0)),SUMPRODUCT((재고실사!$W$4:$W$403="소모품")*(재고실사!$A$4:$A$403=기본설정!$C$6)*재고실사!$E$4:$E$403*INDEX(재고실사!$F$4:$R$403,0,$A16+0)))+IF(기본설정!$C$6="전체",SUMIFS(매입장!$I$4:$I$1503,매입장!$P$4:$P$1503,"소모품",매입장!$A$4:$A$1503,"&gt;="&amp;DATE(기본설정!$C$4,$A16,1),매입장!$A$4:$A$1503,"&lt;"&amp;DATE(기본설정!$C$4,$A16+1,1)),SUMIFS(매입장!$I$4:$I$1503,매입장!$P$4:$P$1503,"소모품",매입장!$A$4:$A$1503,"&gt;="&amp;DATE(기본설정!$C$4,$A16,1),매입장!$A$4:$A$1503,"&lt;"&amp;DATE(기본설정!$C$4,$A16+1,1),매입장!$B$4:$B$1503,기본설정!$C$6))-IF(기본설정!$C$6="전체",SUMPRODUCT((재고실사!$W$4:$W$403="소모품")*재고실사!$E$4:$E$403*INDEX(재고실사!$F$4:$R$403,0,$A16+1)),SUMPRODUCT((재고실사!$W$4:$W$403="소모품")*(재고실사!$A$4:$A$403=기본설정!$C$6)*재고실사!$E$4:$E$403*INDEX(재고실사!$F$4:$R$403,0,$A16+1)))</f>
        <v>0</v>
      </c>
      <c r="M16" s="28" t="n">
        <f aca="false">G16+J16+L16</f>
        <v>0</v>
      </c>
      <c r="N16" s="27" t="n">
        <f aca="false">IFERROR(M16/E16,0)</f>
        <v>0</v>
      </c>
      <c r="O16" s="28" t="n">
        <f aca="false">E16-M16</f>
        <v>0</v>
      </c>
      <c r="P16" s="27" t="n">
        <f aca="false">IFERROR(O16/E16,0)</f>
        <v>0</v>
      </c>
      <c r="Q16" s="67" t="n">
        <f aca="false">IF(기본설정!$C$6="전체",SUMIFS(매출일보!$J$4:$J$403,매출일보!$A$4:$A$403,"&gt;="&amp;DATE(기본설정!$C$4,$A16,1),매출일보!$A$4:$A$403,"&lt;"&amp;DATE(기본설정!$C$4,$A16+1,1)),SUMIFS(매출일보!$J$4:$J$403,매출일보!$A$4:$A$403,"&gt;="&amp;DATE(기본설정!$C$4,$A16,1),매출일보!$A$4:$A$403,"&lt;"&amp;DATE(기본설정!$C$4,$A16+1,1),매출일보!$B$4:$B$403,기본설정!$C$6))</f>
        <v>0</v>
      </c>
      <c r="R16" s="28" t="n">
        <f aca="false">IFERROR(B16/Q16,0)</f>
        <v>0</v>
      </c>
      <c r="S16" s="13" t="str">
        <f aca="false">IF(SUMPRODUCT(--(INDEX(재고실사!$F$4:$R$403,0,$A16+1)&lt;&gt;""))&gt;0,"입력","미입력")</f>
        <v>미입력</v>
      </c>
    </row>
    <row r="17" customFormat="false" ht="15" hidden="false" customHeight="false" outlineLevel="0" collapsed="false">
      <c r="A17" s="68" t="s">
        <v>395</v>
      </c>
      <c r="B17" s="52" t="n">
        <f aca="false">SUM(B5:B16)</f>
        <v>2300000</v>
      </c>
      <c r="C17" s="52" t="n">
        <f aca="false">SUM(C5:C16)</f>
        <v>1618181.81818182</v>
      </c>
      <c r="D17" s="52" t="n">
        <f aca="false">SUM(D5:D16)</f>
        <v>472727.272727273</v>
      </c>
      <c r="E17" s="52" t="n">
        <f aca="false">SUM(E5:E16)</f>
        <v>2090909.09090909</v>
      </c>
      <c r="F17" s="52" t="n">
        <f aca="false">SUM(F5:F16)</f>
        <v>415000</v>
      </c>
      <c r="G17" s="52" t="n">
        <f aca="false">SUM(G5:G16)</f>
        <v>415000</v>
      </c>
      <c r="H17" s="53" t="n">
        <f aca="false">IFERROR(G17/C17,0)</f>
        <v>0.256460674157303</v>
      </c>
      <c r="I17" s="52" t="n">
        <f aca="false">SUM(I5:I16)</f>
        <v>288000</v>
      </c>
      <c r="J17" s="52" t="n">
        <f aca="false">SUM(J5:J16)</f>
        <v>288000</v>
      </c>
      <c r="K17" s="53" t="n">
        <f aca="false">IFERROR(J17/D17,0)</f>
        <v>0.609230769230769</v>
      </c>
      <c r="L17" s="52" t="n">
        <f aca="false">SUM(L5:L16)</f>
        <v>0</v>
      </c>
      <c r="M17" s="52" t="n">
        <f aca="false">SUM(M5:M16)</f>
        <v>703000</v>
      </c>
      <c r="N17" s="53" t="n">
        <f aca="false">IFERROR(M17/E17,0)</f>
        <v>0.336217391304348</v>
      </c>
      <c r="O17" s="52" t="n">
        <f aca="false">SUM(O5:O16)</f>
        <v>1387909.09090909</v>
      </c>
      <c r="P17" s="53" t="n">
        <f aca="false">IFERROR(O17/E17,0)</f>
        <v>0.663782608695652</v>
      </c>
      <c r="Q17" s="69" t="n">
        <f aca="false">SUM(Q5:Q16)</f>
        <v>62</v>
      </c>
      <c r="R17" s="52" t="n">
        <f aca="false">IFERROR(B17/Q17,0)</f>
        <v>37096.7741935484</v>
      </c>
      <c r="S17" s="52"/>
    </row>
    <row r="19" customFormat="false" ht="15" hidden="false" customHeight="false" outlineLevel="0" collapsed="false">
      <c r="A19" s="2" t="s">
        <v>396</v>
      </c>
    </row>
  </sheetData>
  <conditionalFormatting sqref="H5:H16">
    <cfRule type="expression" priority="2" aboveAverage="0" equalAverage="0" bottom="0" percent="0" rank="0" text="" dxfId="3">
      <formula>AND(H5&gt;0,H5&gt;기본설정!$C$8+기본설정!$C$10)</formula>
    </cfRule>
    <cfRule type="expression" priority="3" aboveAverage="0" equalAverage="0" bottom="0" percent="0" rank="0" text="" dxfId="6">
      <formula>AND(H5&gt;0,H5&gt;기본설정!$C$8)</formula>
    </cfRule>
    <cfRule type="expression" priority="4" aboveAverage="0" equalAverage="0" bottom="0" percent="0" rank="0" text="" dxfId="7">
      <formula>AND(H5&gt;0,H5&lt;=기본설정!$C$8)</formula>
    </cfRule>
  </conditionalFormatting>
  <conditionalFormatting sqref="K5:K16">
    <cfRule type="expression" priority="5" aboveAverage="0" equalAverage="0" bottom="0" percent="0" rank="0" text="" dxfId="3">
      <formula>AND(K5&gt;0,K5&gt;기본설정!$C$9+기본설정!$C$10)</formula>
    </cfRule>
    <cfRule type="expression" priority="6" aboveAverage="0" equalAverage="0" bottom="0" percent="0" rank="0" text="" dxfId="6">
      <formula>AND(K5&gt;0,K5&gt;기본설정!$C$9)</formula>
    </cfRule>
    <cfRule type="expression" priority="7" aboveAverage="0" equalAverage="0" bottom="0" percent="0" rank="0" text="" dxfId="7">
      <formula>AND(K5&gt;0,K5&lt;=기본설정!$C$9)</formula>
    </cfRule>
  </conditionalFormatting>
  <conditionalFormatting sqref="S5:S16">
    <cfRule type="cellIs" priority="8" operator="equal" aboveAverage="0" equalAverage="0" bottom="0" percent="0" rank="0" text="" dxfId="8">
      <formula>"미입력"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"/>
    <col collapsed="false" customWidth="true" hidden="false" outlineLevel="0" max="15" min="14" style="0" width="11"/>
    <col collapsed="false" customWidth="true" hidden="false" outlineLevel="0" max="16" min="16" style="0" width="9"/>
  </cols>
  <sheetData>
    <row r="1" customFormat="false" ht="27.75" hidden="false" customHeight="true" outlineLevel="0" collapsed="false">
      <c r="A1" s="1" t="s">
        <v>397</v>
      </c>
    </row>
    <row r="2" customFormat="false" ht="15" hidden="false" customHeight="false" outlineLevel="0" collapsed="false">
      <c r="A2" s="2" t="s">
        <v>398</v>
      </c>
    </row>
    <row r="3" customFormat="false" ht="39.75" hidden="false" customHeight="true" outlineLevel="0" collapsed="false">
      <c r="A3" s="11" t="s">
        <v>399</v>
      </c>
      <c r="B3" s="11" t="s">
        <v>72</v>
      </c>
      <c r="C3" s="11" t="s">
        <v>400</v>
      </c>
      <c r="D3" s="11" t="s">
        <v>401</v>
      </c>
      <c r="E3" s="11" t="s">
        <v>402</v>
      </c>
      <c r="F3" s="11" t="s">
        <v>403</v>
      </c>
      <c r="G3" s="11" t="s">
        <v>404</v>
      </c>
      <c r="H3" s="11" t="s">
        <v>405</v>
      </c>
      <c r="I3" s="11" t="s">
        <v>406</v>
      </c>
      <c r="J3" s="11" t="s">
        <v>407</v>
      </c>
      <c r="K3" s="11" t="s">
        <v>408</v>
      </c>
      <c r="L3" s="11" t="s">
        <v>409</v>
      </c>
      <c r="M3" s="11" t="s">
        <v>410</v>
      </c>
      <c r="N3" s="11" t="s">
        <v>411</v>
      </c>
      <c r="O3" s="11" t="s">
        <v>412</v>
      </c>
      <c r="P3" s="11" t="s">
        <v>413</v>
      </c>
    </row>
    <row r="4" customFormat="false" ht="15" hidden="false" customHeight="false" outlineLevel="0" collapsed="false">
      <c r="A4" s="70" t="s">
        <v>414</v>
      </c>
      <c r="B4" s="10" t="s">
        <v>49</v>
      </c>
      <c r="C4" s="14" t="s">
        <v>415</v>
      </c>
      <c r="D4" s="14" t="s">
        <v>416</v>
      </c>
      <c r="E4" s="14" t="s">
        <v>417</v>
      </c>
      <c r="F4" s="70" t="s">
        <v>418</v>
      </c>
      <c r="G4" s="40" t="n">
        <v>14000</v>
      </c>
      <c r="H4" s="43" t="n">
        <v>1000</v>
      </c>
      <c r="I4" s="70" t="s">
        <v>419</v>
      </c>
      <c r="J4" s="71" t="n">
        <f aca="false">IF(OR(G4="",H4="",H4=0),"",G4/H4)</f>
        <v>14</v>
      </c>
      <c r="K4" s="72" t="n">
        <v>0.95</v>
      </c>
      <c r="L4" s="71" t="n">
        <f aca="false">IF(J4="","",J4/IF(OR(K4="",K4=0),1,K4))</f>
        <v>14.7368421052632</v>
      </c>
      <c r="M4" s="10" t="s">
        <v>93</v>
      </c>
      <c r="N4" s="73"/>
      <c r="O4" s="40"/>
      <c r="P4" s="27" t="str">
        <f aca="false">IF(OR(O4="",O4=0,G4=""),"",G4/O4-1)</f>
        <v/>
      </c>
    </row>
    <row r="5" customFormat="false" ht="15" hidden="false" customHeight="false" outlineLevel="0" collapsed="false">
      <c r="A5" s="70" t="s">
        <v>420</v>
      </c>
      <c r="B5" s="10" t="s">
        <v>49</v>
      </c>
      <c r="C5" s="14" t="s">
        <v>421</v>
      </c>
      <c r="D5" s="14" t="s">
        <v>416</v>
      </c>
      <c r="E5" s="14" t="s">
        <v>417</v>
      </c>
      <c r="F5" s="70" t="s">
        <v>418</v>
      </c>
      <c r="G5" s="40" t="n">
        <v>32000</v>
      </c>
      <c r="H5" s="43" t="n">
        <v>1000</v>
      </c>
      <c r="I5" s="70" t="s">
        <v>419</v>
      </c>
      <c r="J5" s="71" t="n">
        <f aca="false">IF(OR(G5="",H5="",H5=0),"",G5/H5)</f>
        <v>32</v>
      </c>
      <c r="K5" s="72" t="n">
        <v>0.92</v>
      </c>
      <c r="L5" s="71" t="n">
        <f aca="false">IF(J5="","",J5/IF(OR(K5="",K5=0),1,K5))</f>
        <v>34.7826086956522</v>
      </c>
      <c r="M5" s="10" t="s">
        <v>93</v>
      </c>
      <c r="N5" s="73"/>
      <c r="O5" s="40"/>
      <c r="P5" s="27" t="str">
        <f aca="false">IF(OR(O5="",O5=0,G5=""),"",G5/O5-1)</f>
        <v/>
      </c>
    </row>
    <row r="6" customFormat="false" ht="15" hidden="false" customHeight="false" outlineLevel="0" collapsed="false">
      <c r="A6" s="70" t="s">
        <v>422</v>
      </c>
      <c r="B6" s="10" t="s">
        <v>49</v>
      </c>
      <c r="C6" s="14" t="s">
        <v>423</v>
      </c>
      <c r="D6" s="74" t="s">
        <v>424</v>
      </c>
      <c r="E6" s="14" t="s">
        <v>425</v>
      </c>
      <c r="F6" s="10" t="s">
        <v>426</v>
      </c>
      <c r="G6" s="40" t="n">
        <v>45000</v>
      </c>
      <c r="H6" s="43" t="n">
        <v>100</v>
      </c>
      <c r="I6" s="10" t="s">
        <v>427</v>
      </c>
      <c r="J6" s="71" t="n">
        <f aca="false">IF(OR(G6="",H6="",H6=0),"",G6/H6)</f>
        <v>450</v>
      </c>
      <c r="K6" s="72" t="n">
        <v>1</v>
      </c>
      <c r="L6" s="71" t="n">
        <f aca="false">IF(J6="","",J6/IF(OR(K6="",K6=0),1,K6))</f>
        <v>450</v>
      </c>
      <c r="M6" s="10" t="s">
        <v>93</v>
      </c>
      <c r="N6" s="73"/>
      <c r="O6" s="40"/>
      <c r="P6" s="27" t="str">
        <f aca="false">IF(OR(O6="",O6=0,G6=""),"",G6/O6-1)</f>
        <v/>
      </c>
    </row>
    <row r="7" customFormat="false" ht="15" hidden="false" customHeight="false" outlineLevel="0" collapsed="false">
      <c r="A7" s="70" t="s">
        <v>428</v>
      </c>
      <c r="B7" s="10" t="s">
        <v>49</v>
      </c>
      <c r="C7" s="14" t="s">
        <v>429</v>
      </c>
      <c r="D7" s="74" t="s">
        <v>424</v>
      </c>
      <c r="E7" s="14" t="s">
        <v>425</v>
      </c>
      <c r="F7" s="10" t="s">
        <v>426</v>
      </c>
      <c r="G7" s="40" t="n">
        <v>52000</v>
      </c>
      <c r="H7" s="43" t="n">
        <v>100</v>
      </c>
      <c r="I7" s="10" t="s">
        <v>427</v>
      </c>
      <c r="J7" s="71" t="n">
        <f aca="false">IF(OR(G7="",H7="",H7=0),"",G7/H7)</f>
        <v>520</v>
      </c>
      <c r="K7" s="72" t="n">
        <v>1</v>
      </c>
      <c r="L7" s="71" t="n">
        <f aca="false">IF(J7="","",J7/IF(OR(K7="",K7=0),1,K7))</f>
        <v>520</v>
      </c>
      <c r="M7" s="10" t="s">
        <v>85</v>
      </c>
      <c r="N7" s="73"/>
      <c r="O7" s="40"/>
      <c r="P7" s="27" t="str">
        <f aca="false">IF(OR(O7="",O7=0,G7=""),"",G7/O7-1)</f>
        <v/>
      </c>
    </row>
    <row r="8" customFormat="false" ht="15" hidden="false" customHeight="false" outlineLevel="0" collapsed="false">
      <c r="A8" s="70" t="s">
        <v>430</v>
      </c>
      <c r="B8" s="10" t="s">
        <v>49</v>
      </c>
      <c r="C8" s="14" t="s">
        <v>431</v>
      </c>
      <c r="D8" s="74" t="s">
        <v>424</v>
      </c>
      <c r="E8" s="14" t="s">
        <v>425</v>
      </c>
      <c r="F8" s="10" t="s">
        <v>426</v>
      </c>
      <c r="G8" s="40" t="n">
        <v>62000</v>
      </c>
      <c r="H8" s="43" t="n">
        <v>100</v>
      </c>
      <c r="I8" s="10" t="s">
        <v>427</v>
      </c>
      <c r="J8" s="71" t="n">
        <f aca="false">IF(OR(G8="",H8="",H8=0),"",G8/H8)</f>
        <v>620</v>
      </c>
      <c r="K8" s="72" t="n">
        <v>1</v>
      </c>
      <c r="L8" s="71" t="n">
        <f aca="false">IF(J8="","",J8/IF(OR(K8="",K8=0),1,K8))</f>
        <v>620</v>
      </c>
      <c r="M8" s="10" t="s">
        <v>93</v>
      </c>
      <c r="N8" s="73"/>
      <c r="O8" s="40"/>
      <c r="P8" s="27" t="str">
        <f aca="false">IF(OR(O8="",O8=0,G8=""),"",G8/O8-1)</f>
        <v/>
      </c>
    </row>
    <row r="9" customFormat="false" ht="15" hidden="false" customHeight="false" outlineLevel="0" collapsed="false">
      <c r="A9" s="70" t="s">
        <v>432</v>
      </c>
      <c r="B9" s="10" t="s">
        <v>49</v>
      </c>
      <c r="C9" s="14" t="s">
        <v>433</v>
      </c>
      <c r="D9" s="14" t="s">
        <v>416</v>
      </c>
      <c r="E9" s="14" t="s">
        <v>417</v>
      </c>
      <c r="F9" s="70" t="s">
        <v>418</v>
      </c>
      <c r="G9" s="40" t="n">
        <v>18000</v>
      </c>
      <c r="H9" s="43" t="n">
        <v>1000</v>
      </c>
      <c r="I9" s="70" t="s">
        <v>419</v>
      </c>
      <c r="J9" s="71" t="n">
        <f aca="false">IF(OR(G9="",H9="",H9=0),"",G9/H9)</f>
        <v>18</v>
      </c>
      <c r="K9" s="72" t="n">
        <v>0.9</v>
      </c>
      <c r="L9" s="71" t="n">
        <f aca="false">IF(J9="","",J9/IF(OR(K9="",K9=0),1,K9))</f>
        <v>20</v>
      </c>
      <c r="M9" s="10" t="s">
        <v>93</v>
      </c>
      <c r="N9" s="73"/>
      <c r="O9" s="40"/>
      <c r="P9" s="27" t="str">
        <f aca="false">IF(OR(O9="",O9=0,G9=""),"",G9/O9-1)</f>
        <v/>
      </c>
    </row>
    <row r="10" customFormat="false" ht="15" hidden="false" customHeight="false" outlineLevel="0" collapsed="false">
      <c r="A10" s="70" t="s">
        <v>434</v>
      </c>
      <c r="B10" s="10" t="s">
        <v>90</v>
      </c>
      <c r="C10" s="14" t="s">
        <v>435</v>
      </c>
      <c r="D10" s="14" t="s">
        <v>436</v>
      </c>
      <c r="E10" s="14" t="s">
        <v>437</v>
      </c>
      <c r="F10" s="70" t="s">
        <v>418</v>
      </c>
      <c r="G10" s="40" t="n">
        <v>11000</v>
      </c>
      <c r="H10" s="43" t="n">
        <v>1000</v>
      </c>
      <c r="I10" s="70" t="s">
        <v>419</v>
      </c>
      <c r="J10" s="71" t="n">
        <f aca="false">IF(OR(G10="",H10="",H10=0),"",G10/H10)</f>
        <v>11</v>
      </c>
      <c r="K10" s="72" t="n">
        <v>0.9</v>
      </c>
      <c r="L10" s="71" t="n">
        <f aca="false">IF(J10="","",J10/IF(OR(K10="",K10=0),1,K10))</f>
        <v>12.2222222222222</v>
      </c>
      <c r="M10" s="10" t="s">
        <v>93</v>
      </c>
      <c r="N10" s="73"/>
      <c r="O10" s="40"/>
      <c r="P10" s="27" t="str">
        <f aca="false">IF(OR(O10="",O10=0,G10=""),"",G10/O10-1)</f>
        <v/>
      </c>
    </row>
    <row r="11" customFormat="false" ht="15" hidden="false" customHeight="false" outlineLevel="0" collapsed="false">
      <c r="A11" s="70" t="s">
        <v>438</v>
      </c>
      <c r="B11" s="10" t="s">
        <v>90</v>
      </c>
      <c r="C11" s="14" t="s">
        <v>439</v>
      </c>
      <c r="D11" s="14" t="s">
        <v>436</v>
      </c>
      <c r="E11" s="14" t="s">
        <v>437</v>
      </c>
      <c r="F11" s="70" t="s">
        <v>418</v>
      </c>
      <c r="G11" s="40" t="n">
        <v>9000</v>
      </c>
      <c r="H11" s="43" t="n">
        <v>1000</v>
      </c>
      <c r="I11" s="70" t="s">
        <v>419</v>
      </c>
      <c r="J11" s="71" t="n">
        <f aca="false">IF(OR(G11="",H11="",H11=0),"",G11/H11)</f>
        <v>9</v>
      </c>
      <c r="K11" s="72" t="n">
        <v>0.95</v>
      </c>
      <c r="L11" s="71" t="n">
        <f aca="false">IF(J11="","",J11/IF(OR(K11="",K11=0),1,K11))</f>
        <v>9.47368421052632</v>
      </c>
      <c r="M11" s="10" t="s">
        <v>93</v>
      </c>
      <c r="N11" s="73"/>
      <c r="O11" s="40"/>
      <c r="P11" s="27" t="str">
        <f aca="false">IF(OR(O11="",O11=0,G11=""),"",G11/O11-1)</f>
        <v/>
      </c>
    </row>
    <row r="12" customFormat="false" ht="15" hidden="false" customHeight="false" outlineLevel="0" collapsed="false">
      <c r="A12" s="70" t="s">
        <v>440</v>
      </c>
      <c r="B12" s="10" t="s">
        <v>99</v>
      </c>
      <c r="C12" s="14" t="s">
        <v>441</v>
      </c>
      <c r="D12" s="74" t="s">
        <v>442</v>
      </c>
      <c r="E12" s="14" t="s">
        <v>425</v>
      </c>
      <c r="F12" s="10" t="s">
        <v>426</v>
      </c>
      <c r="G12" s="40" t="n">
        <v>35000</v>
      </c>
      <c r="H12" s="43" t="n">
        <v>50</v>
      </c>
      <c r="I12" s="10" t="s">
        <v>427</v>
      </c>
      <c r="J12" s="71" t="n">
        <f aca="false">IF(OR(G12="",H12="",H12=0),"",G12/H12)</f>
        <v>700</v>
      </c>
      <c r="K12" s="72" t="n">
        <v>1</v>
      </c>
      <c r="L12" s="71" t="n">
        <f aca="false">IF(J12="","",J12/IF(OR(K12="",K12=0),1,K12))</f>
        <v>700</v>
      </c>
      <c r="M12" s="10" t="s">
        <v>93</v>
      </c>
      <c r="N12" s="73"/>
      <c r="O12" s="40"/>
      <c r="P12" s="27" t="str">
        <f aca="false">IF(OR(O12="",O12=0,G12=""),"",G12/O12-1)</f>
        <v/>
      </c>
    </row>
    <row r="13" customFormat="false" ht="15" hidden="false" customHeight="false" outlineLevel="0" collapsed="false">
      <c r="A13" s="70" t="s">
        <v>443</v>
      </c>
      <c r="B13" s="10" t="s">
        <v>99</v>
      </c>
      <c r="C13" s="14" t="s">
        <v>444</v>
      </c>
      <c r="D13" s="14" t="s">
        <v>445</v>
      </c>
      <c r="E13" s="14" t="s">
        <v>446</v>
      </c>
      <c r="F13" s="70" t="s">
        <v>418</v>
      </c>
      <c r="G13" s="40" t="n">
        <v>24000</v>
      </c>
      <c r="H13" s="43" t="n">
        <v>1000</v>
      </c>
      <c r="I13" s="70" t="s">
        <v>419</v>
      </c>
      <c r="J13" s="71" t="n">
        <f aca="false">IF(OR(G13="",H13="",H13=0),"",G13/H13)</f>
        <v>24</v>
      </c>
      <c r="K13" s="72" t="n">
        <v>0.85</v>
      </c>
      <c r="L13" s="71" t="n">
        <f aca="false">IF(J13="","",J13/IF(OR(K13="",K13=0),1,K13))</f>
        <v>28.2352941176471</v>
      </c>
      <c r="M13" s="10" t="s">
        <v>93</v>
      </c>
      <c r="N13" s="73"/>
      <c r="O13" s="40"/>
      <c r="P13" s="27" t="str">
        <f aca="false">IF(OR(O13="",O13=0,G13=""),"",G13/O13-1)</f>
        <v/>
      </c>
    </row>
    <row r="14" customFormat="false" ht="15" hidden="false" customHeight="false" outlineLevel="0" collapsed="false">
      <c r="A14" s="70" t="s">
        <v>447</v>
      </c>
      <c r="B14" s="10" t="s">
        <v>99</v>
      </c>
      <c r="C14" s="14" t="s">
        <v>448</v>
      </c>
      <c r="D14" s="14" t="s">
        <v>449</v>
      </c>
      <c r="E14" s="14" t="s">
        <v>446</v>
      </c>
      <c r="F14" s="70" t="s">
        <v>418</v>
      </c>
      <c r="G14" s="40" t="n">
        <v>18000</v>
      </c>
      <c r="H14" s="43" t="n">
        <v>1000</v>
      </c>
      <c r="I14" s="70" t="s">
        <v>419</v>
      </c>
      <c r="J14" s="71" t="n">
        <f aca="false">IF(OR(G14="",H14="",H14=0),"",G14/H14)</f>
        <v>18</v>
      </c>
      <c r="K14" s="72" t="n">
        <v>0.95</v>
      </c>
      <c r="L14" s="71" t="n">
        <f aca="false">IF(J14="","",J14/IF(OR(K14="",K14=0),1,K14))</f>
        <v>18.9473684210526</v>
      </c>
      <c r="M14" s="10" t="s">
        <v>93</v>
      </c>
      <c r="N14" s="73"/>
      <c r="O14" s="40"/>
      <c r="P14" s="27" t="str">
        <f aca="false">IF(OR(O14="",O14=0,G14=""),"",G14/O14-1)</f>
        <v/>
      </c>
    </row>
    <row r="15" customFormat="false" ht="15" hidden="false" customHeight="false" outlineLevel="0" collapsed="false">
      <c r="A15" s="70" t="s">
        <v>450</v>
      </c>
      <c r="B15" s="10" t="s">
        <v>106</v>
      </c>
      <c r="C15" s="14" t="s">
        <v>451</v>
      </c>
      <c r="D15" s="14" t="s">
        <v>436</v>
      </c>
      <c r="E15" s="14" t="s">
        <v>452</v>
      </c>
      <c r="F15" s="70" t="s">
        <v>418</v>
      </c>
      <c r="G15" s="40" t="n">
        <v>4500</v>
      </c>
      <c r="H15" s="43" t="n">
        <v>1000</v>
      </c>
      <c r="I15" s="70" t="s">
        <v>419</v>
      </c>
      <c r="J15" s="71" t="n">
        <f aca="false">IF(OR(G15="",H15="",H15=0),"",G15/H15)</f>
        <v>4.5</v>
      </c>
      <c r="K15" s="72" t="n">
        <v>0.9</v>
      </c>
      <c r="L15" s="71" t="n">
        <f aca="false">IF(J15="","",J15/IF(OR(K15="",K15=0),1,K15))</f>
        <v>5</v>
      </c>
      <c r="M15" s="10" t="s">
        <v>93</v>
      </c>
      <c r="N15" s="73"/>
      <c r="O15" s="40"/>
      <c r="P15" s="27" t="str">
        <f aca="false">IF(OR(O15="",O15=0,G15=""),"",G15/O15-1)</f>
        <v/>
      </c>
    </row>
    <row r="16" customFormat="false" ht="15" hidden="false" customHeight="false" outlineLevel="0" collapsed="false">
      <c r="A16" s="70" t="s">
        <v>453</v>
      </c>
      <c r="B16" s="10" t="s">
        <v>106</v>
      </c>
      <c r="C16" s="14" t="s">
        <v>454</v>
      </c>
      <c r="D16" s="14" t="s">
        <v>436</v>
      </c>
      <c r="E16" s="14" t="s">
        <v>452</v>
      </c>
      <c r="F16" s="70" t="s">
        <v>418</v>
      </c>
      <c r="G16" s="40" t="n">
        <v>5000</v>
      </c>
      <c r="H16" s="43" t="n">
        <v>1000</v>
      </c>
      <c r="I16" s="70" t="s">
        <v>419</v>
      </c>
      <c r="J16" s="71" t="n">
        <f aca="false">IF(OR(G16="",H16="",H16=0),"",G16/H16)</f>
        <v>5</v>
      </c>
      <c r="K16" s="72" t="n">
        <v>0.95</v>
      </c>
      <c r="L16" s="71" t="n">
        <f aca="false">IF(J16="","",J16/IF(OR(K16="",K16=0),1,K16))</f>
        <v>5.26315789473684</v>
      </c>
      <c r="M16" s="10" t="s">
        <v>93</v>
      </c>
      <c r="N16" s="73"/>
      <c r="O16" s="40"/>
      <c r="P16" s="27" t="str">
        <f aca="false">IF(OR(O16="",O16=0,G16=""),"",G16/O16-1)</f>
        <v/>
      </c>
    </row>
    <row r="17" customFormat="false" ht="15" hidden="false" customHeight="false" outlineLevel="0" collapsed="false">
      <c r="A17" s="70" t="s">
        <v>455</v>
      </c>
      <c r="B17" s="10" t="s">
        <v>106</v>
      </c>
      <c r="C17" s="14" t="s">
        <v>456</v>
      </c>
      <c r="D17" s="14" t="s">
        <v>436</v>
      </c>
      <c r="E17" s="14" t="s">
        <v>452</v>
      </c>
      <c r="F17" s="70" t="s">
        <v>418</v>
      </c>
      <c r="G17" s="40" t="n">
        <v>2500</v>
      </c>
      <c r="H17" s="43" t="n">
        <v>1000</v>
      </c>
      <c r="I17" s="70" t="s">
        <v>419</v>
      </c>
      <c r="J17" s="71" t="n">
        <f aca="false">IF(OR(G17="",H17="",H17=0),"",G17/H17)</f>
        <v>2.5</v>
      </c>
      <c r="K17" s="72" t="n">
        <v>0.85</v>
      </c>
      <c r="L17" s="71" t="n">
        <f aca="false">IF(J17="","",J17/IF(OR(K17="",K17=0),1,K17))</f>
        <v>2.94117647058824</v>
      </c>
      <c r="M17" s="10" t="s">
        <v>93</v>
      </c>
      <c r="N17" s="73"/>
      <c r="O17" s="40"/>
      <c r="P17" s="27" t="str">
        <f aca="false">IF(OR(O17="",O17=0,G17=""),"",G17/O17-1)</f>
        <v/>
      </c>
    </row>
    <row r="18" customFormat="false" ht="15" hidden="false" customHeight="false" outlineLevel="0" collapsed="false">
      <c r="A18" s="70" t="s">
        <v>457</v>
      </c>
      <c r="B18" s="10" t="s">
        <v>106</v>
      </c>
      <c r="C18" s="14" t="s">
        <v>458</v>
      </c>
      <c r="D18" s="14" t="s">
        <v>436</v>
      </c>
      <c r="E18" s="14" t="s">
        <v>452</v>
      </c>
      <c r="F18" s="70" t="s">
        <v>418</v>
      </c>
      <c r="G18" s="40" t="n">
        <v>6000</v>
      </c>
      <c r="H18" s="43" t="n">
        <v>1000</v>
      </c>
      <c r="I18" s="70" t="s">
        <v>419</v>
      </c>
      <c r="J18" s="71" t="n">
        <f aca="false">IF(OR(G18="",H18="",H18=0),"",G18/H18)</f>
        <v>6</v>
      </c>
      <c r="K18" s="72" t="n">
        <v>0.85</v>
      </c>
      <c r="L18" s="71" t="n">
        <f aca="false">IF(J18="","",J18/IF(OR(K18="",K18=0),1,K18))</f>
        <v>7.05882352941176</v>
      </c>
      <c r="M18" s="10" t="s">
        <v>93</v>
      </c>
      <c r="N18" s="73"/>
      <c r="O18" s="40"/>
      <c r="P18" s="27" t="str">
        <f aca="false">IF(OR(O18="",O18=0,G18=""),"",G18/O18-1)</f>
        <v/>
      </c>
    </row>
    <row r="19" customFormat="false" ht="15" hidden="false" customHeight="false" outlineLevel="0" collapsed="false">
      <c r="A19" s="70" t="s">
        <v>459</v>
      </c>
      <c r="B19" s="10" t="s">
        <v>106</v>
      </c>
      <c r="C19" s="14" t="s">
        <v>460</v>
      </c>
      <c r="D19" s="14" t="s">
        <v>436</v>
      </c>
      <c r="E19" s="14" t="s">
        <v>452</v>
      </c>
      <c r="F19" s="70" t="s">
        <v>418</v>
      </c>
      <c r="G19" s="40" t="n">
        <v>3500</v>
      </c>
      <c r="H19" s="43" t="n">
        <v>1000</v>
      </c>
      <c r="I19" s="70" t="s">
        <v>419</v>
      </c>
      <c r="J19" s="71" t="n">
        <f aca="false">IF(OR(G19="",H19="",H19=0),"",G19/H19)</f>
        <v>3.5</v>
      </c>
      <c r="K19" s="72" t="n">
        <v>0.95</v>
      </c>
      <c r="L19" s="71" t="n">
        <f aca="false">IF(J19="","",J19/IF(OR(K19="",K19=0),1,K19))</f>
        <v>3.68421052631579</v>
      </c>
      <c r="M19" s="10" t="s">
        <v>93</v>
      </c>
      <c r="N19" s="73"/>
      <c r="O19" s="40"/>
      <c r="P19" s="27" t="str">
        <f aca="false">IF(OR(O19="",O19=0,G19=""),"",G19/O19-1)</f>
        <v/>
      </c>
    </row>
    <row r="20" customFormat="false" ht="15" hidden="false" customHeight="false" outlineLevel="0" collapsed="false">
      <c r="A20" s="70" t="s">
        <v>461</v>
      </c>
      <c r="B20" s="10" t="s">
        <v>106</v>
      </c>
      <c r="C20" s="14" t="s">
        <v>462</v>
      </c>
      <c r="D20" s="14" t="s">
        <v>436</v>
      </c>
      <c r="E20" s="14" t="s">
        <v>452</v>
      </c>
      <c r="F20" s="70" t="s">
        <v>418</v>
      </c>
      <c r="G20" s="40" t="n">
        <v>1800</v>
      </c>
      <c r="H20" s="43" t="n">
        <v>1000</v>
      </c>
      <c r="I20" s="70" t="s">
        <v>419</v>
      </c>
      <c r="J20" s="71" t="n">
        <f aca="false">IF(OR(G20="",H20="",H20=0),"",G20/H20)</f>
        <v>1.8</v>
      </c>
      <c r="K20" s="72" t="n">
        <v>0.9</v>
      </c>
      <c r="L20" s="71" t="n">
        <f aca="false">IF(J20="","",J20/IF(OR(K20="",K20=0),1,K20))</f>
        <v>2</v>
      </c>
      <c r="M20" s="10" t="s">
        <v>93</v>
      </c>
      <c r="N20" s="73"/>
      <c r="O20" s="40"/>
      <c r="P20" s="27" t="str">
        <f aca="false">IF(OR(O20="",O20=0,G20=""),"",G20/O20-1)</f>
        <v/>
      </c>
    </row>
    <row r="21" customFormat="false" ht="15" hidden="false" customHeight="false" outlineLevel="0" collapsed="false">
      <c r="A21" s="70" t="s">
        <v>463</v>
      </c>
      <c r="B21" s="10" t="s">
        <v>106</v>
      </c>
      <c r="C21" s="14" t="s">
        <v>464</v>
      </c>
      <c r="D21" s="14" t="s">
        <v>436</v>
      </c>
      <c r="E21" s="14" t="s">
        <v>452</v>
      </c>
      <c r="F21" s="70" t="s">
        <v>418</v>
      </c>
      <c r="G21" s="40" t="n">
        <v>3500</v>
      </c>
      <c r="H21" s="43" t="n">
        <v>1000</v>
      </c>
      <c r="I21" s="70" t="s">
        <v>419</v>
      </c>
      <c r="J21" s="71" t="n">
        <f aca="false">IF(OR(G21="",H21="",H21=0),"",G21/H21)</f>
        <v>3.5</v>
      </c>
      <c r="K21" s="72" t="n">
        <v>0.85</v>
      </c>
      <c r="L21" s="71" t="n">
        <f aca="false">IF(J21="","",J21/IF(OR(K21="",K21=0),1,K21))</f>
        <v>4.11764705882353</v>
      </c>
      <c r="M21" s="10" t="s">
        <v>93</v>
      </c>
      <c r="N21" s="73"/>
      <c r="O21" s="40"/>
      <c r="P21" s="27" t="str">
        <f aca="false">IF(OR(O21="",O21=0,G21=""),"",G21/O21-1)</f>
        <v/>
      </c>
    </row>
    <row r="22" customFormat="false" ht="15" hidden="false" customHeight="false" outlineLevel="0" collapsed="false">
      <c r="A22" s="70" t="s">
        <v>465</v>
      </c>
      <c r="B22" s="10" t="s">
        <v>106</v>
      </c>
      <c r="C22" s="14" t="s">
        <v>466</v>
      </c>
      <c r="D22" s="14" t="s">
        <v>436</v>
      </c>
      <c r="E22" s="14" t="s">
        <v>452</v>
      </c>
      <c r="F22" s="70" t="s">
        <v>418</v>
      </c>
      <c r="G22" s="40" t="n">
        <v>9000</v>
      </c>
      <c r="H22" s="43" t="n">
        <v>1000</v>
      </c>
      <c r="I22" s="70" t="s">
        <v>419</v>
      </c>
      <c r="J22" s="71" t="n">
        <f aca="false">IF(OR(G22="",H22="",H22=0),"",G22/H22)</f>
        <v>9</v>
      </c>
      <c r="K22" s="72" t="n">
        <v>1</v>
      </c>
      <c r="L22" s="71" t="n">
        <f aca="false">IF(J22="","",J22/IF(OR(K22="",K22=0),1,K22))</f>
        <v>9</v>
      </c>
      <c r="M22" s="10" t="s">
        <v>93</v>
      </c>
      <c r="N22" s="73"/>
      <c r="O22" s="40"/>
      <c r="P22" s="27" t="str">
        <f aca="false">IF(OR(O22="",O22=0,G22=""),"",G22/O22-1)</f>
        <v/>
      </c>
    </row>
    <row r="23" customFormat="false" ht="15" hidden="false" customHeight="false" outlineLevel="0" collapsed="false">
      <c r="A23" s="70" t="s">
        <v>467</v>
      </c>
      <c r="B23" s="10" t="s">
        <v>106</v>
      </c>
      <c r="C23" s="14" t="s">
        <v>468</v>
      </c>
      <c r="D23" s="14" t="s">
        <v>436</v>
      </c>
      <c r="E23" s="14" t="s">
        <v>452</v>
      </c>
      <c r="F23" s="70" t="s">
        <v>418</v>
      </c>
      <c r="G23" s="40" t="n">
        <v>8000</v>
      </c>
      <c r="H23" s="43" t="n">
        <v>1000</v>
      </c>
      <c r="I23" s="70" t="s">
        <v>419</v>
      </c>
      <c r="J23" s="71" t="n">
        <f aca="false">IF(OR(G23="",H23="",H23=0),"",G23/H23)</f>
        <v>8</v>
      </c>
      <c r="K23" s="72" t="n">
        <v>0.85</v>
      </c>
      <c r="L23" s="71" t="n">
        <f aca="false">IF(J23="","",J23/IF(OR(K23="",K23=0),1,K23))</f>
        <v>9.41176470588235</v>
      </c>
      <c r="M23" s="10" t="s">
        <v>93</v>
      </c>
      <c r="N23" s="73"/>
      <c r="O23" s="40"/>
      <c r="P23" s="27" t="str">
        <f aca="false">IF(OR(O23="",O23=0,G23=""),"",G23/O23-1)</f>
        <v/>
      </c>
    </row>
    <row r="24" customFormat="false" ht="15" hidden="false" customHeight="false" outlineLevel="0" collapsed="false">
      <c r="A24" s="70" t="s">
        <v>469</v>
      </c>
      <c r="B24" s="10" t="s">
        <v>106</v>
      </c>
      <c r="C24" s="14" t="s">
        <v>470</v>
      </c>
      <c r="D24" s="14" t="s">
        <v>436</v>
      </c>
      <c r="E24" s="14" t="s">
        <v>452</v>
      </c>
      <c r="F24" s="70" t="s">
        <v>418</v>
      </c>
      <c r="G24" s="40" t="n">
        <v>12000</v>
      </c>
      <c r="H24" s="43" t="n">
        <v>1000</v>
      </c>
      <c r="I24" s="70" t="s">
        <v>419</v>
      </c>
      <c r="J24" s="71" t="n">
        <f aca="false">IF(OR(G24="",H24="",H24=0),"",G24/H24)</f>
        <v>12</v>
      </c>
      <c r="K24" s="72" t="n">
        <v>0.8</v>
      </c>
      <c r="L24" s="71" t="n">
        <f aca="false">IF(J24="","",J24/IF(OR(K24="",K24=0),1,K24))</f>
        <v>15</v>
      </c>
      <c r="M24" s="10" t="s">
        <v>93</v>
      </c>
      <c r="N24" s="73"/>
      <c r="O24" s="40"/>
      <c r="P24" s="27" t="str">
        <f aca="false">IF(OR(O24="",O24=0,G24=""),"",G24/O24-1)</f>
        <v/>
      </c>
    </row>
    <row r="25" customFormat="false" ht="15" hidden="false" customHeight="false" outlineLevel="0" collapsed="false">
      <c r="A25" s="70" t="s">
        <v>471</v>
      </c>
      <c r="B25" s="10" t="s">
        <v>106</v>
      </c>
      <c r="C25" s="14" t="s">
        <v>472</v>
      </c>
      <c r="D25" s="14" t="s">
        <v>436</v>
      </c>
      <c r="E25" s="14" t="s">
        <v>452</v>
      </c>
      <c r="F25" s="70" t="s">
        <v>418</v>
      </c>
      <c r="G25" s="40" t="n">
        <v>5000</v>
      </c>
      <c r="H25" s="43" t="n">
        <v>1000</v>
      </c>
      <c r="I25" s="70" t="s">
        <v>419</v>
      </c>
      <c r="J25" s="71" t="n">
        <f aca="false">IF(OR(G25="",H25="",H25=0),"",G25/H25)</f>
        <v>5</v>
      </c>
      <c r="K25" s="72" t="n">
        <v>0.85</v>
      </c>
      <c r="L25" s="71" t="n">
        <f aca="false">IF(J25="","",J25/IF(OR(K25="",K25=0),1,K25))</f>
        <v>5.88235294117647</v>
      </c>
      <c r="M25" s="10" t="s">
        <v>93</v>
      </c>
      <c r="N25" s="73"/>
      <c r="O25" s="40"/>
      <c r="P25" s="27" t="str">
        <f aca="false">IF(OR(O25="",O25=0,G25=""),"",G25/O25-1)</f>
        <v/>
      </c>
    </row>
    <row r="26" customFormat="false" ht="15" hidden="false" customHeight="false" outlineLevel="0" collapsed="false">
      <c r="A26" s="70" t="s">
        <v>473</v>
      </c>
      <c r="B26" s="10" t="s">
        <v>106</v>
      </c>
      <c r="C26" s="14" t="s">
        <v>474</v>
      </c>
      <c r="D26" s="14" t="s">
        <v>436</v>
      </c>
      <c r="E26" s="14" t="s">
        <v>452</v>
      </c>
      <c r="F26" s="70" t="s">
        <v>418</v>
      </c>
      <c r="G26" s="40" t="n">
        <v>2500</v>
      </c>
      <c r="H26" s="43" t="n">
        <v>1000</v>
      </c>
      <c r="I26" s="70" t="s">
        <v>419</v>
      </c>
      <c r="J26" s="71" t="n">
        <f aca="false">IF(OR(G26="",H26="",H26=0),"",G26/H26)</f>
        <v>2.5</v>
      </c>
      <c r="K26" s="72" t="n">
        <v>0.95</v>
      </c>
      <c r="L26" s="71" t="n">
        <f aca="false">IF(J26="","",J26/IF(OR(K26="",K26=0),1,K26))</f>
        <v>2.63157894736842</v>
      </c>
      <c r="M26" s="10" t="s">
        <v>93</v>
      </c>
      <c r="N26" s="73"/>
      <c r="O26" s="40"/>
      <c r="P26" s="27" t="str">
        <f aca="false">IF(OR(O26="",O26=0,G26=""),"",G26/O26-1)</f>
        <v/>
      </c>
    </row>
    <row r="27" customFormat="false" ht="15" hidden="false" customHeight="false" outlineLevel="0" collapsed="false">
      <c r="A27" s="70" t="s">
        <v>475</v>
      </c>
      <c r="B27" s="10" t="s">
        <v>106</v>
      </c>
      <c r="C27" s="14" t="s">
        <v>476</v>
      </c>
      <c r="D27" s="14" t="s">
        <v>436</v>
      </c>
      <c r="E27" s="14" t="s">
        <v>452</v>
      </c>
      <c r="F27" s="70" t="s">
        <v>418</v>
      </c>
      <c r="G27" s="40" t="n">
        <v>1500</v>
      </c>
      <c r="H27" s="43" t="n">
        <v>1000</v>
      </c>
      <c r="I27" s="70" t="s">
        <v>419</v>
      </c>
      <c r="J27" s="71" t="n">
        <f aca="false">IF(OR(G27="",H27="",H27=0),"",G27/H27)</f>
        <v>1.5</v>
      </c>
      <c r="K27" s="72" t="n">
        <v>0.8</v>
      </c>
      <c r="L27" s="71" t="n">
        <f aca="false">IF(J27="","",J27/IF(OR(K27="",K27=0),1,K27))</f>
        <v>1.875</v>
      </c>
      <c r="M27" s="10" t="s">
        <v>93</v>
      </c>
      <c r="N27" s="73"/>
      <c r="O27" s="40"/>
      <c r="P27" s="27" t="str">
        <f aca="false">IF(OR(O27="",O27=0,G27=""),"",G27/O27-1)</f>
        <v/>
      </c>
    </row>
    <row r="28" customFormat="false" ht="15" hidden="false" customHeight="false" outlineLevel="0" collapsed="false">
      <c r="A28" s="70" t="s">
        <v>477</v>
      </c>
      <c r="B28" s="10" t="s">
        <v>106</v>
      </c>
      <c r="C28" s="14" t="s">
        <v>478</v>
      </c>
      <c r="D28" s="14" t="s">
        <v>445</v>
      </c>
      <c r="E28" s="14" t="s">
        <v>452</v>
      </c>
      <c r="F28" s="10" t="s">
        <v>427</v>
      </c>
      <c r="G28" s="40" t="n">
        <v>600</v>
      </c>
      <c r="H28" s="43" t="n">
        <v>1</v>
      </c>
      <c r="I28" s="10" t="s">
        <v>427</v>
      </c>
      <c r="J28" s="71" t="n">
        <f aca="false">IF(OR(G28="",H28="",H28=0),"",G28/H28)</f>
        <v>600</v>
      </c>
      <c r="K28" s="72" t="n">
        <v>1</v>
      </c>
      <c r="L28" s="71" t="n">
        <f aca="false">IF(J28="","",J28/IF(OR(K28="",K28=0),1,K28))</f>
        <v>600</v>
      </c>
      <c r="M28" s="10" t="s">
        <v>93</v>
      </c>
      <c r="N28" s="73"/>
      <c r="O28" s="40"/>
      <c r="P28" s="27" t="str">
        <f aca="false">IF(OR(O28="",O28=0,G28=""),"",G28/O28-1)</f>
        <v/>
      </c>
    </row>
    <row r="29" customFormat="false" ht="15" hidden="false" customHeight="false" outlineLevel="0" collapsed="false">
      <c r="A29" s="70" t="s">
        <v>479</v>
      </c>
      <c r="B29" s="10" t="s">
        <v>111</v>
      </c>
      <c r="C29" s="14" t="s">
        <v>480</v>
      </c>
      <c r="D29" s="14" t="s">
        <v>436</v>
      </c>
      <c r="E29" s="14" t="s">
        <v>481</v>
      </c>
      <c r="F29" s="70" t="s">
        <v>418</v>
      </c>
      <c r="G29" s="40" t="n">
        <v>3500</v>
      </c>
      <c r="H29" s="43" t="n">
        <v>1000</v>
      </c>
      <c r="I29" s="70" t="s">
        <v>419</v>
      </c>
      <c r="J29" s="71" t="n">
        <f aca="false">IF(OR(G29="",H29="",H29=0),"",G29/H29)</f>
        <v>3.5</v>
      </c>
      <c r="K29" s="72" t="n">
        <v>1</v>
      </c>
      <c r="L29" s="71" t="n">
        <f aca="false">IF(J29="","",J29/IF(OR(K29="",K29=0),1,K29))</f>
        <v>3.5</v>
      </c>
      <c r="M29" s="10" t="s">
        <v>93</v>
      </c>
      <c r="N29" s="73"/>
      <c r="O29" s="40"/>
      <c r="P29" s="27" t="str">
        <f aca="false">IF(OR(O29="",O29=0,G29=""),"",G29/O29-1)</f>
        <v/>
      </c>
    </row>
    <row r="30" customFormat="false" ht="15" hidden="false" customHeight="false" outlineLevel="0" collapsed="false">
      <c r="A30" s="70" t="s">
        <v>482</v>
      </c>
      <c r="B30" s="10" t="s">
        <v>111</v>
      </c>
      <c r="C30" s="14" t="s">
        <v>483</v>
      </c>
      <c r="D30" s="14" t="s">
        <v>449</v>
      </c>
      <c r="E30" s="14" t="s">
        <v>484</v>
      </c>
      <c r="F30" s="70" t="s">
        <v>418</v>
      </c>
      <c r="G30" s="40" t="n">
        <v>9000</v>
      </c>
      <c r="H30" s="43" t="n">
        <v>1000</v>
      </c>
      <c r="I30" s="70" t="s">
        <v>419</v>
      </c>
      <c r="J30" s="71" t="n">
        <f aca="false">IF(OR(G30="",H30="",H30=0),"",G30/H30)</f>
        <v>9</v>
      </c>
      <c r="K30" s="72" t="n">
        <v>1</v>
      </c>
      <c r="L30" s="71" t="n">
        <f aca="false">IF(J30="","",J30/IF(OR(K30="",K30=0),1,K30))</f>
        <v>9</v>
      </c>
      <c r="M30" s="10" t="s">
        <v>85</v>
      </c>
      <c r="N30" s="73"/>
      <c r="O30" s="40"/>
      <c r="P30" s="27" t="str">
        <f aca="false">IF(OR(O30="",O30=0,G30=""),"",G30/O30-1)</f>
        <v/>
      </c>
    </row>
    <row r="31" customFormat="false" ht="15" hidden="false" customHeight="false" outlineLevel="0" collapsed="false">
      <c r="A31" s="70" t="s">
        <v>485</v>
      </c>
      <c r="B31" s="10" t="s">
        <v>111</v>
      </c>
      <c r="C31" s="14" t="s">
        <v>486</v>
      </c>
      <c r="D31" s="74" t="s">
        <v>487</v>
      </c>
      <c r="E31" s="14" t="s">
        <v>481</v>
      </c>
      <c r="F31" s="10" t="s">
        <v>488</v>
      </c>
      <c r="G31" s="40" t="n">
        <v>8000</v>
      </c>
      <c r="H31" s="43" t="n">
        <v>30</v>
      </c>
      <c r="I31" s="10" t="s">
        <v>427</v>
      </c>
      <c r="J31" s="71" t="n">
        <f aca="false">IF(OR(G31="",H31="",H31=0),"",G31/H31)</f>
        <v>266.666666666667</v>
      </c>
      <c r="K31" s="72" t="n">
        <v>1</v>
      </c>
      <c r="L31" s="71" t="n">
        <f aca="false">IF(J31="","",J31/IF(OR(K31="",K31=0),1,K31))</f>
        <v>266.666666666667</v>
      </c>
      <c r="M31" s="10" t="s">
        <v>93</v>
      </c>
      <c r="N31" s="73"/>
      <c r="O31" s="40"/>
      <c r="P31" s="27" t="str">
        <f aca="false">IF(OR(O31="",O31=0,G31=""),"",G31/O31-1)</f>
        <v/>
      </c>
    </row>
    <row r="32" customFormat="false" ht="15" hidden="false" customHeight="false" outlineLevel="0" collapsed="false">
      <c r="A32" s="70" t="s">
        <v>489</v>
      </c>
      <c r="B32" s="10" t="s">
        <v>111</v>
      </c>
      <c r="C32" s="14" t="s">
        <v>490</v>
      </c>
      <c r="D32" s="74" t="s">
        <v>491</v>
      </c>
      <c r="E32" s="14" t="s">
        <v>481</v>
      </c>
      <c r="F32" s="10" t="s">
        <v>492</v>
      </c>
      <c r="G32" s="40" t="n">
        <v>60000</v>
      </c>
      <c r="H32" s="43" t="n">
        <v>20000</v>
      </c>
      <c r="I32" s="70" t="s">
        <v>419</v>
      </c>
      <c r="J32" s="71" t="n">
        <f aca="false">IF(OR(G32="",H32="",H32=0),"",G32/H32)</f>
        <v>3</v>
      </c>
      <c r="K32" s="72" t="n">
        <v>1</v>
      </c>
      <c r="L32" s="71" t="n">
        <f aca="false">IF(J32="","",J32/IF(OR(K32="",K32=0),1,K32))</f>
        <v>3</v>
      </c>
      <c r="M32" s="10" t="s">
        <v>93</v>
      </c>
      <c r="N32" s="73"/>
      <c r="O32" s="40"/>
      <c r="P32" s="27" t="str">
        <f aca="false">IF(OR(O32="",O32=0,G32=""),"",G32/O32-1)</f>
        <v/>
      </c>
    </row>
    <row r="33" customFormat="false" ht="15" hidden="false" customHeight="false" outlineLevel="0" collapsed="false">
      <c r="A33" s="70" t="s">
        <v>493</v>
      </c>
      <c r="B33" s="10" t="s">
        <v>111</v>
      </c>
      <c r="C33" s="14" t="s">
        <v>494</v>
      </c>
      <c r="D33" s="74" t="s">
        <v>495</v>
      </c>
      <c r="E33" s="14" t="s">
        <v>481</v>
      </c>
      <c r="F33" s="10" t="s">
        <v>496</v>
      </c>
      <c r="G33" s="40" t="n">
        <v>6000</v>
      </c>
      <c r="H33" s="43" t="n">
        <v>2000</v>
      </c>
      <c r="I33" s="70" t="s">
        <v>419</v>
      </c>
      <c r="J33" s="71" t="n">
        <f aca="false">IF(OR(G33="",H33="",H33=0),"",G33/H33)</f>
        <v>3</v>
      </c>
      <c r="K33" s="72" t="n">
        <v>1</v>
      </c>
      <c r="L33" s="71" t="n">
        <f aca="false">IF(J33="","",J33/IF(OR(K33="",K33=0),1,K33))</f>
        <v>3</v>
      </c>
      <c r="M33" s="10" t="s">
        <v>85</v>
      </c>
      <c r="N33" s="73"/>
      <c r="O33" s="40"/>
      <c r="P33" s="27" t="str">
        <f aca="false">IF(OR(O33="",O33=0,G33=""),"",G33/O33-1)</f>
        <v/>
      </c>
    </row>
    <row r="34" customFormat="false" ht="15" hidden="false" customHeight="false" outlineLevel="0" collapsed="false">
      <c r="A34" s="70" t="s">
        <v>497</v>
      </c>
      <c r="B34" s="10" t="s">
        <v>111</v>
      </c>
      <c r="C34" s="14" t="s">
        <v>498</v>
      </c>
      <c r="D34" s="74" t="s">
        <v>499</v>
      </c>
      <c r="E34" s="14" t="s">
        <v>484</v>
      </c>
      <c r="F34" s="10" t="s">
        <v>496</v>
      </c>
      <c r="G34" s="40" t="n">
        <v>5000</v>
      </c>
      <c r="H34" s="43" t="n">
        <v>1000</v>
      </c>
      <c r="I34" s="70" t="s">
        <v>419</v>
      </c>
      <c r="J34" s="71" t="n">
        <f aca="false">IF(OR(G34="",H34="",H34=0),"",G34/H34)</f>
        <v>5</v>
      </c>
      <c r="K34" s="72" t="n">
        <v>1</v>
      </c>
      <c r="L34" s="71" t="n">
        <f aca="false">IF(J34="","",J34/IF(OR(K34="",K34=0),1,K34))</f>
        <v>5</v>
      </c>
      <c r="M34" s="10" t="s">
        <v>85</v>
      </c>
      <c r="N34" s="73"/>
      <c r="O34" s="40"/>
      <c r="P34" s="27" t="str">
        <f aca="false">IF(OR(O34="",O34=0,G34=""),"",G34/O34-1)</f>
        <v/>
      </c>
    </row>
    <row r="35" customFormat="false" ht="15" hidden="false" customHeight="false" outlineLevel="0" collapsed="false">
      <c r="A35" s="70" t="s">
        <v>500</v>
      </c>
      <c r="B35" s="10" t="s">
        <v>111</v>
      </c>
      <c r="C35" s="14" t="s">
        <v>501</v>
      </c>
      <c r="D35" s="74" t="s">
        <v>499</v>
      </c>
      <c r="E35" s="14" t="s">
        <v>484</v>
      </c>
      <c r="F35" s="10" t="s">
        <v>496</v>
      </c>
      <c r="G35" s="40" t="n">
        <v>6000</v>
      </c>
      <c r="H35" s="43" t="n">
        <v>1000</v>
      </c>
      <c r="I35" s="70" t="s">
        <v>419</v>
      </c>
      <c r="J35" s="71" t="n">
        <f aca="false">IF(OR(G35="",H35="",H35=0),"",G35/H35)</f>
        <v>6</v>
      </c>
      <c r="K35" s="72" t="n">
        <v>1</v>
      </c>
      <c r="L35" s="71" t="n">
        <f aca="false">IF(J35="","",J35/IF(OR(K35="",K35=0),1,K35))</f>
        <v>6</v>
      </c>
      <c r="M35" s="10" t="s">
        <v>85</v>
      </c>
      <c r="N35" s="73"/>
      <c r="O35" s="40"/>
      <c r="P35" s="27" t="str">
        <f aca="false">IF(OR(O35="",O35=0,G35=""),"",G35/O35-1)</f>
        <v/>
      </c>
    </row>
    <row r="36" customFormat="false" ht="15" hidden="false" customHeight="false" outlineLevel="0" collapsed="false">
      <c r="A36" s="70" t="s">
        <v>502</v>
      </c>
      <c r="B36" s="10" t="s">
        <v>115</v>
      </c>
      <c r="C36" s="14" t="s">
        <v>503</v>
      </c>
      <c r="D36" s="74" t="s">
        <v>499</v>
      </c>
      <c r="E36" s="14" t="s">
        <v>484</v>
      </c>
      <c r="F36" s="10" t="s">
        <v>496</v>
      </c>
      <c r="G36" s="40" t="n">
        <v>7000</v>
      </c>
      <c r="H36" s="43" t="n">
        <v>1000</v>
      </c>
      <c r="I36" s="70" t="s">
        <v>419</v>
      </c>
      <c r="J36" s="71" t="n">
        <f aca="false">IF(OR(G36="",H36="",H36=0),"",G36/H36)</f>
        <v>7</v>
      </c>
      <c r="K36" s="72" t="n">
        <v>1</v>
      </c>
      <c r="L36" s="71" t="n">
        <f aca="false">IF(J36="","",J36/IF(OR(K36="",K36=0),1,K36))</f>
        <v>7</v>
      </c>
      <c r="M36" s="10" t="s">
        <v>85</v>
      </c>
      <c r="N36" s="73"/>
      <c r="O36" s="40"/>
      <c r="P36" s="27" t="str">
        <f aca="false">IF(OR(O36="",O36=0,G36=""),"",G36/O36-1)</f>
        <v/>
      </c>
    </row>
    <row r="37" customFormat="false" ht="15" hidden="false" customHeight="false" outlineLevel="0" collapsed="false">
      <c r="A37" s="70" t="s">
        <v>504</v>
      </c>
      <c r="B37" s="10" t="s">
        <v>115</v>
      </c>
      <c r="C37" s="14" t="s">
        <v>505</v>
      </c>
      <c r="D37" s="74" t="s">
        <v>506</v>
      </c>
      <c r="E37" s="14" t="s">
        <v>484</v>
      </c>
      <c r="F37" s="10" t="s">
        <v>496</v>
      </c>
      <c r="G37" s="40" t="n">
        <v>7500</v>
      </c>
      <c r="H37" s="43" t="n">
        <v>30</v>
      </c>
      <c r="I37" s="10" t="s">
        <v>427</v>
      </c>
      <c r="J37" s="71" t="n">
        <f aca="false">IF(OR(G37="",H37="",H37=0),"",G37/H37)</f>
        <v>250</v>
      </c>
      <c r="K37" s="72" t="n">
        <v>1</v>
      </c>
      <c r="L37" s="71" t="n">
        <f aca="false">IF(J37="","",J37/IF(OR(K37="",K37=0),1,K37))</f>
        <v>250</v>
      </c>
      <c r="M37" s="10" t="s">
        <v>85</v>
      </c>
      <c r="N37" s="73"/>
      <c r="O37" s="40"/>
      <c r="P37" s="27" t="str">
        <f aca="false">IF(OR(O37="",O37=0,G37=""),"",G37/O37-1)</f>
        <v/>
      </c>
    </row>
    <row r="38" customFormat="false" ht="15" hidden="false" customHeight="false" outlineLevel="0" collapsed="false">
      <c r="A38" s="70" t="s">
        <v>507</v>
      </c>
      <c r="B38" s="10" t="s">
        <v>115</v>
      </c>
      <c r="C38" s="14" t="s">
        <v>508</v>
      </c>
      <c r="D38" s="74" t="s">
        <v>499</v>
      </c>
      <c r="E38" s="14" t="s">
        <v>484</v>
      </c>
      <c r="F38" s="10" t="s">
        <v>496</v>
      </c>
      <c r="G38" s="40" t="n">
        <v>8000</v>
      </c>
      <c r="H38" s="43" t="n">
        <v>1000</v>
      </c>
      <c r="I38" s="70" t="s">
        <v>419</v>
      </c>
      <c r="J38" s="71" t="n">
        <f aca="false">IF(OR(G38="",H38="",H38=0),"",G38/H38)</f>
        <v>8</v>
      </c>
      <c r="K38" s="72" t="n">
        <v>1</v>
      </c>
      <c r="L38" s="71" t="n">
        <f aca="false">IF(J38="","",J38/IF(OR(K38="",K38=0),1,K38))</f>
        <v>8</v>
      </c>
      <c r="M38" s="10" t="s">
        <v>85</v>
      </c>
      <c r="N38" s="73"/>
      <c r="O38" s="40"/>
      <c r="P38" s="27" t="str">
        <f aca="false">IF(OR(O38="",O38=0,G38=""),"",G38/O38-1)</f>
        <v/>
      </c>
    </row>
    <row r="39" customFormat="false" ht="15" hidden="false" customHeight="false" outlineLevel="0" collapsed="false">
      <c r="A39" s="70" t="s">
        <v>509</v>
      </c>
      <c r="B39" s="10" t="s">
        <v>118</v>
      </c>
      <c r="C39" s="14" t="s">
        <v>510</v>
      </c>
      <c r="D39" s="74" t="s">
        <v>499</v>
      </c>
      <c r="E39" s="14" t="s">
        <v>484</v>
      </c>
      <c r="F39" s="10" t="s">
        <v>496</v>
      </c>
      <c r="G39" s="40" t="n">
        <v>15000</v>
      </c>
      <c r="H39" s="43" t="n">
        <v>1000</v>
      </c>
      <c r="I39" s="70" t="s">
        <v>419</v>
      </c>
      <c r="J39" s="71" t="n">
        <f aca="false">IF(OR(G39="",H39="",H39=0),"",G39/H39)</f>
        <v>15</v>
      </c>
      <c r="K39" s="72" t="n">
        <v>1</v>
      </c>
      <c r="L39" s="71" t="n">
        <f aca="false">IF(J39="","",J39/IF(OR(K39="",K39=0),1,K39))</f>
        <v>15</v>
      </c>
      <c r="M39" s="10" t="s">
        <v>85</v>
      </c>
      <c r="N39" s="73"/>
      <c r="O39" s="40"/>
      <c r="P39" s="27" t="str">
        <f aca="false">IF(OR(O39="",O39=0,G39=""),"",G39/O39-1)</f>
        <v/>
      </c>
    </row>
    <row r="40" customFormat="false" ht="15" hidden="false" customHeight="false" outlineLevel="0" collapsed="false">
      <c r="A40" s="70" t="s">
        <v>511</v>
      </c>
      <c r="B40" s="10" t="s">
        <v>118</v>
      </c>
      <c r="C40" s="14" t="s">
        <v>512</v>
      </c>
      <c r="D40" s="74" t="s">
        <v>513</v>
      </c>
      <c r="E40" s="14" t="s">
        <v>484</v>
      </c>
      <c r="F40" s="10" t="s">
        <v>496</v>
      </c>
      <c r="G40" s="40" t="n">
        <v>6000</v>
      </c>
      <c r="H40" s="43" t="n">
        <v>500</v>
      </c>
      <c r="I40" s="70" t="s">
        <v>419</v>
      </c>
      <c r="J40" s="71" t="n">
        <f aca="false">IF(OR(G40="",H40="",H40=0),"",G40/H40)</f>
        <v>12</v>
      </c>
      <c r="K40" s="72" t="n">
        <v>1</v>
      </c>
      <c r="L40" s="71" t="n">
        <f aca="false">IF(J40="","",J40/IF(OR(K40="",K40=0),1,K40))</f>
        <v>12</v>
      </c>
      <c r="M40" s="10" t="s">
        <v>85</v>
      </c>
      <c r="N40" s="73"/>
      <c r="O40" s="40"/>
      <c r="P40" s="27" t="str">
        <f aca="false">IF(OR(O40="",O40=0,G40=""),"",G40/O40-1)</f>
        <v/>
      </c>
    </row>
    <row r="41" customFormat="false" ht="15" hidden="false" customHeight="false" outlineLevel="0" collapsed="false">
      <c r="A41" s="70" t="s">
        <v>514</v>
      </c>
      <c r="B41" s="10" t="s">
        <v>118</v>
      </c>
      <c r="C41" s="14" t="s">
        <v>515</v>
      </c>
      <c r="D41" s="74" t="s">
        <v>513</v>
      </c>
      <c r="E41" s="14" t="s">
        <v>484</v>
      </c>
      <c r="F41" s="10" t="s">
        <v>496</v>
      </c>
      <c r="G41" s="40" t="n">
        <v>7000</v>
      </c>
      <c r="H41" s="43" t="n">
        <v>500</v>
      </c>
      <c r="I41" s="70" t="s">
        <v>419</v>
      </c>
      <c r="J41" s="71" t="n">
        <f aca="false">IF(OR(G41="",H41="",H41=0),"",G41/H41)</f>
        <v>14</v>
      </c>
      <c r="K41" s="72" t="n">
        <v>1</v>
      </c>
      <c r="L41" s="71" t="n">
        <f aca="false">IF(J41="","",J41/IF(OR(K41="",K41=0),1,K41))</f>
        <v>14</v>
      </c>
      <c r="M41" s="10" t="s">
        <v>85</v>
      </c>
      <c r="N41" s="73"/>
      <c r="O41" s="40"/>
      <c r="P41" s="27" t="str">
        <f aca="false">IF(OR(O41="",O41=0,G41=""),"",G41/O41-1)</f>
        <v/>
      </c>
    </row>
    <row r="42" customFormat="false" ht="15" hidden="false" customHeight="false" outlineLevel="0" collapsed="false">
      <c r="A42" s="70" t="s">
        <v>516</v>
      </c>
      <c r="B42" s="10" t="s">
        <v>118</v>
      </c>
      <c r="C42" s="14" t="s">
        <v>517</v>
      </c>
      <c r="D42" s="74" t="s">
        <v>499</v>
      </c>
      <c r="E42" s="14" t="s">
        <v>484</v>
      </c>
      <c r="F42" s="10" t="s">
        <v>518</v>
      </c>
      <c r="G42" s="40" t="n">
        <v>8000</v>
      </c>
      <c r="H42" s="43" t="n">
        <v>1000</v>
      </c>
      <c r="I42" s="70" t="s">
        <v>419</v>
      </c>
      <c r="J42" s="71" t="n">
        <f aca="false">IF(OR(G42="",H42="",H42=0),"",G42/H42)</f>
        <v>8</v>
      </c>
      <c r="K42" s="72" t="n">
        <v>1</v>
      </c>
      <c r="L42" s="71" t="n">
        <f aca="false">IF(J42="","",J42/IF(OR(K42="",K42=0),1,K42))</f>
        <v>8</v>
      </c>
      <c r="M42" s="10" t="s">
        <v>85</v>
      </c>
      <c r="N42" s="73"/>
      <c r="O42" s="40"/>
      <c r="P42" s="27" t="str">
        <f aca="false">IF(OR(O42="",O42=0,G42=""),"",G42/O42-1)</f>
        <v/>
      </c>
    </row>
    <row r="43" customFormat="false" ht="15" hidden="false" customHeight="false" outlineLevel="0" collapsed="false">
      <c r="A43" s="70" t="s">
        <v>519</v>
      </c>
      <c r="B43" s="10" t="s">
        <v>118</v>
      </c>
      <c r="C43" s="14" t="s">
        <v>520</v>
      </c>
      <c r="D43" s="74" t="s">
        <v>499</v>
      </c>
      <c r="E43" s="14" t="s">
        <v>484</v>
      </c>
      <c r="F43" s="10" t="s">
        <v>518</v>
      </c>
      <c r="G43" s="40" t="n">
        <v>6000</v>
      </c>
      <c r="H43" s="43" t="n">
        <v>1000</v>
      </c>
      <c r="I43" s="70" t="s">
        <v>419</v>
      </c>
      <c r="J43" s="71" t="n">
        <f aca="false">IF(OR(G43="",H43="",H43=0),"",G43/H43)</f>
        <v>6</v>
      </c>
      <c r="K43" s="72" t="n">
        <v>1</v>
      </c>
      <c r="L43" s="71" t="n">
        <f aca="false">IF(J43="","",J43/IF(OR(K43="",K43=0),1,K43))</f>
        <v>6</v>
      </c>
      <c r="M43" s="10" t="s">
        <v>85</v>
      </c>
      <c r="N43" s="73"/>
      <c r="O43" s="40"/>
      <c r="P43" s="27" t="str">
        <f aca="false">IF(OR(O43="",O43=0,G43=""),"",G43/O43-1)</f>
        <v/>
      </c>
    </row>
    <row r="44" customFormat="false" ht="15" hidden="false" customHeight="false" outlineLevel="0" collapsed="false">
      <c r="A44" s="70" t="s">
        <v>521</v>
      </c>
      <c r="B44" s="10" t="s">
        <v>118</v>
      </c>
      <c r="C44" s="14" t="s">
        <v>522</v>
      </c>
      <c r="D44" s="74" t="s">
        <v>523</v>
      </c>
      <c r="E44" s="14" t="s">
        <v>481</v>
      </c>
      <c r="F44" s="10" t="s">
        <v>524</v>
      </c>
      <c r="G44" s="40" t="n">
        <v>6000</v>
      </c>
      <c r="H44" s="43" t="n">
        <v>1800</v>
      </c>
      <c r="I44" s="70" t="s">
        <v>525</v>
      </c>
      <c r="J44" s="71" t="n">
        <f aca="false">IF(OR(G44="",H44="",H44=0),"",G44/H44)</f>
        <v>3.33333333333333</v>
      </c>
      <c r="K44" s="72" t="n">
        <v>1</v>
      </c>
      <c r="L44" s="71" t="n">
        <f aca="false">IF(J44="","",J44/IF(OR(K44="",K44=0),1,K44))</f>
        <v>3.33333333333333</v>
      </c>
      <c r="M44" s="10" t="s">
        <v>85</v>
      </c>
      <c r="N44" s="73"/>
      <c r="O44" s="40"/>
      <c r="P44" s="27" t="str">
        <f aca="false">IF(OR(O44="",O44=0,G44=""),"",G44/O44-1)</f>
        <v/>
      </c>
    </row>
    <row r="45" customFormat="false" ht="15" hidden="false" customHeight="false" outlineLevel="0" collapsed="false">
      <c r="A45" s="70" t="s">
        <v>526</v>
      </c>
      <c r="B45" s="10" t="s">
        <v>118</v>
      </c>
      <c r="C45" s="14" t="s">
        <v>527</v>
      </c>
      <c r="D45" s="74" t="s">
        <v>523</v>
      </c>
      <c r="E45" s="14" t="s">
        <v>481</v>
      </c>
      <c r="F45" s="10" t="s">
        <v>524</v>
      </c>
      <c r="G45" s="40" t="n">
        <v>3000</v>
      </c>
      <c r="H45" s="43" t="n">
        <v>1800</v>
      </c>
      <c r="I45" s="70" t="s">
        <v>525</v>
      </c>
      <c r="J45" s="71" t="n">
        <f aca="false">IF(OR(G45="",H45="",H45=0),"",G45/H45)</f>
        <v>1.66666666666667</v>
      </c>
      <c r="K45" s="72" t="n">
        <v>1</v>
      </c>
      <c r="L45" s="71" t="n">
        <f aca="false">IF(J45="","",J45/IF(OR(K45="",K45=0),1,K45))</f>
        <v>1.66666666666667</v>
      </c>
      <c r="M45" s="10" t="s">
        <v>85</v>
      </c>
      <c r="N45" s="73"/>
      <c r="O45" s="40"/>
      <c r="P45" s="27" t="str">
        <f aca="false">IF(OR(O45="",O45=0,G45=""),"",G45/O45-1)</f>
        <v/>
      </c>
    </row>
    <row r="46" customFormat="false" ht="15" hidden="false" customHeight="false" outlineLevel="0" collapsed="false">
      <c r="A46" s="70" t="s">
        <v>528</v>
      </c>
      <c r="B46" s="10" t="s">
        <v>118</v>
      </c>
      <c r="C46" s="14" t="s">
        <v>529</v>
      </c>
      <c r="D46" s="74" t="s">
        <v>530</v>
      </c>
      <c r="E46" s="14" t="s">
        <v>481</v>
      </c>
      <c r="F46" s="10" t="s">
        <v>496</v>
      </c>
      <c r="G46" s="40" t="n">
        <v>5000</v>
      </c>
      <c r="H46" s="43" t="n">
        <v>3000</v>
      </c>
      <c r="I46" s="70" t="s">
        <v>419</v>
      </c>
      <c r="J46" s="71" t="n">
        <f aca="false">IF(OR(G46="",H46="",H46=0),"",G46/H46)</f>
        <v>1.66666666666667</v>
      </c>
      <c r="K46" s="72" t="n">
        <v>1</v>
      </c>
      <c r="L46" s="71" t="n">
        <f aca="false">IF(J46="","",J46/IF(OR(K46="",K46=0),1,K46))</f>
        <v>1.66666666666667</v>
      </c>
      <c r="M46" s="10" t="s">
        <v>85</v>
      </c>
      <c r="N46" s="73"/>
      <c r="O46" s="40"/>
      <c r="P46" s="27" t="str">
        <f aca="false">IF(OR(O46="",O46=0,G46=""),"",G46/O46-1)</f>
        <v/>
      </c>
    </row>
    <row r="47" customFormat="false" ht="15" hidden="false" customHeight="false" outlineLevel="0" collapsed="false">
      <c r="A47" s="70" t="s">
        <v>531</v>
      </c>
      <c r="B47" s="10" t="s">
        <v>118</v>
      </c>
      <c r="C47" s="14" t="s">
        <v>532</v>
      </c>
      <c r="D47" s="74" t="s">
        <v>499</v>
      </c>
      <c r="E47" s="14" t="s">
        <v>481</v>
      </c>
      <c r="F47" s="10" t="s">
        <v>496</v>
      </c>
      <c r="G47" s="40" t="n">
        <v>18000</v>
      </c>
      <c r="H47" s="43" t="n">
        <v>1000</v>
      </c>
      <c r="I47" s="70" t="s">
        <v>419</v>
      </c>
      <c r="J47" s="71" t="n">
        <f aca="false">IF(OR(G47="",H47="",H47=0),"",G47/H47)</f>
        <v>18</v>
      </c>
      <c r="K47" s="72" t="n">
        <v>1</v>
      </c>
      <c r="L47" s="71" t="n">
        <f aca="false">IF(J47="","",J47/IF(OR(K47="",K47=0),1,K47))</f>
        <v>18</v>
      </c>
      <c r="M47" s="10" t="s">
        <v>93</v>
      </c>
      <c r="N47" s="73"/>
      <c r="O47" s="40"/>
      <c r="P47" s="27" t="str">
        <f aca="false">IF(OR(O47="",O47=0,G47=""),"",G47/O47-1)</f>
        <v/>
      </c>
    </row>
    <row r="48" customFormat="false" ht="15" hidden="false" customHeight="false" outlineLevel="0" collapsed="false">
      <c r="A48" s="70" t="s">
        <v>533</v>
      </c>
      <c r="B48" s="10" t="s">
        <v>118</v>
      </c>
      <c r="C48" s="14" t="s">
        <v>534</v>
      </c>
      <c r="D48" s="74" t="s">
        <v>499</v>
      </c>
      <c r="E48" s="14" t="s">
        <v>484</v>
      </c>
      <c r="F48" s="10" t="s">
        <v>496</v>
      </c>
      <c r="G48" s="40" t="n">
        <v>16000</v>
      </c>
      <c r="H48" s="43" t="n">
        <v>1000</v>
      </c>
      <c r="I48" s="70" t="s">
        <v>419</v>
      </c>
      <c r="J48" s="71" t="n">
        <f aca="false">IF(OR(G48="",H48="",H48=0),"",G48/H48)</f>
        <v>16</v>
      </c>
      <c r="K48" s="72" t="n">
        <v>1</v>
      </c>
      <c r="L48" s="71" t="n">
        <f aca="false">IF(J48="","",J48/IF(OR(K48="",K48=0),1,K48))</f>
        <v>16</v>
      </c>
      <c r="M48" s="10" t="s">
        <v>93</v>
      </c>
      <c r="N48" s="73"/>
      <c r="O48" s="40"/>
      <c r="P48" s="27" t="str">
        <f aca="false">IF(OR(O48="",O48=0,G48=""),"",G48/O48-1)</f>
        <v/>
      </c>
    </row>
    <row r="49" customFormat="false" ht="15" hidden="false" customHeight="false" outlineLevel="0" collapsed="false">
      <c r="A49" s="70" t="s">
        <v>535</v>
      </c>
      <c r="B49" s="10" t="s">
        <v>118</v>
      </c>
      <c r="C49" s="14" t="s">
        <v>536</v>
      </c>
      <c r="D49" s="74" t="s">
        <v>499</v>
      </c>
      <c r="E49" s="14" t="s">
        <v>484</v>
      </c>
      <c r="F49" s="10" t="s">
        <v>496</v>
      </c>
      <c r="G49" s="40" t="n">
        <v>30000</v>
      </c>
      <c r="H49" s="43" t="n">
        <v>1000</v>
      </c>
      <c r="I49" s="70" t="s">
        <v>419</v>
      </c>
      <c r="J49" s="71" t="n">
        <f aca="false">IF(OR(G49="",H49="",H49=0),"",G49/H49)</f>
        <v>30</v>
      </c>
      <c r="K49" s="72" t="n">
        <v>1</v>
      </c>
      <c r="L49" s="71" t="n">
        <f aca="false">IF(J49="","",J49/IF(OR(K49="",K49=0),1,K49))</f>
        <v>30</v>
      </c>
      <c r="M49" s="10" t="s">
        <v>85</v>
      </c>
      <c r="N49" s="73"/>
      <c r="O49" s="40"/>
      <c r="P49" s="27" t="str">
        <f aca="false">IF(OR(O49="",O49=0,G49=""),"",G49/O49-1)</f>
        <v/>
      </c>
    </row>
    <row r="50" customFormat="false" ht="15" hidden="false" customHeight="false" outlineLevel="0" collapsed="false">
      <c r="A50" s="70" t="s">
        <v>537</v>
      </c>
      <c r="B50" s="10" t="s">
        <v>118</v>
      </c>
      <c r="C50" s="14" t="s">
        <v>538</v>
      </c>
      <c r="D50" s="74" t="s">
        <v>499</v>
      </c>
      <c r="E50" s="14" t="s">
        <v>481</v>
      </c>
      <c r="F50" s="10" t="s">
        <v>496</v>
      </c>
      <c r="G50" s="40" t="n">
        <v>3500</v>
      </c>
      <c r="H50" s="43" t="n">
        <v>1000</v>
      </c>
      <c r="I50" s="70" t="s">
        <v>419</v>
      </c>
      <c r="J50" s="71" t="n">
        <f aca="false">IF(OR(G50="",H50="",H50=0),"",G50/H50)</f>
        <v>3.5</v>
      </c>
      <c r="K50" s="72" t="n">
        <v>1</v>
      </c>
      <c r="L50" s="71" t="n">
        <f aca="false">IF(J50="","",J50/IF(OR(K50="",K50=0),1,K50))</f>
        <v>3.5</v>
      </c>
      <c r="M50" s="10" t="s">
        <v>85</v>
      </c>
      <c r="N50" s="73"/>
      <c r="O50" s="40"/>
      <c r="P50" s="27" t="str">
        <f aca="false">IF(OR(O50="",O50=0,G50=""),"",G50/O50-1)</f>
        <v/>
      </c>
    </row>
    <row r="51" customFormat="false" ht="15" hidden="false" customHeight="false" outlineLevel="0" collapsed="false">
      <c r="A51" s="70" t="s">
        <v>539</v>
      </c>
      <c r="B51" s="10" t="s">
        <v>122</v>
      </c>
      <c r="C51" s="14" t="s">
        <v>540</v>
      </c>
      <c r="D51" s="74" t="s">
        <v>541</v>
      </c>
      <c r="E51" s="14" t="s">
        <v>481</v>
      </c>
      <c r="F51" s="10" t="s">
        <v>542</v>
      </c>
      <c r="G51" s="40" t="n">
        <v>55000</v>
      </c>
      <c r="H51" s="43" t="n">
        <v>18000</v>
      </c>
      <c r="I51" s="70" t="s">
        <v>525</v>
      </c>
      <c r="J51" s="71" t="n">
        <f aca="false">IF(OR(G51="",H51="",H51=0),"",G51/H51)</f>
        <v>3.05555555555556</v>
      </c>
      <c r="K51" s="72" t="n">
        <v>1</v>
      </c>
      <c r="L51" s="71" t="n">
        <f aca="false">IF(J51="","",J51/IF(OR(K51="",K51=0),1,K51))</f>
        <v>3.05555555555556</v>
      </c>
      <c r="M51" s="10" t="s">
        <v>85</v>
      </c>
      <c r="N51" s="73"/>
      <c r="O51" s="40"/>
      <c r="P51" s="27" t="str">
        <f aca="false">IF(OR(O51="",O51=0,G51=""),"",G51/O51-1)</f>
        <v/>
      </c>
    </row>
    <row r="52" customFormat="false" ht="15" hidden="false" customHeight="false" outlineLevel="0" collapsed="false">
      <c r="A52" s="70" t="s">
        <v>543</v>
      </c>
      <c r="B52" s="10" t="s">
        <v>122</v>
      </c>
      <c r="C52" s="14" t="s">
        <v>544</v>
      </c>
      <c r="D52" s="74" t="s">
        <v>523</v>
      </c>
      <c r="E52" s="14" t="s">
        <v>481</v>
      </c>
      <c r="F52" s="10" t="s">
        <v>524</v>
      </c>
      <c r="G52" s="40" t="n">
        <v>25000</v>
      </c>
      <c r="H52" s="43" t="n">
        <v>1800</v>
      </c>
      <c r="I52" s="70" t="s">
        <v>525</v>
      </c>
      <c r="J52" s="71" t="n">
        <f aca="false">IF(OR(G52="",H52="",H52=0),"",G52/H52)</f>
        <v>13.8888888888889</v>
      </c>
      <c r="K52" s="72" t="n">
        <v>1</v>
      </c>
      <c r="L52" s="71" t="n">
        <f aca="false">IF(J52="","",J52/IF(OR(K52="",K52=0),1,K52))</f>
        <v>13.8888888888889</v>
      </c>
      <c r="M52" s="10" t="s">
        <v>85</v>
      </c>
      <c r="N52" s="73"/>
      <c r="O52" s="40"/>
      <c r="P52" s="27" t="str">
        <f aca="false">IF(OR(O52="",O52=0,G52=""),"",G52/O52-1)</f>
        <v/>
      </c>
    </row>
    <row r="53" customFormat="false" ht="15" hidden="false" customHeight="false" outlineLevel="0" collapsed="false">
      <c r="A53" s="70" t="s">
        <v>545</v>
      </c>
      <c r="B53" s="10" t="s">
        <v>122</v>
      </c>
      <c r="C53" s="14" t="s">
        <v>546</v>
      </c>
      <c r="D53" s="74" t="s">
        <v>499</v>
      </c>
      <c r="E53" s="14" t="s">
        <v>481</v>
      </c>
      <c r="F53" s="10" t="s">
        <v>496</v>
      </c>
      <c r="G53" s="40" t="n">
        <v>10000</v>
      </c>
      <c r="H53" s="43" t="n">
        <v>1000</v>
      </c>
      <c r="I53" s="70" t="s">
        <v>419</v>
      </c>
      <c r="J53" s="71" t="n">
        <f aca="false">IF(OR(G53="",H53="",H53=0),"",G53/H53)</f>
        <v>10</v>
      </c>
      <c r="K53" s="72" t="n">
        <v>1</v>
      </c>
      <c r="L53" s="71" t="n">
        <f aca="false">IF(J53="","",J53/IF(OR(K53="",K53=0),1,K53))</f>
        <v>10</v>
      </c>
      <c r="M53" s="10" t="s">
        <v>93</v>
      </c>
      <c r="N53" s="73"/>
      <c r="O53" s="40"/>
      <c r="P53" s="27" t="str">
        <f aca="false">IF(OR(O53="",O53=0,G53=""),"",G53/O53-1)</f>
        <v/>
      </c>
    </row>
    <row r="54" customFormat="false" ht="15" hidden="false" customHeight="false" outlineLevel="0" collapsed="false">
      <c r="A54" s="70" t="s">
        <v>547</v>
      </c>
      <c r="B54" s="10" t="s">
        <v>53</v>
      </c>
      <c r="C54" s="14" t="s">
        <v>548</v>
      </c>
      <c r="D54" s="74" t="s">
        <v>549</v>
      </c>
      <c r="E54" s="14" t="s">
        <v>550</v>
      </c>
      <c r="F54" s="10" t="s">
        <v>524</v>
      </c>
      <c r="G54" s="40" t="n">
        <v>12000</v>
      </c>
      <c r="H54" s="43" t="n">
        <v>1</v>
      </c>
      <c r="I54" s="10" t="s">
        <v>427</v>
      </c>
      <c r="J54" s="71" t="n">
        <f aca="false">IF(OR(G54="",H54="",H54=0),"",G54/H54)</f>
        <v>12000</v>
      </c>
      <c r="K54" s="72" t="n">
        <v>1</v>
      </c>
      <c r="L54" s="71" t="n">
        <f aca="false">IF(J54="","",J54/IF(OR(K54="",K54=0),1,K54))</f>
        <v>12000</v>
      </c>
      <c r="M54" s="10" t="s">
        <v>85</v>
      </c>
      <c r="N54" s="73"/>
      <c r="O54" s="40"/>
      <c r="P54" s="27" t="str">
        <f aca="false">IF(OR(O54="",O54=0,G54=""),"",G54/O54-1)</f>
        <v/>
      </c>
    </row>
    <row r="55" customFormat="false" ht="15" hidden="false" customHeight="false" outlineLevel="0" collapsed="false">
      <c r="A55" s="70" t="s">
        <v>551</v>
      </c>
      <c r="B55" s="10" t="s">
        <v>53</v>
      </c>
      <c r="C55" s="14" t="s">
        <v>552</v>
      </c>
      <c r="D55" s="74" t="s">
        <v>549</v>
      </c>
      <c r="E55" s="14" t="s">
        <v>550</v>
      </c>
      <c r="F55" s="10" t="s">
        <v>524</v>
      </c>
      <c r="G55" s="40" t="n">
        <v>6500</v>
      </c>
      <c r="H55" s="43" t="n">
        <v>1</v>
      </c>
      <c r="I55" s="10" t="s">
        <v>427</v>
      </c>
      <c r="J55" s="71" t="n">
        <f aca="false">IF(OR(G55="",H55="",H55=0),"",G55/H55)</f>
        <v>6500</v>
      </c>
      <c r="K55" s="72" t="n">
        <v>1</v>
      </c>
      <c r="L55" s="71" t="n">
        <f aca="false">IF(J55="","",J55/IF(OR(K55="",K55=0),1,K55))</f>
        <v>6500</v>
      </c>
      <c r="M55" s="10" t="s">
        <v>85</v>
      </c>
      <c r="N55" s="73"/>
      <c r="O55" s="40"/>
      <c r="P55" s="27" t="str">
        <f aca="false">IF(OR(O55="",O55=0,G55=""),"",G55/O55-1)</f>
        <v/>
      </c>
    </row>
    <row r="56" customFormat="false" ht="15" hidden="false" customHeight="false" outlineLevel="0" collapsed="false">
      <c r="A56" s="70" t="s">
        <v>553</v>
      </c>
      <c r="B56" s="10" t="s">
        <v>53</v>
      </c>
      <c r="C56" s="14" t="s">
        <v>554</v>
      </c>
      <c r="D56" s="74" t="s">
        <v>549</v>
      </c>
      <c r="E56" s="14" t="s">
        <v>550</v>
      </c>
      <c r="F56" s="10" t="s">
        <v>524</v>
      </c>
      <c r="G56" s="40" t="n">
        <v>3800</v>
      </c>
      <c r="H56" s="43" t="n">
        <v>1</v>
      </c>
      <c r="I56" s="10" t="s">
        <v>427</v>
      </c>
      <c r="J56" s="71" t="n">
        <f aca="false">IF(OR(G56="",H56="",H56=0),"",G56/H56)</f>
        <v>3800</v>
      </c>
      <c r="K56" s="72" t="n">
        <v>1</v>
      </c>
      <c r="L56" s="71" t="n">
        <f aca="false">IF(J56="","",J56/IF(OR(K56="",K56=0),1,K56))</f>
        <v>3800</v>
      </c>
      <c r="M56" s="10" t="s">
        <v>85</v>
      </c>
      <c r="N56" s="73"/>
      <c r="O56" s="40"/>
      <c r="P56" s="27" t="str">
        <f aca="false">IF(OR(O56="",O56=0,G56=""),"",G56/O56-1)</f>
        <v/>
      </c>
    </row>
    <row r="57" customFormat="false" ht="15" hidden="false" customHeight="false" outlineLevel="0" collapsed="false">
      <c r="A57" s="70" t="s">
        <v>555</v>
      </c>
      <c r="B57" s="10" t="s">
        <v>53</v>
      </c>
      <c r="C57" s="14" t="s">
        <v>556</v>
      </c>
      <c r="D57" s="74" t="s">
        <v>557</v>
      </c>
      <c r="E57" s="14" t="s">
        <v>550</v>
      </c>
      <c r="F57" s="10" t="s">
        <v>524</v>
      </c>
      <c r="G57" s="40" t="n">
        <v>8000</v>
      </c>
      <c r="H57" s="43" t="n">
        <v>1</v>
      </c>
      <c r="I57" s="10" t="s">
        <v>427</v>
      </c>
      <c r="J57" s="71" t="n">
        <f aca="false">IF(OR(G57="",H57="",H57=0),"",G57/H57)</f>
        <v>8000</v>
      </c>
      <c r="K57" s="72" t="n">
        <v>1</v>
      </c>
      <c r="L57" s="71" t="n">
        <f aca="false">IF(J57="","",J57/IF(OR(K57="",K57=0),1,K57))</f>
        <v>8000</v>
      </c>
      <c r="M57" s="10" t="s">
        <v>85</v>
      </c>
      <c r="N57" s="73"/>
      <c r="O57" s="40"/>
      <c r="P57" s="27" t="str">
        <f aca="false">IF(OR(O57="",O57=0,G57=""),"",G57/O57-1)</f>
        <v/>
      </c>
    </row>
    <row r="58" customFormat="false" ht="15" hidden="false" customHeight="false" outlineLevel="0" collapsed="false">
      <c r="A58" s="70" t="s">
        <v>558</v>
      </c>
      <c r="B58" s="10" t="s">
        <v>53</v>
      </c>
      <c r="C58" s="14" t="s">
        <v>559</v>
      </c>
      <c r="D58" s="74" t="s">
        <v>557</v>
      </c>
      <c r="E58" s="14" t="s">
        <v>550</v>
      </c>
      <c r="F58" s="10" t="s">
        <v>524</v>
      </c>
      <c r="G58" s="40" t="n">
        <v>4800</v>
      </c>
      <c r="H58" s="43" t="n">
        <v>1</v>
      </c>
      <c r="I58" s="10" t="s">
        <v>427</v>
      </c>
      <c r="J58" s="71" t="n">
        <f aca="false">IF(OR(G58="",H58="",H58=0),"",G58/H58)</f>
        <v>4800</v>
      </c>
      <c r="K58" s="72" t="n">
        <v>1</v>
      </c>
      <c r="L58" s="71" t="n">
        <f aca="false">IF(J58="","",J58/IF(OR(K58="",K58=0),1,K58))</f>
        <v>4800</v>
      </c>
      <c r="M58" s="10" t="s">
        <v>85</v>
      </c>
      <c r="N58" s="73"/>
      <c r="O58" s="40"/>
      <c r="P58" s="27" t="str">
        <f aca="false">IF(OR(O58="",O58=0,G58=""),"",G58/O58-1)</f>
        <v/>
      </c>
    </row>
    <row r="59" customFormat="false" ht="15" hidden="false" customHeight="false" outlineLevel="0" collapsed="false">
      <c r="A59" s="70" t="s">
        <v>560</v>
      </c>
      <c r="B59" s="10" t="s">
        <v>53</v>
      </c>
      <c r="C59" s="14" t="s">
        <v>561</v>
      </c>
      <c r="D59" s="74" t="s">
        <v>562</v>
      </c>
      <c r="E59" s="14" t="s">
        <v>550</v>
      </c>
      <c r="F59" s="10" t="s">
        <v>524</v>
      </c>
      <c r="G59" s="40" t="n">
        <v>17000</v>
      </c>
      <c r="H59" s="43" t="n">
        <v>1</v>
      </c>
      <c r="I59" s="10" t="s">
        <v>427</v>
      </c>
      <c r="J59" s="71" t="n">
        <f aca="false">IF(OR(G59="",H59="",H59=0),"",G59/H59)</f>
        <v>17000</v>
      </c>
      <c r="K59" s="72" t="n">
        <v>1</v>
      </c>
      <c r="L59" s="71" t="n">
        <f aca="false">IF(J59="","",J59/IF(OR(K59="",K59=0),1,K59))</f>
        <v>17000</v>
      </c>
      <c r="M59" s="10" t="s">
        <v>85</v>
      </c>
      <c r="N59" s="73"/>
      <c r="O59" s="40"/>
      <c r="P59" s="27" t="str">
        <f aca="false">IF(OR(O59="",O59=0,G59=""),"",G59/O59-1)</f>
        <v/>
      </c>
    </row>
    <row r="60" customFormat="false" ht="15" hidden="false" customHeight="false" outlineLevel="0" collapsed="false">
      <c r="A60" s="70" t="s">
        <v>563</v>
      </c>
      <c r="B60" s="10" t="s">
        <v>53</v>
      </c>
      <c r="C60" s="14" t="s">
        <v>564</v>
      </c>
      <c r="D60" s="74" t="s">
        <v>562</v>
      </c>
      <c r="E60" s="14" t="s">
        <v>550</v>
      </c>
      <c r="F60" s="10" t="s">
        <v>524</v>
      </c>
      <c r="G60" s="40" t="n">
        <v>9500</v>
      </c>
      <c r="H60" s="43" t="n">
        <v>1</v>
      </c>
      <c r="I60" s="10" t="s">
        <v>427</v>
      </c>
      <c r="J60" s="71" t="n">
        <f aca="false">IF(OR(G60="",H60="",H60=0),"",G60/H60)</f>
        <v>9500</v>
      </c>
      <c r="K60" s="72" t="n">
        <v>1</v>
      </c>
      <c r="L60" s="71" t="n">
        <f aca="false">IF(J60="","",J60/IF(OR(K60="",K60=0),1,K60))</f>
        <v>9500</v>
      </c>
      <c r="M60" s="10" t="s">
        <v>85</v>
      </c>
      <c r="N60" s="73"/>
      <c r="O60" s="40"/>
      <c r="P60" s="27" t="str">
        <f aca="false">IF(OR(O60="",O60=0,G60=""),"",G60/O60-1)</f>
        <v/>
      </c>
    </row>
    <row r="61" customFormat="false" ht="15" hidden="false" customHeight="false" outlineLevel="0" collapsed="false">
      <c r="A61" s="70" t="s">
        <v>565</v>
      </c>
      <c r="B61" s="10" t="s">
        <v>53</v>
      </c>
      <c r="C61" s="14" t="s">
        <v>566</v>
      </c>
      <c r="D61" s="74" t="s">
        <v>567</v>
      </c>
      <c r="E61" s="14" t="s">
        <v>550</v>
      </c>
      <c r="F61" s="10" t="s">
        <v>524</v>
      </c>
      <c r="G61" s="40" t="n">
        <v>2600</v>
      </c>
      <c r="H61" s="43" t="n">
        <v>1</v>
      </c>
      <c r="I61" s="10" t="s">
        <v>427</v>
      </c>
      <c r="J61" s="71" t="n">
        <f aca="false">IF(OR(G61="",H61="",H61=0),"",G61/H61)</f>
        <v>2600</v>
      </c>
      <c r="K61" s="72" t="n">
        <v>1</v>
      </c>
      <c r="L61" s="71" t="n">
        <f aca="false">IF(J61="","",J61/IF(OR(K61="",K61=0),1,K61))</f>
        <v>2600</v>
      </c>
      <c r="M61" s="10" t="s">
        <v>85</v>
      </c>
      <c r="N61" s="73"/>
      <c r="O61" s="40"/>
      <c r="P61" s="27" t="str">
        <f aca="false">IF(OR(O61="",O61=0,G61=""),"",G61/O61-1)</f>
        <v/>
      </c>
    </row>
    <row r="62" customFormat="false" ht="15" hidden="false" customHeight="false" outlineLevel="0" collapsed="false">
      <c r="A62" s="70" t="s">
        <v>568</v>
      </c>
      <c r="B62" s="10" t="s">
        <v>53</v>
      </c>
      <c r="C62" s="14" t="s">
        <v>569</v>
      </c>
      <c r="D62" s="74" t="s">
        <v>570</v>
      </c>
      <c r="E62" s="14" t="s">
        <v>550</v>
      </c>
      <c r="F62" s="10" t="s">
        <v>524</v>
      </c>
      <c r="G62" s="40" t="n">
        <v>2000</v>
      </c>
      <c r="H62" s="43" t="n">
        <v>1</v>
      </c>
      <c r="I62" s="10" t="s">
        <v>427</v>
      </c>
      <c r="J62" s="71" t="n">
        <f aca="false">IF(OR(G62="",H62="",H62=0),"",G62/H62)</f>
        <v>2000</v>
      </c>
      <c r="K62" s="72" t="n">
        <v>1</v>
      </c>
      <c r="L62" s="71" t="n">
        <f aca="false">IF(J62="","",J62/IF(OR(K62="",K62=0),1,K62))</f>
        <v>2000</v>
      </c>
      <c r="M62" s="10" t="s">
        <v>85</v>
      </c>
      <c r="N62" s="73"/>
      <c r="O62" s="40"/>
      <c r="P62" s="27" t="str">
        <f aca="false">IF(OR(O62="",O62=0,G62=""),"",G62/O62-1)</f>
        <v/>
      </c>
    </row>
    <row r="63" customFormat="false" ht="15" hidden="false" customHeight="false" outlineLevel="0" collapsed="false">
      <c r="A63" s="70" t="s">
        <v>571</v>
      </c>
      <c r="B63" s="10" t="s">
        <v>53</v>
      </c>
      <c r="C63" s="14" t="s">
        <v>572</v>
      </c>
      <c r="D63" s="14" t="s">
        <v>573</v>
      </c>
      <c r="E63" s="14" t="s">
        <v>550</v>
      </c>
      <c r="F63" s="10" t="s">
        <v>524</v>
      </c>
      <c r="G63" s="40" t="n">
        <v>26000</v>
      </c>
      <c r="H63" s="43" t="n">
        <v>700</v>
      </c>
      <c r="I63" s="70" t="s">
        <v>525</v>
      </c>
      <c r="J63" s="71" t="n">
        <f aca="false">IF(OR(G63="",H63="",H63=0),"",G63/H63)</f>
        <v>37.1428571428571</v>
      </c>
      <c r="K63" s="72" t="n">
        <v>1</v>
      </c>
      <c r="L63" s="71" t="n">
        <f aca="false">IF(J63="","",J63/IF(OR(K63="",K63=0),1,K63))</f>
        <v>37.1428571428571</v>
      </c>
      <c r="M63" s="10" t="s">
        <v>85</v>
      </c>
      <c r="N63" s="73"/>
      <c r="O63" s="40"/>
      <c r="P63" s="27" t="str">
        <f aca="false">IF(OR(O63="",O63=0,G63=""),"",G63/O63-1)</f>
        <v/>
      </c>
    </row>
    <row r="64" customFormat="false" ht="15" hidden="false" customHeight="false" outlineLevel="0" collapsed="false">
      <c r="A64" s="70" t="s">
        <v>574</v>
      </c>
      <c r="B64" s="10" t="s">
        <v>53</v>
      </c>
      <c r="C64" s="14" t="s">
        <v>575</v>
      </c>
      <c r="D64" s="14" t="s">
        <v>573</v>
      </c>
      <c r="E64" s="14" t="s">
        <v>550</v>
      </c>
      <c r="F64" s="10" t="s">
        <v>524</v>
      </c>
      <c r="G64" s="40" t="n">
        <v>28000</v>
      </c>
      <c r="H64" s="43" t="n">
        <v>700</v>
      </c>
      <c r="I64" s="70" t="s">
        <v>525</v>
      </c>
      <c r="J64" s="71" t="n">
        <f aca="false">IF(OR(G64="",H64="",H64=0),"",G64/H64)</f>
        <v>40</v>
      </c>
      <c r="K64" s="72" t="n">
        <v>1</v>
      </c>
      <c r="L64" s="71" t="n">
        <f aca="false">IF(J64="","",J64/IF(OR(K64="",K64=0),1,K64))</f>
        <v>40</v>
      </c>
      <c r="M64" s="10" t="s">
        <v>85</v>
      </c>
      <c r="N64" s="73"/>
      <c r="O64" s="40"/>
      <c r="P64" s="27" t="str">
        <f aca="false">IF(OR(O64="",O64=0,G64=""),"",G64/O64-1)</f>
        <v/>
      </c>
    </row>
    <row r="65" customFormat="false" ht="15" hidden="false" customHeight="false" outlineLevel="0" collapsed="false">
      <c r="A65" s="70" t="s">
        <v>576</v>
      </c>
      <c r="B65" s="10" t="s">
        <v>53</v>
      </c>
      <c r="C65" s="14" t="s">
        <v>577</v>
      </c>
      <c r="D65" s="14" t="s">
        <v>573</v>
      </c>
      <c r="E65" s="14" t="s">
        <v>550</v>
      </c>
      <c r="F65" s="10" t="s">
        <v>524</v>
      </c>
      <c r="G65" s="40" t="n">
        <v>22000</v>
      </c>
      <c r="H65" s="43" t="n">
        <v>700</v>
      </c>
      <c r="I65" s="70" t="s">
        <v>525</v>
      </c>
      <c r="J65" s="71" t="n">
        <f aca="false">IF(OR(G65="",H65="",H65=0),"",G65/H65)</f>
        <v>31.4285714285714</v>
      </c>
      <c r="K65" s="72" t="n">
        <v>1</v>
      </c>
      <c r="L65" s="71" t="n">
        <f aca="false">IF(J65="","",J65/IF(OR(K65="",K65=0),1,K65))</f>
        <v>31.4285714285714</v>
      </c>
      <c r="M65" s="10" t="s">
        <v>85</v>
      </c>
      <c r="N65" s="73"/>
      <c r="O65" s="40"/>
      <c r="P65" s="27" t="str">
        <f aca="false">IF(OR(O65="",O65=0,G65=""),"",G65/O65-1)</f>
        <v/>
      </c>
    </row>
    <row r="66" customFormat="false" ht="15" hidden="false" customHeight="false" outlineLevel="0" collapsed="false">
      <c r="A66" s="70" t="s">
        <v>578</v>
      </c>
      <c r="B66" s="10" t="s">
        <v>53</v>
      </c>
      <c r="C66" s="14" t="s">
        <v>579</v>
      </c>
      <c r="D66" s="14" t="s">
        <v>573</v>
      </c>
      <c r="E66" s="14" t="s">
        <v>550</v>
      </c>
      <c r="F66" s="10" t="s">
        <v>524</v>
      </c>
      <c r="G66" s="40" t="n">
        <v>16000</v>
      </c>
      <c r="H66" s="43" t="n">
        <v>700</v>
      </c>
      <c r="I66" s="70" t="s">
        <v>525</v>
      </c>
      <c r="J66" s="71" t="n">
        <f aca="false">IF(OR(G66="",H66="",H66=0),"",G66/H66)</f>
        <v>22.8571428571429</v>
      </c>
      <c r="K66" s="72" t="n">
        <v>1</v>
      </c>
      <c r="L66" s="71" t="n">
        <f aca="false">IF(J66="","",J66/IF(OR(K66="",K66=0),1,K66))</f>
        <v>22.8571428571429</v>
      </c>
      <c r="M66" s="10" t="s">
        <v>85</v>
      </c>
      <c r="N66" s="73"/>
      <c r="O66" s="40"/>
      <c r="P66" s="27" t="str">
        <f aca="false">IF(OR(O66="",O66=0,G66=""),"",G66/O66-1)</f>
        <v/>
      </c>
    </row>
    <row r="67" customFormat="false" ht="15" hidden="false" customHeight="false" outlineLevel="0" collapsed="false">
      <c r="A67" s="70" t="s">
        <v>580</v>
      </c>
      <c r="B67" s="10" t="s">
        <v>53</v>
      </c>
      <c r="C67" s="14" t="s">
        <v>581</v>
      </c>
      <c r="D67" s="14" t="s">
        <v>573</v>
      </c>
      <c r="E67" s="14" t="s">
        <v>550</v>
      </c>
      <c r="F67" s="10" t="s">
        <v>524</v>
      </c>
      <c r="G67" s="40" t="n">
        <v>30000</v>
      </c>
      <c r="H67" s="43" t="n">
        <v>750</v>
      </c>
      <c r="I67" s="70" t="s">
        <v>525</v>
      </c>
      <c r="J67" s="71" t="n">
        <f aca="false">IF(OR(G67="",H67="",H67=0),"",G67/H67)</f>
        <v>40</v>
      </c>
      <c r="K67" s="72" t="n">
        <v>1</v>
      </c>
      <c r="L67" s="71" t="n">
        <f aca="false">IF(J67="","",J67/IF(OR(K67="",K67=0),1,K67))</f>
        <v>40</v>
      </c>
      <c r="M67" s="10" t="s">
        <v>85</v>
      </c>
      <c r="N67" s="73"/>
      <c r="O67" s="40"/>
      <c r="P67" s="27" t="str">
        <f aca="false">IF(OR(O67="",O67=0,G67=""),"",G67/O67-1)</f>
        <v/>
      </c>
    </row>
    <row r="68" customFormat="false" ht="15" hidden="false" customHeight="false" outlineLevel="0" collapsed="false">
      <c r="A68" s="70" t="s">
        <v>582</v>
      </c>
      <c r="B68" s="10" t="s">
        <v>53</v>
      </c>
      <c r="C68" s="14" t="s">
        <v>583</v>
      </c>
      <c r="D68" s="74" t="s">
        <v>584</v>
      </c>
      <c r="E68" s="14" t="s">
        <v>550</v>
      </c>
      <c r="F68" s="10" t="s">
        <v>524</v>
      </c>
      <c r="G68" s="40" t="n">
        <v>12000</v>
      </c>
      <c r="H68" s="43" t="n">
        <v>500</v>
      </c>
      <c r="I68" s="70" t="s">
        <v>525</v>
      </c>
      <c r="J68" s="71" t="n">
        <f aca="false">IF(OR(G68="",H68="",H68=0),"",G68/H68)</f>
        <v>24</v>
      </c>
      <c r="K68" s="72" t="n">
        <v>1</v>
      </c>
      <c r="L68" s="71" t="n">
        <f aca="false">IF(J68="","",J68/IF(OR(K68="",K68=0),1,K68))</f>
        <v>24</v>
      </c>
      <c r="M68" s="10" t="s">
        <v>85</v>
      </c>
      <c r="N68" s="73"/>
      <c r="O68" s="40"/>
      <c r="P68" s="27" t="str">
        <f aca="false">IF(OR(O68="",O68=0,G68=""),"",G68/O68-1)</f>
        <v/>
      </c>
    </row>
    <row r="69" customFormat="false" ht="15" hidden="false" customHeight="false" outlineLevel="0" collapsed="false">
      <c r="A69" s="70" t="s">
        <v>585</v>
      </c>
      <c r="B69" s="10" t="s">
        <v>128</v>
      </c>
      <c r="C69" s="14" t="s">
        <v>586</v>
      </c>
      <c r="D69" s="14" t="s">
        <v>573</v>
      </c>
      <c r="E69" s="14" t="s">
        <v>481</v>
      </c>
      <c r="F69" s="10" t="s">
        <v>524</v>
      </c>
      <c r="G69" s="40" t="n">
        <v>1500</v>
      </c>
      <c r="H69" s="43" t="n">
        <v>1500</v>
      </c>
      <c r="I69" s="70" t="s">
        <v>525</v>
      </c>
      <c r="J69" s="71" t="n">
        <f aca="false">IF(OR(G69="",H69="",H69=0),"",G69/H69)</f>
        <v>1</v>
      </c>
      <c r="K69" s="72" t="n">
        <v>1</v>
      </c>
      <c r="L69" s="71" t="n">
        <f aca="false">IF(J69="","",J69/IF(OR(K69="",K69=0),1,K69))</f>
        <v>1</v>
      </c>
      <c r="M69" s="10" t="s">
        <v>85</v>
      </c>
      <c r="N69" s="73"/>
      <c r="O69" s="40"/>
      <c r="P69" s="27" t="str">
        <f aca="false">IF(OR(O69="",O69=0,G69=""),"",G69/O69-1)</f>
        <v/>
      </c>
    </row>
    <row r="70" customFormat="false" ht="15" hidden="false" customHeight="false" outlineLevel="0" collapsed="false">
      <c r="A70" s="70" t="s">
        <v>587</v>
      </c>
      <c r="B70" s="10" t="s">
        <v>128</v>
      </c>
      <c r="C70" s="14" t="s">
        <v>588</v>
      </c>
      <c r="D70" s="14" t="s">
        <v>589</v>
      </c>
      <c r="E70" s="14" t="s">
        <v>481</v>
      </c>
      <c r="F70" s="10" t="s">
        <v>589</v>
      </c>
      <c r="G70" s="40" t="n">
        <v>900</v>
      </c>
      <c r="H70" s="43" t="n">
        <v>1</v>
      </c>
      <c r="I70" s="10" t="s">
        <v>427</v>
      </c>
      <c r="J70" s="71" t="n">
        <f aca="false">IF(OR(G70="",H70="",H70=0),"",G70/H70)</f>
        <v>900</v>
      </c>
      <c r="K70" s="72" t="n">
        <v>1</v>
      </c>
      <c r="L70" s="71" t="n">
        <f aca="false">IF(J70="","",J70/IF(OR(K70="",K70=0),1,K70))</f>
        <v>900</v>
      </c>
      <c r="M70" s="10" t="s">
        <v>85</v>
      </c>
      <c r="N70" s="73"/>
      <c r="O70" s="40"/>
      <c r="P70" s="27" t="str">
        <f aca="false">IF(OR(O70="",O70=0,G70=""),"",G70/O70-1)</f>
        <v/>
      </c>
    </row>
    <row r="71" customFormat="false" ht="15" hidden="false" customHeight="false" outlineLevel="0" collapsed="false">
      <c r="A71" s="70" t="s">
        <v>590</v>
      </c>
      <c r="B71" s="10" t="s">
        <v>128</v>
      </c>
      <c r="C71" s="14" t="s">
        <v>591</v>
      </c>
      <c r="D71" s="14" t="s">
        <v>589</v>
      </c>
      <c r="E71" s="14" t="s">
        <v>481</v>
      </c>
      <c r="F71" s="10" t="s">
        <v>589</v>
      </c>
      <c r="G71" s="40" t="n">
        <v>900</v>
      </c>
      <c r="H71" s="43" t="n">
        <v>1</v>
      </c>
      <c r="I71" s="10" t="s">
        <v>427</v>
      </c>
      <c r="J71" s="71" t="n">
        <f aca="false">IF(OR(G71="",H71="",H71=0),"",G71/H71)</f>
        <v>900</v>
      </c>
      <c r="K71" s="72" t="n">
        <v>1</v>
      </c>
      <c r="L71" s="71" t="n">
        <f aca="false">IF(J71="","",J71/IF(OR(K71="",K71=0),1,K71))</f>
        <v>900</v>
      </c>
      <c r="M71" s="10" t="s">
        <v>85</v>
      </c>
      <c r="N71" s="73"/>
      <c r="O71" s="40"/>
      <c r="P71" s="27" t="str">
        <f aca="false">IF(OR(O71="",O71=0,G71=""),"",G71/O71-1)</f>
        <v/>
      </c>
    </row>
    <row r="72" customFormat="false" ht="15" hidden="false" customHeight="false" outlineLevel="0" collapsed="false">
      <c r="A72" s="70" t="s">
        <v>592</v>
      </c>
      <c r="B72" s="10" t="s">
        <v>128</v>
      </c>
      <c r="C72" s="14" t="s">
        <v>593</v>
      </c>
      <c r="D72" s="74" t="s">
        <v>530</v>
      </c>
      <c r="E72" s="14" t="s">
        <v>481</v>
      </c>
      <c r="F72" s="10" t="s">
        <v>496</v>
      </c>
      <c r="G72" s="40" t="n">
        <v>3000</v>
      </c>
      <c r="H72" s="43" t="n">
        <v>3000</v>
      </c>
      <c r="I72" s="70" t="s">
        <v>419</v>
      </c>
      <c r="J72" s="71" t="n">
        <f aca="false">IF(OR(G72="",H72="",H72=0),"",G72/H72)</f>
        <v>1</v>
      </c>
      <c r="K72" s="72" t="n">
        <v>1</v>
      </c>
      <c r="L72" s="71" t="n">
        <f aca="false">IF(J72="","",J72/IF(OR(K72="",K72=0),1,K72))</f>
        <v>1</v>
      </c>
      <c r="M72" s="10" t="s">
        <v>85</v>
      </c>
      <c r="N72" s="73"/>
      <c r="O72" s="40"/>
      <c r="P72" s="27" t="str">
        <f aca="false">IF(OR(O72="",O72=0,G72=""),"",G72/O72-1)</f>
        <v/>
      </c>
    </row>
    <row r="73" customFormat="false" ht="15" hidden="false" customHeight="false" outlineLevel="0" collapsed="false">
      <c r="A73" s="70" t="s">
        <v>594</v>
      </c>
      <c r="B73" s="10" t="s">
        <v>130</v>
      </c>
      <c r="C73" s="14" t="s">
        <v>595</v>
      </c>
      <c r="D73" s="74" t="s">
        <v>596</v>
      </c>
      <c r="E73" s="14" t="s">
        <v>597</v>
      </c>
      <c r="F73" s="10" t="s">
        <v>426</v>
      </c>
      <c r="G73" s="40" t="n">
        <v>25000</v>
      </c>
      <c r="H73" s="43" t="n">
        <v>10000</v>
      </c>
      <c r="I73" s="70" t="s">
        <v>419</v>
      </c>
      <c r="J73" s="71" t="n">
        <f aca="false">IF(OR(G73="",H73="",H73=0),"",G73/H73)</f>
        <v>2.5</v>
      </c>
      <c r="K73" s="72" t="n">
        <v>1</v>
      </c>
      <c r="L73" s="71" t="n">
        <f aca="false">IF(J73="","",J73/IF(OR(K73="",K73=0),1,K73))</f>
        <v>2.5</v>
      </c>
      <c r="M73" s="10" t="s">
        <v>85</v>
      </c>
      <c r="N73" s="73"/>
      <c r="O73" s="40"/>
      <c r="P73" s="27" t="str">
        <f aca="false">IF(OR(O73="",O73=0,G73=""),"",G73/O73-1)</f>
        <v/>
      </c>
    </row>
    <row r="74" customFormat="false" ht="15" hidden="false" customHeight="false" outlineLevel="0" collapsed="false">
      <c r="A74" s="70" t="s">
        <v>598</v>
      </c>
      <c r="B74" s="10" t="s">
        <v>130</v>
      </c>
      <c r="C74" s="14" t="s">
        <v>599</v>
      </c>
      <c r="D74" s="74" t="s">
        <v>600</v>
      </c>
      <c r="E74" s="14" t="s">
        <v>601</v>
      </c>
      <c r="F74" s="10" t="s">
        <v>426</v>
      </c>
      <c r="G74" s="40" t="n">
        <v>20000</v>
      </c>
      <c r="H74" s="43" t="n">
        <v>1000</v>
      </c>
      <c r="I74" s="10" t="s">
        <v>427</v>
      </c>
      <c r="J74" s="71" t="n">
        <f aca="false">IF(OR(G74="",H74="",H74=0),"",G74/H74)</f>
        <v>20</v>
      </c>
      <c r="K74" s="72" t="n">
        <v>1</v>
      </c>
      <c r="L74" s="71" t="n">
        <f aca="false">IF(J74="","",J74/IF(OR(K74="",K74=0),1,K74))</f>
        <v>20</v>
      </c>
      <c r="M74" s="10" t="s">
        <v>85</v>
      </c>
      <c r="N74" s="73"/>
      <c r="O74" s="40"/>
      <c r="P74" s="27" t="str">
        <f aca="false">IF(OR(O74="",O74=0,G74=""),"",G74/O74-1)</f>
        <v/>
      </c>
    </row>
    <row r="75" customFormat="false" ht="15" hidden="false" customHeight="false" outlineLevel="0" collapsed="false">
      <c r="A75" s="70" t="s">
        <v>602</v>
      </c>
      <c r="B75" s="10" t="s">
        <v>130</v>
      </c>
      <c r="C75" s="14" t="s">
        <v>603</v>
      </c>
      <c r="D75" s="74" t="s">
        <v>604</v>
      </c>
      <c r="E75" s="14" t="s">
        <v>601</v>
      </c>
      <c r="F75" s="10" t="s">
        <v>426</v>
      </c>
      <c r="G75" s="40" t="n">
        <v>8000</v>
      </c>
      <c r="H75" s="43" t="n">
        <v>100</v>
      </c>
      <c r="I75" s="10" t="s">
        <v>427</v>
      </c>
      <c r="J75" s="71" t="n">
        <f aca="false">IF(OR(G75="",H75="",H75=0),"",G75/H75)</f>
        <v>80</v>
      </c>
      <c r="K75" s="72" t="n">
        <v>1</v>
      </c>
      <c r="L75" s="71" t="n">
        <f aca="false">IF(J75="","",J75/IF(OR(K75="",K75=0),1,K75))</f>
        <v>80</v>
      </c>
      <c r="M75" s="10" t="s">
        <v>85</v>
      </c>
      <c r="N75" s="73"/>
      <c r="O75" s="40"/>
      <c r="P75" s="27" t="str">
        <f aca="false">IF(OR(O75="",O75=0,G75=""),"",G75/O75-1)</f>
        <v/>
      </c>
    </row>
    <row r="76" customFormat="false" ht="15" hidden="false" customHeight="false" outlineLevel="0" collapsed="false">
      <c r="A76" s="70" t="s">
        <v>605</v>
      </c>
      <c r="B76" s="10" t="s">
        <v>130</v>
      </c>
      <c r="C76" s="14" t="s">
        <v>606</v>
      </c>
      <c r="D76" s="74" t="s">
        <v>604</v>
      </c>
      <c r="E76" s="14" t="s">
        <v>601</v>
      </c>
      <c r="F76" s="10" t="s">
        <v>426</v>
      </c>
      <c r="G76" s="40" t="n">
        <v>25000</v>
      </c>
      <c r="H76" s="43" t="n">
        <v>100</v>
      </c>
      <c r="I76" s="10" t="s">
        <v>427</v>
      </c>
      <c r="J76" s="71" t="n">
        <f aca="false">IF(OR(G76="",H76="",H76=0),"",G76/H76)</f>
        <v>250</v>
      </c>
      <c r="K76" s="72" t="n">
        <v>1</v>
      </c>
      <c r="L76" s="71" t="n">
        <f aca="false">IF(J76="","",J76/IF(OR(K76="",K76=0),1,K76))</f>
        <v>250</v>
      </c>
      <c r="M76" s="10" t="s">
        <v>85</v>
      </c>
      <c r="N76" s="73"/>
      <c r="O76" s="40"/>
      <c r="P76" s="27" t="str">
        <f aca="false">IF(OR(O76="",O76=0,G76=""),"",G76/O76-1)</f>
        <v/>
      </c>
    </row>
    <row r="77" customFormat="false" ht="15" hidden="false" customHeight="false" outlineLevel="0" collapsed="false">
      <c r="A77" s="10"/>
      <c r="B77" s="10"/>
      <c r="C77" s="14"/>
      <c r="D77" s="14"/>
      <c r="E77" s="14"/>
      <c r="F77" s="10"/>
      <c r="G77" s="40"/>
      <c r="H77" s="43"/>
      <c r="I77" s="10"/>
      <c r="J77" s="71" t="str">
        <f aca="false">IF(OR(G77="",H77="",H77=0),"",G77/H77)</f>
        <v/>
      </c>
      <c r="K77" s="72"/>
      <c r="L77" s="71" t="str">
        <f aca="false">IF(J77="","",J77/IF(OR(K77="",K77=0),1,K77))</f>
        <v/>
      </c>
      <c r="M77" s="10"/>
      <c r="N77" s="73"/>
      <c r="O77" s="40"/>
      <c r="P77" s="27" t="str">
        <f aca="false">IF(OR(O77="",O77=0,G77=""),"",G77/O77-1)</f>
        <v/>
      </c>
    </row>
    <row r="78" customFormat="false" ht="15" hidden="false" customHeight="false" outlineLevel="0" collapsed="false">
      <c r="A78" s="10"/>
      <c r="B78" s="10"/>
      <c r="C78" s="14"/>
      <c r="D78" s="14"/>
      <c r="E78" s="14"/>
      <c r="F78" s="10"/>
      <c r="G78" s="40"/>
      <c r="H78" s="43"/>
      <c r="I78" s="10"/>
      <c r="J78" s="71" t="str">
        <f aca="false">IF(OR(G78="",H78="",H78=0),"",G78/H78)</f>
        <v/>
      </c>
      <c r="K78" s="72"/>
      <c r="L78" s="71" t="str">
        <f aca="false">IF(J78="","",J78/IF(OR(K78="",K78=0),1,K78))</f>
        <v/>
      </c>
      <c r="M78" s="10"/>
      <c r="N78" s="73"/>
      <c r="O78" s="40"/>
      <c r="P78" s="27" t="str">
        <f aca="false">IF(OR(O78="",O78=0,G78=""),"",G78/O78-1)</f>
        <v/>
      </c>
    </row>
    <row r="79" customFormat="false" ht="15" hidden="false" customHeight="false" outlineLevel="0" collapsed="false">
      <c r="A79" s="10"/>
      <c r="B79" s="10"/>
      <c r="C79" s="14"/>
      <c r="D79" s="14"/>
      <c r="E79" s="14"/>
      <c r="F79" s="10"/>
      <c r="G79" s="40"/>
      <c r="H79" s="43"/>
      <c r="I79" s="10"/>
      <c r="J79" s="71" t="str">
        <f aca="false">IF(OR(G79="",H79="",H79=0),"",G79/H79)</f>
        <v/>
      </c>
      <c r="K79" s="72"/>
      <c r="L79" s="71" t="str">
        <f aca="false">IF(J79="","",J79/IF(OR(K79="",K79=0),1,K79))</f>
        <v/>
      </c>
      <c r="M79" s="10"/>
      <c r="N79" s="73"/>
      <c r="O79" s="40"/>
      <c r="P79" s="27" t="str">
        <f aca="false">IF(OR(O79="",O79=0,G79=""),"",G79/O79-1)</f>
        <v/>
      </c>
    </row>
    <row r="80" customFormat="false" ht="15" hidden="false" customHeight="false" outlineLevel="0" collapsed="false">
      <c r="A80" s="10"/>
      <c r="B80" s="10"/>
      <c r="C80" s="14"/>
      <c r="D80" s="14"/>
      <c r="E80" s="14"/>
      <c r="F80" s="10"/>
      <c r="G80" s="40"/>
      <c r="H80" s="43"/>
      <c r="I80" s="10"/>
      <c r="J80" s="71" t="str">
        <f aca="false">IF(OR(G80="",H80="",H80=0),"",G80/H80)</f>
        <v/>
      </c>
      <c r="K80" s="72"/>
      <c r="L80" s="71" t="str">
        <f aca="false">IF(J80="","",J80/IF(OR(K80="",K80=0),1,K80))</f>
        <v/>
      </c>
      <c r="M80" s="10"/>
      <c r="N80" s="73"/>
      <c r="O80" s="40"/>
      <c r="P80" s="27" t="str">
        <f aca="false">IF(OR(O80="",O80=0,G80=""),"",G80/O80-1)</f>
        <v/>
      </c>
    </row>
    <row r="81" customFormat="false" ht="15" hidden="false" customHeight="false" outlineLevel="0" collapsed="false">
      <c r="A81" s="10"/>
      <c r="B81" s="10"/>
      <c r="C81" s="14"/>
      <c r="D81" s="14"/>
      <c r="E81" s="14"/>
      <c r="F81" s="10"/>
      <c r="G81" s="40"/>
      <c r="H81" s="43"/>
      <c r="I81" s="10"/>
      <c r="J81" s="71" t="str">
        <f aca="false">IF(OR(G81="",H81="",H81=0),"",G81/H81)</f>
        <v/>
      </c>
      <c r="K81" s="72"/>
      <c r="L81" s="71" t="str">
        <f aca="false">IF(J81="","",J81/IF(OR(K81="",K81=0),1,K81))</f>
        <v/>
      </c>
      <c r="M81" s="10"/>
      <c r="N81" s="73"/>
      <c r="O81" s="40"/>
      <c r="P81" s="27" t="str">
        <f aca="false">IF(OR(O81="",O81=0,G81=""),"",G81/O81-1)</f>
        <v/>
      </c>
    </row>
    <row r="82" customFormat="false" ht="15" hidden="false" customHeight="false" outlineLevel="0" collapsed="false">
      <c r="A82" s="10"/>
      <c r="B82" s="10"/>
      <c r="C82" s="14"/>
      <c r="D82" s="14"/>
      <c r="E82" s="14"/>
      <c r="F82" s="10"/>
      <c r="G82" s="40"/>
      <c r="H82" s="43"/>
      <c r="I82" s="10"/>
      <c r="J82" s="71" t="str">
        <f aca="false">IF(OR(G82="",H82="",H82=0),"",G82/H82)</f>
        <v/>
      </c>
      <c r="K82" s="72"/>
      <c r="L82" s="71" t="str">
        <f aca="false">IF(J82="","",J82/IF(OR(K82="",K82=0),1,K82))</f>
        <v/>
      </c>
      <c r="M82" s="10"/>
      <c r="N82" s="73"/>
      <c r="O82" s="40"/>
      <c r="P82" s="27" t="str">
        <f aca="false">IF(OR(O82="",O82=0,G82=""),"",G82/O82-1)</f>
        <v/>
      </c>
    </row>
    <row r="83" customFormat="false" ht="15" hidden="false" customHeight="false" outlineLevel="0" collapsed="false">
      <c r="A83" s="10"/>
      <c r="B83" s="10"/>
      <c r="C83" s="14"/>
      <c r="D83" s="14"/>
      <c r="E83" s="14"/>
      <c r="F83" s="10"/>
      <c r="G83" s="40"/>
      <c r="H83" s="43"/>
      <c r="I83" s="10"/>
      <c r="J83" s="71" t="str">
        <f aca="false">IF(OR(G83="",H83="",H83=0),"",G83/H83)</f>
        <v/>
      </c>
      <c r="K83" s="72"/>
      <c r="L83" s="71" t="str">
        <f aca="false">IF(J83="","",J83/IF(OR(K83="",K83=0),1,K83))</f>
        <v/>
      </c>
      <c r="M83" s="10"/>
      <c r="N83" s="73"/>
      <c r="O83" s="40"/>
      <c r="P83" s="27" t="str">
        <f aca="false">IF(OR(O83="",O83=0,G83=""),"",G83/O83-1)</f>
        <v/>
      </c>
    </row>
    <row r="84" customFormat="false" ht="15" hidden="false" customHeight="false" outlineLevel="0" collapsed="false">
      <c r="A84" s="10"/>
      <c r="B84" s="10"/>
      <c r="C84" s="14"/>
      <c r="D84" s="14"/>
      <c r="E84" s="14"/>
      <c r="F84" s="10"/>
      <c r="G84" s="40"/>
      <c r="H84" s="43"/>
      <c r="I84" s="10"/>
      <c r="J84" s="71" t="str">
        <f aca="false">IF(OR(G84="",H84="",H84=0),"",G84/H84)</f>
        <v/>
      </c>
      <c r="K84" s="72"/>
      <c r="L84" s="71" t="str">
        <f aca="false">IF(J84="","",J84/IF(OR(K84="",K84=0),1,K84))</f>
        <v/>
      </c>
      <c r="M84" s="10"/>
      <c r="N84" s="73"/>
      <c r="O84" s="40"/>
      <c r="P84" s="27" t="str">
        <f aca="false">IF(OR(O84="",O84=0,G84=""),"",G84/O84-1)</f>
        <v/>
      </c>
    </row>
    <row r="85" customFormat="false" ht="15" hidden="false" customHeight="false" outlineLevel="0" collapsed="false">
      <c r="A85" s="10"/>
      <c r="B85" s="10"/>
      <c r="C85" s="14"/>
      <c r="D85" s="14"/>
      <c r="E85" s="14"/>
      <c r="F85" s="10"/>
      <c r="G85" s="40"/>
      <c r="H85" s="43"/>
      <c r="I85" s="10"/>
      <c r="J85" s="71" t="str">
        <f aca="false">IF(OR(G85="",H85="",H85=0),"",G85/H85)</f>
        <v/>
      </c>
      <c r="K85" s="72"/>
      <c r="L85" s="71" t="str">
        <f aca="false">IF(J85="","",J85/IF(OR(K85="",K85=0),1,K85))</f>
        <v/>
      </c>
      <c r="M85" s="10"/>
      <c r="N85" s="73"/>
      <c r="O85" s="40"/>
      <c r="P85" s="27" t="str">
        <f aca="false">IF(OR(O85="",O85=0,G85=""),"",G85/O85-1)</f>
        <v/>
      </c>
    </row>
    <row r="86" customFormat="false" ht="15" hidden="false" customHeight="false" outlineLevel="0" collapsed="false">
      <c r="A86" s="10"/>
      <c r="B86" s="10"/>
      <c r="C86" s="14"/>
      <c r="D86" s="14"/>
      <c r="E86" s="14"/>
      <c r="F86" s="10"/>
      <c r="G86" s="40"/>
      <c r="H86" s="43"/>
      <c r="I86" s="10"/>
      <c r="J86" s="71" t="str">
        <f aca="false">IF(OR(G86="",H86="",H86=0),"",G86/H86)</f>
        <v/>
      </c>
      <c r="K86" s="72"/>
      <c r="L86" s="71" t="str">
        <f aca="false">IF(J86="","",J86/IF(OR(K86="",K86=0),1,K86))</f>
        <v/>
      </c>
      <c r="M86" s="10"/>
      <c r="N86" s="73"/>
      <c r="O86" s="40"/>
      <c r="P86" s="27" t="str">
        <f aca="false">IF(OR(O86="",O86=0,G86=""),"",G86/O86-1)</f>
        <v/>
      </c>
    </row>
    <row r="87" customFormat="false" ht="15" hidden="false" customHeight="false" outlineLevel="0" collapsed="false">
      <c r="A87" s="10"/>
      <c r="B87" s="10"/>
      <c r="C87" s="14"/>
      <c r="D87" s="14"/>
      <c r="E87" s="14"/>
      <c r="F87" s="10"/>
      <c r="G87" s="40"/>
      <c r="H87" s="43"/>
      <c r="I87" s="10"/>
      <c r="J87" s="71" t="str">
        <f aca="false">IF(OR(G87="",H87="",H87=0),"",G87/H87)</f>
        <v/>
      </c>
      <c r="K87" s="72"/>
      <c r="L87" s="71" t="str">
        <f aca="false">IF(J87="","",J87/IF(OR(K87="",K87=0),1,K87))</f>
        <v/>
      </c>
      <c r="M87" s="10"/>
      <c r="N87" s="73"/>
      <c r="O87" s="40"/>
      <c r="P87" s="27" t="str">
        <f aca="false">IF(OR(O87="",O87=0,G87=""),"",G87/O87-1)</f>
        <v/>
      </c>
    </row>
    <row r="88" customFormat="false" ht="15" hidden="false" customHeight="false" outlineLevel="0" collapsed="false">
      <c r="A88" s="10"/>
      <c r="B88" s="10"/>
      <c r="C88" s="14"/>
      <c r="D88" s="14"/>
      <c r="E88" s="14"/>
      <c r="F88" s="10"/>
      <c r="G88" s="40"/>
      <c r="H88" s="43"/>
      <c r="I88" s="10"/>
      <c r="J88" s="71" t="str">
        <f aca="false">IF(OR(G88="",H88="",H88=0),"",G88/H88)</f>
        <v/>
      </c>
      <c r="K88" s="72"/>
      <c r="L88" s="71" t="str">
        <f aca="false">IF(J88="","",J88/IF(OR(K88="",K88=0),1,K88))</f>
        <v/>
      </c>
      <c r="M88" s="10"/>
      <c r="N88" s="73"/>
      <c r="O88" s="40"/>
      <c r="P88" s="27" t="str">
        <f aca="false">IF(OR(O88="",O88=0,G88=""),"",G88/O88-1)</f>
        <v/>
      </c>
    </row>
    <row r="89" customFormat="false" ht="15" hidden="false" customHeight="false" outlineLevel="0" collapsed="false">
      <c r="A89" s="10"/>
      <c r="B89" s="10"/>
      <c r="C89" s="14"/>
      <c r="D89" s="14"/>
      <c r="E89" s="14"/>
      <c r="F89" s="10"/>
      <c r="G89" s="40"/>
      <c r="H89" s="43"/>
      <c r="I89" s="10"/>
      <c r="J89" s="71" t="str">
        <f aca="false">IF(OR(G89="",H89="",H89=0),"",G89/H89)</f>
        <v/>
      </c>
      <c r="K89" s="72"/>
      <c r="L89" s="71" t="str">
        <f aca="false">IF(J89="","",J89/IF(OR(K89="",K89=0),1,K89))</f>
        <v/>
      </c>
      <c r="M89" s="10"/>
      <c r="N89" s="73"/>
      <c r="O89" s="40"/>
      <c r="P89" s="27" t="str">
        <f aca="false">IF(OR(O89="",O89=0,G89=""),"",G89/O89-1)</f>
        <v/>
      </c>
    </row>
    <row r="90" customFormat="false" ht="15" hidden="false" customHeight="false" outlineLevel="0" collapsed="false">
      <c r="A90" s="10"/>
      <c r="B90" s="10"/>
      <c r="C90" s="14"/>
      <c r="D90" s="14"/>
      <c r="E90" s="14"/>
      <c r="F90" s="10"/>
      <c r="G90" s="40"/>
      <c r="H90" s="43"/>
      <c r="I90" s="10"/>
      <c r="J90" s="71" t="str">
        <f aca="false">IF(OR(G90="",H90="",H90=0),"",G90/H90)</f>
        <v/>
      </c>
      <c r="K90" s="72"/>
      <c r="L90" s="71" t="str">
        <f aca="false">IF(J90="","",J90/IF(OR(K90="",K90=0),1,K90))</f>
        <v/>
      </c>
      <c r="M90" s="10"/>
      <c r="N90" s="73"/>
      <c r="O90" s="40"/>
      <c r="P90" s="27" t="str">
        <f aca="false">IF(OR(O90="",O90=0,G90=""),"",G90/O90-1)</f>
        <v/>
      </c>
    </row>
    <row r="91" customFormat="false" ht="15" hidden="false" customHeight="false" outlineLevel="0" collapsed="false">
      <c r="A91" s="10"/>
      <c r="B91" s="10"/>
      <c r="C91" s="14"/>
      <c r="D91" s="14"/>
      <c r="E91" s="14"/>
      <c r="F91" s="10"/>
      <c r="G91" s="40"/>
      <c r="H91" s="43"/>
      <c r="I91" s="10"/>
      <c r="J91" s="71" t="str">
        <f aca="false">IF(OR(G91="",H91="",H91=0),"",G91/H91)</f>
        <v/>
      </c>
      <c r="K91" s="72"/>
      <c r="L91" s="71" t="str">
        <f aca="false">IF(J91="","",J91/IF(OR(K91="",K91=0),1,K91))</f>
        <v/>
      </c>
      <c r="M91" s="10"/>
      <c r="N91" s="73"/>
      <c r="O91" s="40"/>
      <c r="P91" s="27" t="str">
        <f aca="false">IF(OR(O91="",O91=0,G91=""),"",G91/O91-1)</f>
        <v/>
      </c>
    </row>
    <row r="92" customFormat="false" ht="15" hidden="false" customHeight="false" outlineLevel="0" collapsed="false">
      <c r="A92" s="10"/>
      <c r="B92" s="10"/>
      <c r="C92" s="14"/>
      <c r="D92" s="14"/>
      <c r="E92" s="14"/>
      <c r="F92" s="10"/>
      <c r="G92" s="40"/>
      <c r="H92" s="43"/>
      <c r="I92" s="10"/>
      <c r="J92" s="71" t="str">
        <f aca="false">IF(OR(G92="",H92="",H92=0),"",G92/H92)</f>
        <v/>
      </c>
      <c r="K92" s="72"/>
      <c r="L92" s="71" t="str">
        <f aca="false">IF(J92="","",J92/IF(OR(K92="",K92=0),1,K92))</f>
        <v/>
      </c>
      <c r="M92" s="10"/>
      <c r="N92" s="73"/>
      <c r="O92" s="40"/>
      <c r="P92" s="27" t="str">
        <f aca="false">IF(OR(O92="",O92=0,G92=""),"",G92/O92-1)</f>
        <v/>
      </c>
    </row>
    <row r="93" customFormat="false" ht="15" hidden="false" customHeight="false" outlineLevel="0" collapsed="false">
      <c r="A93" s="10"/>
      <c r="B93" s="10"/>
      <c r="C93" s="14"/>
      <c r="D93" s="14"/>
      <c r="E93" s="14"/>
      <c r="F93" s="10"/>
      <c r="G93" s="40"/>
      <c r="H93" s="43"/>
      <c r="I93" s="10"/>
      <c r="J93" s="71" t="str">
        <f aca="false">IF(OR(G93="",H93="",H93=0),"",G93/H93)</f>
        <v/>
      </c>
      <c r="K93" s="72"/>
      <c r="L93" s="71" t="str">
        <f aca="false">IF(J93="","",J93/IF(OR(K93="",K93=0),1,K93))</f>
        <v/>
      </c>
      <c r="M93" s="10"/>
      <c r="N93" s="73"/>
      <c r="O93" s="40"/>
      <c r="P93" s="27" t="str">
        <f aca="false">IF(OR(O93="",O93=0,G93=""),"",G93/O93-1)</f>
        <v/>
      </c>
    </row>
    <row r="94" customFormat="false" ht="15" hidden="false" customHeight="false" outlineLevel="0" collapsed="false">
      <c r="A94" s="10"/>
      <c r="B94" s="10"/>
      <c r="C94" s="14"/>
      <c r="D94" s="14"/>
      <c r="E94" s="14"/>
      <c r="F94" s="10"/>
      <c r="G94" s="40"/>
      <c r="H94" s="43"/>
      <c r="I94" s="10"/>
      <c r="J94" s="71" t="str">
        <f aca="false">IF(OR(G94="",H94="",H94=0),"",G94/H94)</f>
        <v/>
      </c>
      <c r="K94" s="72"/>
      <c r="L94" s="71" t="str">
        <f aca="false">IF(J94="","",J94/IF(OR(K94="",K94=0),1,K94))</f>
        <v/>
      </c>
      <c r="M94" s="10"/>
      <c r="N94" s="73"/>
      <c r="O94" s="40"/>
      <c r="P94" s="27" t="str">
        <f aca="false">IF(OR(O94="",O94=0,G94=""),"",G94/O94-1)</f>
        <v/>
      </c>
    </row>
    <row r="95" customFormat="false" ht="15" hidden="false" customHeight="false" outlineLevel="0" collapsed="false">
      <c r="A95" s="10"/>
      <c r="B95" s="10"/>
      <c r="C95" s="14"/>
      <c r="D95" s="14"/>
      <c r="E95" s="14"/>
      <c r="F95" s="10"/>
      <c r="G95" s="40"/>
      <c r="H95" s="43"/>
      <c r="I95" s="10"/>
      <c r="J95" s="71" t="str">
        <f aca="false">IF(OR(G95="",H95="",H95=0),"",G95/H95)</f>
        <v/>
      </c>
      <c r="K95" s="72"/>
      <c r="L95" s="71" t="str">
        <f aca="false">IF(J95="","",J95/IF(OR(K95="",K95=0),1,K95))</f>
        <v/>
      </c>
      <c r="M95" s="10"/>
      <c r="N95" s="73"/>
      <c r="O95" s="40"/>
      <c r="P95" s="27" t="str">
        <f aca="false">IF(OR(O95="",O95=0,G95=""),"",G95/O95-1)</f>
        <v/>
      </c>
    </row>
    <row r="96" customFormat="false" ht="15" hidden="false" customHeight="false" outlineLevel="0" collapsed="false">
      <c r="A96" s="10"/>
      <c r="B96" s="10"/>
      <c r="C96" s="14"/>
      <c r="D96" s="14"/>
      <c r="E96" s="14"/>
      <c r="F96" s="10"/>
      <c r="G96" s="40"/>
      <c r="H96" s="43"/>
      <c r="I96" s="10"/>
      <c r="J96" s="71" t="str">
        <f aca="false">IF(OR(G96="",H96="",H96=0),"",G96/H96)</f>
        <v/>
      </c>
      <c r="K96" s="72"/>
      <c r="L96" s="71" t="str">
        <f aca="false">IF(J96="","",J96/IF(OR(K96="",K96=0),1,K96))</f>
        <v/>
      </c>
      <c r="M96" s="10"/>
      <c r="N96" s="73"/>
      <c r="O96" s="40"/>
      <c r="P96" s="27" t="str">
        <f aca="false">IF(OR(O96="",O96=0,G96=""),"",G96/O96-1)</f>
        <v/>
      </c>
    </row>
    <row r="97" customFormat="false" ht="15" hidden="false" customHeight="false" outlineLevel="0" collapsed="false">
      <c r="A97" s="10"/>
      <c r="B97" s="10"/>
      <c r="C97" s="14"/>
      <c r="D97" s="14"/>
      <c r="E97" s="14"/>
      <c r="F97" s="10"/>
      <c r="G97" s="40"/>
      <c r="H97" s="43"/>
      <c r="I97" s="10"/>
      <c r="J97" s="71" t="str">
        <f aca="false">IF(OR(G97="",H97="",H97=0),"",G97/H97)</f>
        <v/>
      </c>
      <c r="K97" s="72"/>
      <c r="L97" s="71" t="str">
        <f aca="false">IF(J97="","",J97/IF(OR(K97="",K97=0),1,K97))</f>
        <v/>
      </c>
      <c r="M97" s="10"/>
      <c r="N97" s="73"/>
      <c r="O97" s="40"/>
      <c r="P97" s="27" t="str">
        <f aca="false">IF(OR(O97="",O97=0,G97=""),"",G97/O97-1)</f>
        <v/>
      </c>
    </row>
    <row r="98" customFormat="false" ht="15" hidden="false" customHeight="false" outlineLevel="0" collapsed="false">
      <c r="A98" s="10"/>
      <c r="B98" s="10"/>
      <c r="C98" s="14"/>
      <c r="D98" s="14"/>
      <c r="E98" s="14"/>
      <c r="F98" s="10"/>
      <c r="G98" s="40"/>
      <c r="H98" s="43"/>
      <c r="I98" s="10"/>
      <c r="J98" s="71" t="str">
        <f aca="false">IF(OR(G98="",H98="",H98=0),"",G98/H98)</f>
        <v/>
      </c>
      <c r="K98" s="72"/>
      <c r="L98" s="71" t="str">
        <f aca="false">IF(J98="","",J98/IF(OR(K98="",K98=0),1,K98))</f>
        <v/>
      </c>
      <c r="M98" s="10"/>
      <c r="N98" s="73"/>
      <c r="O98" s="40"/>
      <c r="P98" s="27" t="str">
        <f aca="false">IF(OR(O98="",O98=0,G98=""),"",G98/O98-1)</f>
        <v/>
      </c>
    </row>
    <row r="99" customFormat="false" ht="15" hidden="false" customHeight="false" outlineLevel="0" collapsed="false">
      <c r="A99" s="10"/>
      <c r="B99" s="10"/>
      <c r="C99" s="14"/>
      <c r="D99" s="14"/>
      <c r="E99" s="14"/>
      <c r="F99" s="10"/>
      <c r="G99" s="40"/>
      <c r="H99" s="43"/>
      <c r="I99" s="10"/>
      <c r="J99" s="71" t="str">
        <f aca="false">IF(OR(G99="",H99="",H99=0),"",G99/H99)</f>
        <v/>
      </c>
      <c r="K99" s="72"/>
      <c r="L99" s="71" t="str">
        <f aca="false">IF(J99="","",J99/IF(OR(K99="",K99=0),1,K99))</f>
        <v/>
      </c>
      <c r="M99" s="10"/>
      <c r="N99" s="73"/>
      <c r="O99" s="40"/>
      <c r="P99" s="27" t="str">
        <f aca="false">IF(OR(O99="",O99=0,G99=""),"",G99/O99-1)</f>
        <v/>
      </c>
    </row>
    <row r="100" customFormat="false" ht="15" hidden="false" customHeight="false" outlineLevel="0" collapsed="false">
      <c r="A100" s="10"/>
      <c r="B100" s="10"/>
      <c r="C100" s="14"/>
      <c r="D100" s="14"/>
      <c r="E100" s="14"/>
      <c r="F100" s="10"/>
      <c r="G100" s="40"/>
      <c r="H100" s="43"/>
      <c r="I100" s="10"/>
      <c r="J100" s="71" t="str">
        <f aca="false">IF(OR(G100="",H100="",H100=0),"",G100/H100)</f>
        <v/>
      </c>
      <c r="K100" s="72"/>
      <c r="L100" s="71" t="str">
        <f aca="false">IF(J100="","",J100/IF(OR(K100="",K100=0),1,K100))</f>
        <v/>
      </c>
      <c r="M100" s="10"/>
      <c r="N100" s="73"/>
      <c r="O100" s="40"/>
      <c r="P100" s="27" t="str">
        <f aca="false">IF(OR(O100="",O100=0,G100=""),"",G100/O100-1)</f>
        <v/>
      </c>
    </row>
    <row r="101" customFormat="false" ht="15" hidden="false" customHeight="false" outlineLevel="0" collapsed="false">
      <c r="A101" s="10"/>
      <c r="B101" s="10"/>
      <c r="C101" s="14"/>
      <c r="D101" s="14"/>
      <c r="E101" s="14"/>
      <c r="F101" s="10"/>
      <c r="G101" s="40"/>
      <c r="H101" s="43"/>
      <c r="I101" s="10"/>
      <c r="J101" s="71" t="str">
        <f aca="false">IF(OR(G101="",H101="",H101=0),"",G101/H101)</f>
        <v/>
      </c>
      <c r="K101" s="72"/>
      <c r="L101" s="71" t="str">
        <f aca="false">IF(J101="","",J101/IF(OR(K101="",K101=0),1,K101))</f>
        <v/>
      </c>
      <c r="M101" s="10"/>
      <c r="N101" s="73"/>
      <c r="O101" s="40"/>
      <c r="P101" s="27" t="str">
        <f aca="false">IF(OR(O101="",O101=0,G101=""),"",G101/O101-1)</f>
        <v/>
      </c>
    </row>
    <row r="102" customFormat="false" ht="15" hidden="false" customHeight="false" outlineLevel="0" collapsed="false">
      <c r="A102" s="10"/>
      <c r="B102" s="10"/>
      <c r="C102" s="14"/>
      <c r="D102" s="14"/>
      <c r="E102" s="14"/>
      <c r="F102" s="10"/>
      <c r="G102" s="40"/>
      <c r="H102" s="43"/>
      <c r="I102" s="10"/>
      <c r="J102" s="71" t="str">
        <f aca="false">IF(OR(G102="",H102="",H102=0),"",G102/H102)</f>
        <v/>
      </c>
      <c r="K102" s="72"/>
      <c r="L102" s="71" t="str">
        <f aca="false">IF(J102="","",J102/IF(OR(K102="",K102=0),1,K102))</f>
        <v/>
      </c>
      <c r="M102" s="10"/>
      <c r="N102" s="73"/>
      <c r="O102" s="40"/>
      <c r="P102" s="27" t="str">
        <f aca="false">IF(OR(O102="",O102=0,G102=""),"",G102/O102-1)</f>
        <v/>
      </c>
    </row>
    <row r="103" customFormat="false" ht="15" hidden="false" customHeight="false" outlineLevel="0" collapsed="false">
      <c r="A103" s="10"/>
      <c r="B103" s="10"/>
      <c r="C103" s="14"/>
      <c r="D103" s="14"/>
      <c r="E103" s="14"/>
      <c r="F103" s="10"/>
      <c r="G103" s="40"/>
      <c r="H103" s="43"/>
      <c r="I103" s="10"/>
      <c r="J103" s="71" t="str">
        <f aca="false">IF(OR(G103="",H103="",H103=0),"",G103/H103)</f>
        <v/>
      </c>
      <c r="K103" s="72"/>
      <c r="L103" s="71" t="str">
        <f aca="false">IF(J103="","",J103/IF(OR(K103="",K103=0),1,K103))</f>
        <v/>
      </c>
      <c r="M103" s="10"/>
      <c r="N103" s="73"/>
      <c r="O103" s="40"/>
      <c r="P103" s="27" t="str">
        <f aca="false">IF(OR(O103="",O103=0,G103=""),"",G103/O103-1)</f>
        <v/>
      </c>
    </row>
    <row r="104" customFormat="false" ht="15" hidden="false" customHeight="false" outlineLevel="0" collapsed="false">
      <c r="A104" s="10"/>
      <c r="B104" s="10"/>
      <c r="C104" s="14"/>
      <c r="D104" s="14"/>
      <c r="E104" s="14"/>
      <c r="F104" s="10"/>
      <c r="G104" s="40"/>
      <c r="H104" s="43"/>
      <c r="I104" s="10"/>
      <c r="J104" s="71" t="str">
        <f aca="false">IF(OR(G104="",H104="",H104=0),"",G104/H104)</f>
        <v/>
      </c>
      <c r="K104" s="72"/>
      <c r="L104" s="71" t="str">
        <f aca="false">IF(J104="","",J104/IF(OR(K104="",K104=0),1,K104))</f>
        <v/>
      </c>
      <c r="M104" s="10"/>
      <c r="N104" s="73"/>
      <c r="O104" s="40"/>
      <c r="P104" s="27" t="str">
        <f aca="false">IF(OR(O104="",O104=0,G104=""),"",G104/O104-1)</f>
        <v/>
      </c>
    </row>
    <row r="105" customFormat="false" ht="15" hidden="false" customHeight="false" outlineLevel="0" collapsed="false">
      <c r="A105" s="10"/>
      <c r="B105" s="10"/>
      <c r="C105" s="14"/>
      <c r="D105" s="14"/>
      <c r="E105" s="14"/>
      <c r="F105" s="10"/>
      <c r="G105" s="40"/>
      <c r="H105" s="43"/>
      <c r="I105" s="10"/>
      <c r="J105" s="71" t="str">
        <f aca="false">IF(OR(G105="",H105="",H105=0),"",G105/H105)</f>
        <v/>
      </c>
      <c r="K105" s="72"/>
      <c r="L105" s="71" t="str">
        <f aca="false">IF(J105="","",J105/IF(OR(K105="",K105=0),1,K105))</f>
        <v/>
      </c>
      <c r="M105" s="10"/>
      <c r="N105" s="73"/>
      <c r="O105" s="40"/>
      <c r="P105" s="27" t="str">
        <f aca="false">IF(OR(O105="",O105=0,G105=""),"",G105/O105-1)</f>
        <v/>
      </c>
    </row>
    <row r="106" customFormat="false" ht="15" hidden="false" customHeight="false" outlineLevel="0" collapsed="false">
      <c r="A106" s="10"/>
      <c r="B106" s="10"/>
      <c r="C106" s="14"/>
      <c r="D106" s="14"/>
      <c r="E106" s="14"/>
      <c r="F106" s="10"/>
      <c r="G106" s="40"/>
      <c r="H106" s="43"/>
      <c r="I106" s="10"/>
      <c r="J106" s="71" t="str">
        <f aca="false">IF(OR(G106="",H106="",H106=0),"",G106/H106)</f>
        <v/>
      </c>
      <c r="K106" s="72"/>
      <c r="L106" s="71" t="str">
        <f aca="false">IF(J106="","",J106/IF(OR(K106="",K106=0),1,K106))</f>
        <v/>
      </c>
      <c r="M106" s="10"/>
      <c r="N106" s="73"/>
      <c r="O106" s="40"/>
      <c r="P106" s="27" t="str">
        <f aca="false">IF(OR(O106="",O106=0,G106=""),"",G106/O106-1)</f>
        <v/>
      </c>
    </row>
    <row r="107" customFormat="false" ht="15" hidden="false" customHeight="false" outlineLevel="0" collapsed="false">
      <c r="A107" s="10"/>
      <c r="B107" s="10"/>
      <c r="C107" s="14"/>
      <c r="D107" s="14"/>
      <c r="E107" s="14"/>
      <c r="F107" s="10"/>
      <c r="G107" s="40"/>
      <c r="H107" s="43"/>
      <c r="I107" s="10"/>
      <c r="J107" s="71" t="str">
        <f aca="false">IF(OR(G107="",H107="",H107=0),"",G107/H107)</f>
        <v/>
      </c>
      <c r="K107" s="72"/>
      <c r="L107" s="71" t="str">
        <f aca="false">IF(J107="","",J107/IF(OR(K107="",K107=0),1,K107))</f>
        <v/>
      </c>
      <c r="M107" s="10"/>
      <c r="N107" s="73"/>
      <c r="O107" s="40"/>
      <c r="P107" s="27" t="str">
        <f aca="false">IF(OR(O107="",O107=0,G107=""),"",G107/O107-1)</f>
        <v/>
      </c>
    </row>
    <row r="108" customFormat="false" ht="15" hidden="false" customHeight="false" outlineLevel="0" collapsed="false">
      <c r="A108" s="10"/>
      <c r="B108" s="10"/>
      <c r="C108" s="14"/>
      <c r="D108" s="14"/>
      <c r="E108" s="14"/>
      <c r="F108" s="10"/>
      <c r="G108" s="40"/>
      <c r="H108" s="43"/>
      <c r="I108" s="10"/>
      <c r="J108" s="71" t="str">
        <f aca="false">IF(OR(G108="",H108="",H108=0),"",G108/H108)</f>
        <v/>
      </c>
      <c r="K108" s="72"/>
      <c r="L108" s="71" t="str">
        <f aca="false">IF(J108="","",J108/IF(OR(K108="",K108=0),1,K108))</f>
        <v/>
      </c>
      <c r="M108" s="10"/>
      <c r="N108" s="73"/>
      <c r="O108" s="40"/>
      <c r="P108" s="27" t="str">
        <f aca="false">IF(OR(O108="",O108=0,G108=""),"",G108/O108-1)</f>
        <v/>
      </c>
    </row>
    <row r="109" customFormat="false" ht="15" hidden="false" customHeight="false" outlineLevel="0" collapsed="false">
      <c r="A109" s="10"/>
      <c r="B109" s="10"/>
      <c r="C109" s="14"/>
      <c r="D109" s="14"/>
      <c r="E109" s="14"/>
      <c r="F109" s="10"/>
      <c r="G109" s="40"/>
      <c r="H109" s="43"/>
      <c r="I109" s="10"/>
      <c r="J109" s="71" t="str">
        <f aca="false">IF(OR(G109="",H109="",H109=0),"",G109/H109)</f>
        <v/>
      </c>
      <c r="K109" s="72"/>
      <c r="L109" s="71" t="str">
        <f aca="false">IF(J109="","",J109/IF(OR(K109="",K109=0),1,K109))</f>
        <v/>
      </c>
      <c r="M109" s="10"/>
      <c r="N109" s="73"/>
      <c r="O109" s="40"/>
      <c r="P109" s="27" t="str">
        <f aca="false">IF(OR(O109="",O109=0,G109=""),"",G109/O109-1)</f>
        <v/>
      </c>
    </row>
    <row r="110" customFormat="false" ht="15" hidden="false" customHeight="false" outlineLevel="0" collapsed="false">
      <c r="A110" s="10"/>
      <c r="B110" s="10"/>
      <c r="C110" s="14"/>
      <c r="D110" s="14"/>
      <c r="E110" s="14"/>
      <c r="F110" s="10"/>
      <c r="G110" s="40"/>
      <c r="H110" s="43"/>
      <c r="I110" s="10"/>
      <c r="J110" s="71" t="str">
        <f aca="false">IF(OR(G110="",H110="",H110=0),"",G110/H110)</f>
        <v/>
      </c>
      <c r="K110" s="72"/>
      <c r="L110" s="71" t="str">
        <f aca="false">IF(J110="","",J110/IF(OR(K110="",K110=0),1,K110))</f>
        <v/>
      </c>
      <c r="M110" s="10"/>
      <c r="N110" s="73"/>
      <c r="O110" s="40"/>
      <c r="P110" s="27" t="str">
        <f aca="false">IF(OR(O110="",O110=0,G110=""),"",G110/O110-1)</f>
        <v/>
      </c>
    </row>
    <row r="111" customFormat="false" ht="15" hidden="false" customHeight="false" outlineLevel="0" collapsed="false">
      <c r="A111" s="10"/>
      <c r="B111" s="10"/>
      <c r="C111" s="14"/>
      <c r="D111" s="14"/>
      <c r="E111" s="14"/>
      <c r="F111" s="10"/>
      <c r="G111" s="40"/>
      <c r="H111" s="43"/>
      <c r="I111" s="10"/>
      <c r="J111" s="71" t="str">
        <f aca="false">IF(OR(G111="",H111="",H111=0),"",G111/H111)</f>
        <v/>
      </c>
      <c r="K111" s="72"/>
      <c r="L111" s="71" t="str">
        <f aca="false">IF(J111="","",J111/IF(OR(K111="",K111=0),1,K111))</f>
        <v/>
      </c>
      <c r="M111" s="10"/>
      <c r="N111" s="73"/>
      <c r="O111" s="40"/>
      <c r="P111" s="27" t="str">
        <f aca="false">IF(OR(O111="",O111=0,G111=""),"",G111/O111-1)</f>
        <v/>
      </c>
    </row>
    <row r="112" customFormat="false" ht="15" hidden="false" customHeight="false" outlineLevel="0" collapsed="false">
      <c r="A112" s="10"/>
      <c r="B112" s="10"/>
      <c r="C112" s="14"/>
      <c r="D112" s="14"/>
      <c r="E112" s="14"/>
      <c r="F112" s="10"/>
      <c r="G112" s="40"/>
      <c r="H112" s="43"/>
      <c r="I112" s="10"/>
      <c r="J112" s="71" t="str">
        <f aca="false">IF(OR(G112="",H112="",H112=0),"",G112/H112)</f>
        <v/>
      </c>
      <c r="K112" s="72"/>
      <c r="L112" s="71" t="str">
        <f aca="false">IF(J112="","",J112/IF(OR(K112="",K112=0),1,K112))</f>
        <v/>
      </c>
      <c r="M112" s="10"/>
      <c r="N112" s="73"/>
      <c r="O112" s="40"/>
      <c r="P112" s="27" t="str">
        <f aca="false">IF(OR(O112="",O112=0,G112=""),"",G112/O112-1)</f>
        <v/>
      </c>
    </row>
    <row r="113" customFormat="false" ht="15" hidden="false" customHeight="false" outlineLevel="0" collapsed="false">
      <c r="A113" s="10"/>
      <c r="B113" s="10"/>
      <c r="C113" s="14"/>
      <c r="D113" s="14"/>
      <c r="E113" s="14"/>
      <c r="F113" s="10"/>
      <c r="G113" s="40"/>
      <c r="H113" s="43"/>
      <c r="I113" s="10"/>
      <c r="J113" s="71" t="str">
        <f aca="false">IF(OR(G113="",H113="",H113=0),"",G113/H113)</f>
        <v/>
      </c>
      <c r="K113" s="72"/>
      <c r="L113" s="71" t="str">
        <f aca="false">IF(J113="","",J113/IF(OR(K113="",K113=0),1,K113))</f>
        <v/>
      </c>
      <c r="M113" s="10"/>
      <c r="N113" s="73"/>
      <c r="O113" s="40"/>
      <c r="P113" s="27" t="str">
        <f aca="false">IF(OR(O113="",O113=0,G113=""),"",G113/O113-1)</f>
        <v/>
      </c>
    </row>
    <row r="114" customFormat="false" ht="15" hidden="false" customHeight="false" outlineLevel="0" collapsed="false">
      <c r="A114" s="10"/>
      <c r="B114" s="10"/>
      <c r="C114" s="14"/>
      <c r="D114" s="14"/>
      <c r="E114" s="14"/>
      <c r="F114" s="10"/>
      <c r="G114" s="40"/>
      <c r="H114" s="43"/>
      <c r="I114" s="10"/>
      <c r="J114" s="71" t="str">
        <f aca="false">IF(OR(G114="",H114="",H114=0),"",G114/H114)</f>
        <v/>
      </c>
      <c r="K114" s="72"/>
      <c r="L114" s="71" t="str">
        <f aca="false">IF(J114="","",J114/IF(OR(K114="",K114=0),1,K114))</f>
        <v/>
      </c>
      <c r="M114" s="10"/>
      <c r="N114" s="73"/>
      <c r="O114" s="40"/>
      <c r="P114" s="27" t="str">
        <f aca="false">IF(OR(O114="",O114=0,G114=""),"",G114/O114-1)</f>
        <v/>
      </c>
    </row>
    <row r="115" customFormat="false" ht="15" hidden="false" customHeight="false" outlineLevel="0" collapsed="false">
      <c r="A115" s="10"/>
      <c r="B115" s="10"/>
      <c r="C115" s="14"/>
      <c r="D115" s="14"/>
      <c r="E115" s="14"/>
      <c r="F115" s="10"/>
      <c r="G115" s="40"/>
      <c r="H115" s="43"/>
      <c r="I115" s="10"/>
      <c r="J115" s="71" t="str">
        <f aca="false">IF(OR(G115="",H115="",H115=0),"",G115/H115)</f>
        <v/>
      </c>
      <c r="K115" s="72"/>
      <c r="L115" s="71" t="str">
        <f aca="false">IF(J115="","",J115/IF(OR(K115="",K115=0),1,K115))</f>
        <v/>
      </c>
      <c r="M115" s="10"/>
      <c r="N115" s="73"/>
      <c r="O115" s="40"/>
      <c r="P115" s="27" t="str">
        <f aca="false">IF(OR(O115="",O115=0,G115=""),"",G115/O115-1)</f>
        <v/>
      </c>
    </row>
    <row r="116" customFormat="false" ht="15" hidden="false" customHeight="false" outlineLevel="0" collapsed="false">
      <c r="A116" s="10"/>
      <c r="B116" s="10"/>
      <c r="C116" s="14"/>
      <c r="D116" s="14"/>
      <c r="E116" s="14"/>
      <c r="F116" s="10"/>
      <c r="G116" s="40"/>
      <c r="H116" s="43"/>
      <c r="I116" s="10"/>
      <c r="J116" s="71" t="str">
        <f aca="false">IF(OR(G116="",H116="",H116=0),"",G116/H116)</f>
        <v/>
      </c>
      <c r="K116" s="72"/>
      <c r="L116" s="71" t="str">
        <f aca="false">IF(J116="","",J116/IF(OR(K116="",K116=0),1,K116))</f>
        <v/>
      </c>
      <c r="M116" s="10"/>
      <c r="N116" s="73"/>
      <c r="O116" s="40"/>
      <c r="P116" s="27" t="str">
        <f aca="false">IF(OR(O116="",O116=0,G116=""),"",G116/O116-1)</f>
        <v/>
      </c>
    </row>
    <row r="117" customFormat="false" ht="15" hidden="false" customHeight="false" outlineLevel="0" collapsed="false">
      <c r="A117" s="10"/>
      <c r="B117" s="10"/>
      <c r="C117" s="14"/>
      <c r="D117" s="14"/>
      <c r="E117" s="14"/>
      <c r="F117" s="10"/>
      <c r="G117" s="40"/>
      <c r="H117" s="43"/>
      <c r="I117" s="10"/>
      <c r="J117" s="71" t="str">
        <f aca="false">IF(OR(G117="",H117="",H117=0),"",G117/H117)</f>
        <v/>
      </c>
      <c r="K117" s="72"/>
      <c r="L117" s="71" t="str">
        <f aca="false">IF(J117="","",J117/IF(OR(K117="",K117=0),1,K117))</f>
        <v/>
      </c>
      <c r="M117" s="10"/>
      <c r="N117" s="73"/>
      <c r="O117" s="40"/>
      <c r="P117" s="27" t="str">
        <f aca="false">IF(OR(O117="",O117=0,G117=""),"",G117/O117-1)</f>
        <v/>
      </c>
    </row>
    <row r="118" customFormat="false" ht="15" hidden="false" customHeight="false" outlineLevel="0" collapsed="false">
      <c r="A118" s="10"/>
      <c r="B118" s="10"/>
      <c r="C118" s="14"/>
      <c r="D118" s="14"/>
      <c r="E118" s="14"/>
      <c r="F118" s="10"/>
      <c r="G118" s="40"/>
      <c r="H118" s="43"/>
      <c r="I118" s="10"/>
      <c r="J118" s="71" t="str">
        <f aca="false">IF(OR(G118="",H118="",H118=0),"",G118/H118)</f>
        <v/>
      </c>
      <c r="K118" s="72"/>
      <c r="L118" s="71" t="str">
        <f aca="false">IF(J118="","",J118/IF(OR(K118="",K118=0),1,K118))</f>
        <v/>
      </c>
      <c r="M118" s="10"/>
      <c r="N118" s="73"/>
      <c r="O118" s="40"/>
      <c r="P118" s="27" t="str">
        <f aca="false">IF(OR(O118="",O118=0,G118=""),"",G118/O118-1)</f>
        <v/>
      </c>
    </row>
    <row r="119" customFormat="false" ht="15" hidden="false" customHeight="false" outlineLevel="0" collapsed="false">
      <c r="A119" s="10"/>
      <c r="B119" s="10"/>
      <c r="C119" s="14"/>
      <c r="D119" s="14"/>
      <c r="E119" s="14"/>
      <c r="F119" s="10"/>
      <c r="G119" s="40"/>
      <c r="H119" s="43"/>
      <c r="I119" s="10"/>
      <c r="J119" s="71" t="str">
        <f aca="false">IF(OR(G119="",H119="",H119=0),"",G119/H119)</f>
        <v/>
      </c>
      <c r="K119" s="72"/>
      <c r="L119" s="71" t="str">
        <f aca="false">IF(J119="","",J119/IF(OR(K119="",K119=0),1,K119))</f>
        <v/>
      </c>
      <c r="M119" s="10"/>
      <c r="N119" s="73"/>
      <c r="O119" s="40"/>
      <c r="P119" s="27" t="str">
        <f aca="false">IF(OR(O119="",O119=0,G119=""),"",G119/O119-1)</f>
        <v/>
      </c>
    </row>
    <row r="120" customFormat="false" ht="15" hidden="false" customHeight="false" outlineLevel="0" collapsed="false">
      <c r="A120" s="10"/>
      <c r="B120" s="10"/>
      <c r="C120" s="14"/>
      <c r="D120" s="14"/>
      <c r="E120" s="14"/>
      <c r="F120" s="10"/>
      <c r="G120" s="40"/>
      <c r="H120" s="43"/>
      <c r="I120" s="10"/>
      <c r="J120" s="71" t="str">
        <f aca="false">IF(OR(G120="",H120="",H120=0),"",G120/H120)</f>
        <v/>
      </c>
      <c r="K120" s="72"/>
      <c r="L120" s="71" t="str">
        <f aca="false">IF(J120="","",J120/IF(OR(K120="",K120=0),1,K120))</f>
        <v/>
      </c>
      <c r="M120" s="10"/>
      <c r="N120" s="73"/>
      <c r="O120" s="40"/>
      <c r="P120" s="27" t="str">
        <f aca="false">IF(OR(O120="",O120=0,G120=""),"",G120/O120-1)</f>
        <v/>
      </c>
    </row>
    <row r="121" customFormat="false" ht="15" hidden="false" customHeight="false" outlineLevel="0" collapsed="false">
      <c r="A121" s="10"/>
      <c r="B121" s="10"/>
      <c r="C121" s="14"/>
      <c r="D121" s="14"/>
      <c r="E121" s="14"/>
      <c r="F121" s="10"/>
      <c r="G121" s="40"/>
      <c r="H121" s="43"/>
      <c r="I121" s="10"/>
      <c r="J121" s="71" t="str">
        <f aca="false">IF(OR(G121="",H121="",H121=0),"",G121/H121)</f>
        <v/>
      </c>
      <c r="K121" s="72"/>
      <c r="L121" s="71" t="str">
        <f aca="false">IF(J121="","",J121/IF(OR(K121="",K121=0),1,K121))</f>
        <v/>
      </c>
      <c r="M121" s="10"/>
      <c r="N121" s="73"/>
      <c r="O121" s="40"/>
      <c r="P121" s="27" t="str">
        <f aca="false">IF(OR(O121="",O121=0,G121=""),"",G121/O121-1)</f>
        <v/>
      </c>
    </row>
    <row r="122" customFormat="false" ht="15" hidden="false" customHeight="false" outlineLevel="0" collapsed="false">
      <c r="A122" s="10"/>
      <c r="B122" s="10"/>
      <c r="C122" s="14"/>
      <c r="D122" s="14"/>
      <c r="E122" s="14"/>
      <c r="F122" s="10"/>
      <c r="G122" s="40"/>
      <c r="H122" s="43"/>
      <c r="I122" s="10"/>
      <c r="J122" s="71" t="str">
        <f aca="false">IF(OR(G122="",H122="",H122=0),"",G122/H122)</f>
        <v/>
      </c>
      <c r="K122" s="72"/>
      <c r="L122" s="71" t="str">
        <f aca="false">IF(J122="","",J122/IF(OR(K122="",K122=0),1,K122))</f>
        <v/>
      </c>
      <c r="M122" s="10"/>
      <c r="N122" s="73"/>
      <c r="O122" s="40"/>
      <c r="P122" s="27" t="str">
        <f aca="false">IF(OR(O122="",O122=0,G122=""),"",G122/O122-1)</f>
        <v/>
      </c>
    </row>
    <row r="123" customFormat="false" ht="15" hidden="false" customHeight="false" outlineLevel="0" collapsed="false">
      <c r="A123" s="10"/>
      <c r="B123" s="10"/>
      <c r="C123" s="14"/>
      <c r="D123" s="14"/>
      <c r="E123" s="14"/>
      <c r="F123" s="10"/>
      <c r="G123" s="40"/>
      <c r="H123" s="43"/>
      <c r="I123" s="10"/>
      <c r="J123" s="71" t="str">
        <f aca="false">IF(OR(G123="",H123="",H123=0),"",G123/H123)</f>
        <v/>
      </c>
      <c r="K123" s="72"/>
      <c r="L123" s="71" t="str">
        <f aca="false">IF(J123="","",J123/IF(OR(K123="",K123=0),1,K123))</f>
        <v/>
      </c>
      <c r="M123" s="10"/>
      <c r="N123" s="73"/>
      <c r="O123" s="40"/>
      <c r="P123" s="27" t="str">
        <f aca="false">IF(OR(O123="",O123=0,G123=""),"",G123/O123-1)</f>
        <v/>
      </c>
    </row>
    <row r="124" customFormat="false" ht="15" hidden="false" customHeight="false" outlineLevel="0" collapsed="false">
      <c r="A124" s="10"/>
      <c r="B124" s="10"/>
      <c r="C124" s="14"/>
      <c r="D124" s="14"/>
      <c r="E124" s="14"/>
      <c r="F124" s="10"/>
      <c r="G124" s="40"/>
      <c r="H124" s="43"/>
      <c r="I124" s="10"/>
      <c r="J124" s="71" t="str">
        <f aca="false">IF(OR(G124="",H124="",H124=0),"",G124/H124)</f>
        <v/>
      </c>
      <c r="K124" s="72"/>
      <c r="L124" s="71" t="str">
        <f aca="false">IF(J124="","",J124/IF(OR(K124="",K124=0),1,K124))</f>
        <v/>
      </c>
      <c r="M124" s="10"/>
      <c r="N124" s="73"/>
      <c r="O124" s="40"/>
      <c r="P124" s="27" t="str">
        <f aca="false">IF(OR(O124="",O124=0,G124=""),"",G124/O124-1)</f>
        <v/>
      </c>
    </row>
    <row r="125" customFormat="false" ht="15" hidden="false" customHeight="false" outlineLevel="0" collapsed="false">
      <c r="A125" s="10"/>
      <c r="B125" s="10"/>
      <c r="C125" s="14"/>
      <c r="D125" s="14"/>
      <c r="E125" s="14"/>
      <c r="F125" s="10"/>
      <c r="G125" s="40"/>
      <c r="H125" s="43"/>
      <c r="I125" s="10"/>
      <c r="J125" s="71" t="str">
        <f aca="false">IF(OR(G125="",H125="",H125=0),"",G125/H125)</f>
        <v/>
      </c>
      <c r="K125" s="72"/>
      <c r="L125" s="71" t="str">
        <f aca="false">IF(J125="","",J125/IF(OR(K125="",K125=0),1,K125))</f>
        <v/>
      </c>
      <c r="M125" s="10"/>
      <c r="N125" s="73"/>
      <c r="O125" s="40"/>
      <c r="P125" s="27" t="str">
        <f aca="false">IF(OR(O125="",O125=0,G125=""),"",G125/O125-1)</f>
        <v/>
      </c>
    </row>
    <row r="126" customFormat="false" ht="15" hidden="false" customHeight="false" outlineLevel="0" collapsed="false">
      <c r="A126" s="10"/>
      <c r="B126" s="10"/>
      <c r="C126" s="14"/>
      <c r="D126" s="14"/>
      <c r="E126" s="14"/>
      <c r="F126" s="10"/>
      <c r="G126" s="40"/>
      <c r="H126" s="43"/>
      <c r="I126" s="10"/>
      <c r="J126" s="71" t="str">
        <f aca="false">IF(OR(G126="",H126="",H126=0),"",G126/H126)</f>
        <v/>
      </c>
      <c r="K126" s="72"/>
      <c r="L126" s="71" t="str">
        <f aca="false">IF(J126="","",J126/IF(OR(K126="",K126=0),1,K126))</f>
        <v/>
      </c>
      <c r="M126" s="10"/>
      <c r="N126" s="73"/>
      <c r="O126" s="40"/>
      <c r="P126" s="27" t="str">
        <f aca="false">IF(OR(O126="",O126=0,G126=""),"",G126/O126-1)</f>
        <v/>
      </c>
    </row>
    <row r="127" customFormat="false" ht="15" hidden="false" customHeight="false" outlineLevel="0" collapsed="false">
      <c r="A127" s="10"/>
      <c r="B127" s="10"/>
      <c r="C127" s="14"/>
      <c r="D127" s="14"/>
      <c r="E127" s="14"/>
      <c r="F127" s="10"/>
      <c r="G127" s="40"/>
      <c r="H127" s="43"/>
      <c r="I127" s="10"/>
      <c r="J127" s="71" t="str">
        <f aca="false">IF(OR(G127="",H127="",H127=0),"",G127/H127)</f>
        <v/>
      </c>
      <c r="K127" s="72"/>
      <c r="L127" s="71" t="str">
        <f aca="false">IF(J127="","",J127/IF(OR(K127="",K127=0),1,K127))</f>
        <v/>
      </c>
      <c r="M127" s="10"/>
      <c r="N127" s="73"/>
      <c r="O127" s="40"/>
      <c r="P127" s="27" t="str">
        <f aca="false">IF(OR(O127="",O127=0,G127=""),"",G127/O127-1)</f>
        <v/>
      </c>
    </row>
    <row r="128" customFormat="false" ht="15" hidden="false" customHeight="false" outlineLevel="0" collapsed="false">
      <c r="A128" s="10"/>
      <c r="B128" s="10"/>
      <c r="C128" s="14"/>
      <c r="D128" s="14"/>
      <c r="E128" s="14"/>
      <c r="F128" s="10"/>
      <c r="G128" s="40"/>
      <c r="H128" s="43"/>
      <c r="I128" s="10"/>
      <c r="J128" s="71" t="str">
        <f aca="false">IF(OR(G128="",H128="",H128=0),"",G128/H128)</f>
        <v/>
      </c>
      <c r="K128" s="72"/>
      <c r="L128" s="71" t="str">
        <f aca="false">IF(J128="","",J128/IF(OR(K128="",K128=0),1,K128))</f>
        <v/>
      </c>
      <c r="M128" s="10"/>
      <c r="N128" s="73"/>
      <c r="O128" s="40"/>
      <c r="P128" s="27" t="str">
        <f aca="false">IF(OR(O128="",O128=0,G128=""),"",G128/O128-1)</f>
        <v/>
      </c>
    </row>
    <row r="129" customFormat="false" ht="15" hidden="false" customHeight="false" outlineLevel="0" collapsed="false">
      <c r="A129" s="10"/>
      <c r="B129" s="10"/>
      <c r="C129" s="14"/>
      <c r="D129" s="14"/>
      <c r="E129" s="14"/>
      <c r="F129" s="10"/>
      <c r="G129" s="40"/>
      <c r="H129" s="43"/>
      <c r="I129" s="10"/>
      <c r="J129" s="71" t="str">
        <f aca="false">IF(OR(G129="",H129="",H129=0),"",G129/H129)</f>
        <v/>
      </c>
      <c r="K129" s="72"/>
      <c r="L129" s="71" t="str">
        <f aca="false">IF(J129="","",J129/IF(OR(K129="",K129=0),1,K129))</f>
        <v/>
      </c>
      <c r="M129" s="10"/>
      <c r="N129" s="73"/>
      <c r="O129" s="40"/>
      <c r="P129" s="27" t="str">
        <f aca="false">IF(OR(O129="",O129=0,G129=""),"",G129/O129-1)</f>
        <v/>
      </c>
    </row>
    <row r="130" customFormat="false" ht="15" hidden="false" customHeight="false" outlineLevel="0" collapsed="false">
      <c r="A130" s="10"/>
      <c r="B130" s="10"/>
      <c r="C130" s="14"/>
      <c r="D130" s="14"/>
      <c r="E130" s="14"/>
      <c r="F130" s="10"/>
      <c r="G130" s="40"/>
      <c r="H130" s="43"/>
      <c r="I130" s="10"/>
      <c r="J130" s="71" t="str">
        <f aca="false">IF(OR(G130="",H130="",H130=0),"",G130/H130)</f>
        <v/>
      </c>
      <c r="K130" s="72"/>
      <c r="L130" s="71" t="str">
        <f aca="false">IF(J130="","",J130/IF(OR(K130="",K130=0),1,K130))</f>
        <v/>
      </c>
      <c r="M130" s="10"/>
      <c r="N130" s="73"/>
      <c r="O130" s="40"/>
      <c r="P130" s="27" t="str">
        <f aca="false">IF(OR(O130="",O130=0,G130=""),"",G130/O130-1)</f>
        <v/>
      </c>
    </row>
    <row r="131" customFormat="false" ht="15" hidden="false" customHeight="false" outlineLevel="0" collapsed="false">
      <c r="A131" s="10"/>
      <c r="B131" s="10"/>
      <c r="C131" s="14"/>
      <c r="D131" s="14"/>
      <c r="E131" s="14"/>
      <c r="F131" s="10"/>
      <c r="G131" s="40"/>
      <c r="H131" s="43"/>
      <c r="I131" s="10"/>
      <c r="J131" s="71" t="str">
        <f aca="false">IF(OR(G131="",H131="",H131=0),"",G131/H131)</f>
        <v/>
      </c>
      <c r="K131" s="72"/>
      <c r="L131" s="71" t="str">
        <f aca="false">IF(J131="","",J131/IF(OR(K131="",K131=0),1,K131))</f>
        <v/>
      </c>
      <c r="M131" s="10"/>
      <c r="N131" s="73"/>
      <c r="O131" s="40"/>
      <c r="P131" s="27" t="str">
        <f aca="false">IF(OR(O131="",O131=0,G131=""),"",G131/O131-1)</f>
        <v/>
      </c>
    </row>
    <row r="132" customFormat="false" ht="15" hidden="false" customHeight="false" outlineLevel="0" collapsed="false">
      <c r="A132" s="10"/>
      <c r="B132" s="10"/>
      <c r="C132" s="14"/>
      <c r="D132" s="14"/>
      <c r="E132" s="14"/>
      <c r="F132" s="10"/>
      <c r="G132" s="40"/>
      <c r="H132" s="43"/>
      <c r="I132" s="10"/>
      <c r="J132" s="71" t="str">
        <f aca="false">IF(OR(G132="",H132="",H132=0),"",G132/H132)</f>
        <v/>
      </c>
      <c r="K132" s="72"/>
      <c r="L132" s="71" t="str">
        <f aca="false">IF(J132="","",J132/IF(OR(K132="",K132=0),1,K132))</f>
        <v/>
      </c>
      <c r="M132" s="10"/>
      <c r="N132" s="73"/>
      <c r="O132" s="40"/>
      <c r="P132" s="27" t="str">
        <f aca="false">IF(OR(O132="",O132=0,G132=""),"",G132/O132-1)</f>
        <v/>
      </c>
    </row>
    <row r="133" customFormat="false" ht="15" hidden="false" customHeight="false" outlineLevel="0" collapsed="false">
      <c r="A133" s="10"/>
      <c r="B133" s="10"/>
      <c r="C133" s="14"/>
      <c r="D133" s="14"/>
      <c r="E133" s="14"/>
      <c r="F133" s="10"/>
      <c r="G133" s="40"/>
      <c r="H133" s="43"/>
      <c r="I133" s="10"/>
      <c r="J133" s="71" t="str">
        <f aca="false">IF(OR(G133="",H133="",H133=0),"",G133/H133)</f>
        <v/>
      </c>
      <c r="K133" s="72"/>
      <c r="L133" s="71" t="str">
        <f aca="false">IF(J133="","",J133/IF(OR(K133="",K133=0),1,K133))</f>
        <v/>
      </c>
      <c r="M133" s="10"/>
      <c r="N133" s="73"/>
      <c r="O133" s="40"/>
      <c r="P133" s="27" t="str">
        <f aca="false">IF(OR(O133="",O133=0,G133=""),"",G133/O133-1)</f>
        <v/>
      </c>
    </row>
    <row r="134" customFormat="false" ht="15" hidden="false" customHeight="false" outlineLevel="0" collapsed="false">
      <c r="A134" s="10"/>
      <c r="B134" s="10"/>
      <c r="C134" s="14"/>
      <c r="D134" s="14"/>
      <c r="E134" s="14"/>
      <c r="F134" s="10"/>
      <c r="G134" s="40"/>
      <c r="H134" s="43"/>
      <c r="I134" s="10"/>
      <c r="J134" s="71" t="str">
        <f aca="false">IF(OR(G134="",H134="",H134=0),"",G134/H134)</f>
        <v/>
      </c>
      <c r="K134" s="72"/>
      <c r="L134" s="71" t="str">
        <f aca="false">IF(J134="","",J134/IF(OR(K134="",K134=0),1,K134))</f>
        <v/>
      </c>
      <c r="M134" s="10"/>
      <c r="N134" s="73"/>
      <c r="O134" s="40"/>
      <c r="P134" s="27" t="str">
        <f aca="false">IF(OR(O134="",O134=0,G134=""),"",G134/O134-1)</f>
        <v/>
      </c>
    </row>
    <row r="135" customFormat="false" ht="15" hidden="false" customHeight="false" outlineLevel="0" collapsed="false">
      <c r="A135" s="10"/>
      <c r="B135" s="10"/>
      <c r="C135" s="14"/>
      <c r="D135" s="14"/>
      <c r="E135" s="14"/>
      <c r="F135" s="10"/>
      <c r="G135" s="40"/>
      <c r="H135" s="43"/>
      <c r="I135" s="10"/>
      <c r="J135" s="71" t="str">
        <f aca="false">IF(OR(G135="",H135="",H135=0),"",G135/H135)</f>
        <v/>
      </c>
      <c r="K135" s="72"/>
      <c r="L135" s="71" t="str">
        <f aca="false">IF(J135="","",J135/IF(OR(K135="",K135=0),1,K135))</f>
        <v/>
      </c>
      <c r="M135" s="10"/>
      <c r="N135" s="73"/>
      <c r="O135" s="40"/>
      <c r="P135" s="27" t="str">
        <f aca="false">IF(OR(O135="",O135=0,G135=""),"",G135/O135-1)</f>
        <v/>
      </c>
    </row>
    <row r="136" customFormat="false" ht="15" hidden="false" customHeight="false" outlineLevel="0" collapsed="false">
      <c r="A136" s="10"/>
      <c r="B136" s="10"/>
      <c r="C136" s="14"/>
      <c r="D136" s="14"/>
      <c r="E136" s="14"/>
      <c r="F136" s="10"/>
      <c r="G136" s="40"/>
      <c r="H136" s="43"/>
      <c r="I136" s="10"/>
      <c r="J136" s="71" t="str">
        <f aca="false">IF(OR(G136="",H136="",H136=0),"",G136/H136)</f>
        <v/>
      </c>
      <c r="K136" s="72"/>
      <c r="L136" s="71" t="str">
        <f aca="false">IF(J136="","",J136/IF(OR(K136="",K136=0),1,K136))</f>
        <v/>
      </c>
      <c r="M136" s="10"/>
      <c r="N136" s="73"/>
      <c r="O136" s="40"/>
      <c r="P136" s="27" t="str">
        <f aca="false">IF(OR(O136="",O136=0,G136=""),"",G136/O136-1)</f>
        <v/>
      </c>
    </row>
    <row r="137" customFormat="false" ht="15" hidden="false" customHeight="false" outlineLevel="0" collapsed="false">
      <c r="A137" s="10"/>
      <c r="B137" s="10"/>
      <c r="C137" s="14"/>
      <c r="D137" s="14"/>
      <c r="E137" s="14"/>
      <c r="F137" s="10"/>
      <c r="G137" s="40"/>
      <c r="H137" s="43"/>
      <c r="I137" s="10"/>
      <c r="J137" s="71" t="str">
        <f aca="false">IF(OR(G137="",H137="",H137=0),"",G137/H137)</f>
        <v/>
      </c>
      <c r="K137" s="72"/>
      <c r="L137" s="71" t="str">
        <f aca="false">IF(J137="","",J137/IF(OR(K137="",K137=0),1,K137))</f>
        <v/>
      </c>
      <c r="M137" s="10"/>
      <c r="N137" s="73"/>
      <c r="O137" s="40"/>
      <c r="P137" s="27" t="str">
        <f aca="false">IF(OR(O137="",O137=0,G137=""),"",G137/O137-1)</f>
        <v/>
      </c>
    </row>
    <row r="138" customFormat="false" ht="15" hidden="false" customHeight="false" outlineLevel="0" collapsed="false">
      <c r="A138" s="10"/>
      <c r="B138" s="10"/>
      <c r="C138" s="14"/>
      <c r="D138" s="14"/>
      <c r="E138" s="14"/>
      <c r="F138" s="10"/>
      <c r="G138" s="40"/>
      <c r="H138" s="43"/>
      <c r="I138" s="10"/>
      <c r="J138" s="71" t="str">
        <f aca="false">IF(OR(G138="",H138="",H138=0),"",G138/H138)</f>
        <v/>
      </c>
      <c r="K138" s="72"/>
      <c r="L138" s="71" t="str">
        <f aca="false">IF(J138="","",J138/IF(OR(K138="",K138=0),1,K138))</f>
        <v/>
      </c>
      <c r="M138" s="10"/>
      <c r="N138" s="73"/>
      <c r="O138" s="40"/>
      <c r="P138" s="27" t="str">
        <f aca="false">IF(OR(O138="",O138=0,G138=""),"",G138/O138-1)</f>
        <v/>
      </c>
    </row>
    <row r="139" customFormat="false" ht="15" hidden="false" customHeight="false" outlineLevel="0" collapsed="false">
      <c r="A139" s="10"/>
      <c r="B139" s="10"/>
      <c r="C139" s="14"/>
      <c r="D139" s="14"/>
      <c r="E139" s="14"/>
      <c r="F139" s="10"/>
      <c r="G139" s="40"/>
      <c r="H139" s="43"/>
      <c r="I139" s="10"/>
      <c r="J139" s="71" t="str">
        <f aca="false">IF(OR(G139="",H139="",H139=0),"",G139/H139)</f>
        <v/>
      </c>
      <c r="K139" s="72"/>
      <c r="L139" s="71" t="str">
        <f aca="false">IF(J139="","",J139/IF(OR(K139="",K139=0),1,K139))</f>
        <v/>
      </c>
      <c r="M139" s="10"/>
      <c r="N139" s="73"/>
      <c r="O139" s="40"/>
      <c r="P139" s="27" t="str">
        <f aca="false">IF(OR(O139="",O139=0,G139=""),"",G139/O139-1)</f>
        <v/>
      </c>
    </row>
    <row r="140" customFormat="false" ht="15" hidden="false" customHeight="false" outlineLevel="0" collapsed="false">
      <c r="A140" s="10"/>
      <c r="B140" s="10"/>
      <c r="C140" s="14"/>
      <c r="D140" s="14"/>
      <c r="E140" s="14"/>
      <c r="F140" s="10"/>
      <c r="G140" s="40"/>
      <c r="H140" s="43"/>
      <c r="I140" s="10"/>
      <c r="J140" s="71" t="str">
        <f aca="false">IF(OR(G140="",H140="",H140=0),"",G140/H140)</f>
        <v/>
      </c>
      <c r="K140" s="72"/>
      <c r="L140" s="71" t="str">
        <f aca="false">IF(J140="","",J140/IF(OR(K140="",K140=0),1,K140))</f>
        <v/>
      </c>
      <c r="M140" s="10"/>
      <c r="N140" s="73"/>
      <c r="O140" s="40"/>
      <c r="P140" s="27" t="str">
        <f aca="false">IF(OR(O140="",O140=0,G140=""),"",G140/O140-1)</f>
        <v/>
      </c>
    </row>
    <row r="141" customFormat="false" ht="15" hidden="false" customHeight="false" outlineLevel="0" collapsed="false">
      <c r="A141" s="10"/>
      <c r="B141" s="10"/>
      <c r="C141" s="14"/>
      <c r="D141" s="14"/>
      <c r="E141" s="14"/>
      <c r="F141" s="10"/>
      <c r="G141" s="40"/>
      <c r="H141" s="43"/>
      <c r="I141" s="10"/>
      <c r="J141" s="71" t="str">
        <f aca="false">IF(OR(G141="",H141="",H141=0),"",G141/H141)</f>
        <v/>
      </c>
      <c r="K141" s="72"/>
      <c r="L141" s="71" t="str">
        <f aca="false">IF(J141="","",J141/IF(OR(K141="",K141=0),1,K141))</f>
        <v/>
      </c>
      <c r="M141" s="10"/>
      <c r="N141" s="73"/>
      <c r="O141" s="40"/>
      <c r="P141" s="27" t="str">
        <f aca="false">IF(OR(O141="",O141=0,G141=""),"",G141/O141-1)</f>
        <v/>
      </c>
    </row>
    <row r="142" customFormat="false" ht="15" hidden="false" customHeight="false" outlineLevel="0" collapsed="false">
      <c r="A142" s="10"/>
      <c r="B142" s="10"/>
      <c r="C142" s="14"/>
      <c r="D142" s="14"/>
      <c r="E142" s="14"/>
      <c r="F142" s="10"/>
      <c r="G142" s="40"/>
      <c r="H142" s="43"/>
      <c r="I142" s="10"/>
      <c r="J142" s="71" t="str">
        <f aca="false">IF(OR(G142="",H142="",H142=0),"",G142/H142)</f>
        <v/>
      </c>
      <c r="K142" s="72"/>
      <c r="L142" s="71" t="str">
        <f aca="false">IF(J142="","",J142/IF(OR(K142="",K142=0),1,K142))</f>
        <v/>
      </c>
      <c r="M142" s="10"/>
      <c r="N142" s="73"/>
      <c r="O142" s="40"/>
      <c r="P142" s="27" t="str">
        <f aca="false">IF(OR(O142="",O142=0,G142=""),"",G142/O142-1)</f>
        <v/>
      </c>
    </row>
    <row r="143" customFormat="false" ht="15" hidden="false" customHeight="false" outlineLevel="0" collapsed="false">
      <c r="A143" s="10"/>
      <c r="B143" s="10"/>
      <c r="C143" s="14"/>
      <c r="D143" s="14"/>
      <c r="E143" s="14"/>
      <c r="F143" s="10"/>
      <c r="G143" s="40"/>
      <c r="H143" s="43"/>
      <c r="I143" s="10"/>
      <c r="J143" s="71" t="str">
        <f aca="false">IF(OR(G143="",H143="",H143=0),"",G143/H143)</f>
        <v/>
      </c>
      <c r="K143" s="72"/>
      <c r="L143" s="71" t="str">
        <f aca="false">IF(J143="","",J143/IF(OR(K143="",K143=0),1,K143))</f>
        <v/>
      </c>
      <c r="M143" s="10"/>
      <c r="N143" s="73"/>
      <c r="O143" s="40"/>
      <c r="P143" s="27" t="str">
        <f aca="false">IF(OR(O143="",O143=0,G143=""),"",G143/O143-1)</f>
        <v/>
      </c>
    </row>
    <row r="144" customFormat="false" ht="15" hidden="false" customHeight="false" outlineLevel="0" collapsed="false">
      <c r="A144" s="10"/>
      <c r="B144" s="10"/>
      <c r="C144" s="14"/>
      <c r="D144" s="14"/>
      <c r="E144" s="14"/>
      <c r="F144" s="10"/>
      <c r="G144" s="40"/>
      <c r="H144" s="43"/>
      <c r="I144" s="10"/>
      <c r="J144" s="71" t="str">
        <f aca="false">IF(OR(G144="",H144="",H144=0),"",G144/H144)</f>
        <v/>
      </c>
      <c r="K144" s="72"/>
      <c r="L144" s="71" t="str">
        <f aca="false">IF(J144="","",J144/IF(OR(K144="",K144=0),1,K144))</f>
        <v/>
      </c>
      <c r="M144" s="10"/>
      <c r="N144" s="73"/>
      <c r="O144" s="40"/>
      <c r="P144" s="27" t="str">
        <f aca="false">IF(OR(O144="",O144=0,G144=""),"",G144/O144-1)</f>
        <v/>
      </c>
    </row>
    <row r="145" customFormat="false" ht="15" hidden="false" customHeight="false" outlineLevel="0" collapsed="false">
      <c r="A145" s="10"/>
      <c r="B145" s="10"/>
      <c r="C145" s="14"/>
      <c r="D145" s="14"/>
      <c r="E145" s="14"/>
      <c r="F145" s="10"/>
      <c r="G145" s="40"/>
      <c r="H145" s="43"/>
      <c r="I145" s="10"/>
      <c r="J145" s="71" t="str">
        <f aca="false">IF(OR(G145="",H145="",H145=0),"",G145/H145)</f>
        <v/>
      </c>
      <c r="K145" s="72"/>
      <c r="L145" s="71" t="str">
        <f aca="false">IF(J145="","",J145/IF(OR(K145="",K145=0),1,K145))</f>
        <v/>
      </c>
      <c r="M145" s="10"/>
      <c r="N145" s="73"/>
      <c r="O145" s="40"/>
      <c r="P145" s="27" t="str">
        <f aca="false">IF(OR(O145="",O145=0,G145=""),"",G145/O145-1)</f>
        <v/>
      </c>
    </row>
    <row r="146" customFormat="false" ht="15" hidden="false" customHeight="false" outlineLevel="0" collapsed="false">
      <c r="A146" s="10"/>
      <c r="B146" s="10"/>
      <c r="C146" s="14"/>
      <c r="D146" s="14"/>
      <c r="E146" s="14"/>
      <c r="F146" s="10"/>
      <c r="G146" s="40"/>
      <c r="H146" s="43"/>
      <c r="I146" s="10"/>
      <c r="J146" s="71" t="str">
        <f aca="false">IF(OR(G146="",H146="",H146=0),"",G146/H146)</f>
        <v/>
      </c>
      <c r="K146" s="72"/>
      <c r="L146" s="71" t="str">
        <f aca="false">IF(J146="","",J146/IF(OR(K146="",K146=0),1,K146))</f>
        <v/>
      </c>
      <c r="M146" s="10"/>
      <c r="N146" s="73"/>
      <c r="O146" s="40"/>
      <c r="P146" s="27" t="str">
        <f aca="false">IF(OR(O146="",O146=0,G146=""),"",G146/O146-1)</f>
        <v/>
      </c>
    </row>
    <row r="147" customFormat="false" ht="15" hidden="false" customHeight="false" outlineLevel="0" collapsed="false">
      <c r="A147" s="10"/>
      <c r="B147" s="10"/>
      <c r="C147" s="14"/>
      <c r="D147" s="14"/>
      <c r="E147" s="14"/>
      <c r="F147" s="10"/>
      <c r="G147" s="40"/>
      <c r="H147" s="43"/>
      <c r="I147" s="10"/>
      <c r="J147" s="71" t="str">
        <f aca="false">IF(OR(G147="",H147="",H147=0),"",G147/H147)</f>
        <v/>
      </c>
      <c r="K147" s="72"/>
      <c r="L147" s="71" t="str">
        <f aca="false">IF(J147="","",J147/IF(OR(K147="",K147=0),1,K147))</f>
        <v/>
      </c>
      <c r="M147" s="10"/>
      <c r="N147" s="73"/>
      <c r="O147" s="40"/>
      <c r="P147" s="27" t="str">
        <f aca="false">IF(OR(O147="",O147=0,G147=""),"",G147/O147-1)</f>
        <v/>
      </c>
    </row>
    <row r="148" customFormat="false" ht="15" hidden="false" customHeight="false" outlineLevel="0" collapsed="false">
      <c r="A148" s="10"/>
      <c r="B148" s="10"/>
      <c r="C148" s="14"/>
      <c r="D148" s="14"/>
      <c r="E148" s="14"/>
      <c r="F148" s="10"/>
      <c r="G148" s="40"/>
      <c r="H148" s="43"/>
      <c r="I148" s="10"/>
      <c r="J148" s="71" t="str">
        <f aca="false">IF(OR(G148="",H148="",H148=0),"",G148/H148)</f>
        <v/>
      </c>
      <c r="K148" s="72"/>
      <c r="L148" s="71" t="str">
        <f aca="false">IF(J148="","",J148/IF(OR(K148="",K148=0),1,K148))</f>
        <v/>
      </c>
      <c r="M148" s="10"/>
      <c r="N148" s="73"/>
      <c r="O148" s="40"/>
      <c r="P148" s="27" t="str">
        <f aca="false">IF(OR(O148="",O148=0,G148=""),"",G148/O148-1)</f>
        <v/>
      </c>
    </row>
    <row r="149" customFormat="false" ht="15" hidden="false" customHeight="false" outlineLevel="0" collapsed="false">
      <c r="A149" s="10"/>
      <c r="B149" s="10"/>
      <c r="C149" s="14"/>
      <c r="D149" s="14"/>
      <c r="E149" s="14"/>
      <c r="F149" s="10"/>
      <c r="G149" s="40"/>
      <c r="H149" s="43"/>
      <c r="I149" s="10"/>
      <c r="J149" s="71" t="str">
        <f aca="false">IF(OR(G149="",H149="",H149=0),"",G149/H149)</f>
        <v/>
      </c>
      <c r="K149" s="72"/>
      <c r="L149" s="71" t="str">
        <f aca="false">IF(J149="","",J149/IF(OR(K149="",K149=0),1,K149))</f>
        <v/>
      </c>
      <c r="M149" s="10"/>
      <c r="N149" s="73"/>
      <c r="O149" s="40"/>
      <c r="P149" s="27" t="str">
        <f aca="false">IF(OR(O149="",O149=0,G149=""),"",G149/O149-1)</f>
        <v/>
      </c>
    </row>
    <row r="150" customFormat="false" ht="15" hidden="false" customHeight="false" outlineLevel="0" collapsed="false">
      <c r="A150" s="10"/>
      <c r="B150" s="10"/>
      <c r="C150" s="14"/>
      <c r="D150" s="14"/>
      <c r="E150" s="14"/>
      <c r="F150" s="10"/>
      <c r="G150" s="40"/>
      <c r="H150" s="43"/>
      <c r="I150" s="10"/>
      <c r="J150" s="71" t="str">
        <f aca="false">IF(OR(G150="",H150="",H150=0),"",G150/H150)</f>
        <v/>
      </c>
      <c r="K150" s="72"/>
      <c r="L150" s="71" t="str">
        <f aca="false">IF(J150="","",J150/IF(OR(K150="",K150=0),1,K150))</f>
        <v/>
      </c>
      <c r="M150" s="10"/>
      <c r="N150" s="73"/>
      <c r="O150" s="40"/>
      <c r="P150" s="27" t="str">
        <f aca="false">IF(OR(O150="",O150=0,G150=""),"",G150/O150-1)</f>
        <v/>
      </c>
    </row>
    <row r="151" customFormat="false" ht="15" hidden="false" customHeight="false" outlineLevel="0" collapsed="false">
      <c r="A151" s="10"/>
      <c r="B151" s="10"/>
      <c r="C151" s="14"/>
      <c r="D151" s="14"/>
      <c r="E151" s="14"/>
      <c r="F151" s="10"/>
      <c r="G151" s="40"/>
      <c r="H151" s="43"/>
      <c r="I151" s="10"/>
      <c r="J151" s="71" t="str">
        <f aca="false">IF(OR(G151="",H151="",H151=0),"",G151/H151)</f>
        <v/>
      </c>
      <c r="K151" s="72"/>
      <c r="L151" s="71" t="str">
        <f aca="false">IF(J151="","",J151/IF(OR(K151="",K151=0),1,K151))</f>
        <v/>
      </c>
      <c r="M151" s="10"/>
      <c r="N151" s="73"/>
      <c r="O151" s="40"/>
      <c r="P151" s="27" t="str">
        <f aca="false">IF(OR(O151="",O151=0,G151=""),"",G151/O151-1)</f>
        <v/>
      </c>
    </row>
    <row r="152" customFormat="false" ht="15" hidden="false" customHeight="false" outlineLevel="0" collapsed="false">
      <c r="A152" s="10"/>
      <c r="B152" s="10"/>
      <c r="C152" s="14"/>
      <c r="D152" s="14"/>
      <c r="E152" s="14"/>
      <c r="F152" s="10"/>
      <c r="G152" s="40"/>
      <c r="H152" s="43"/>
      <c r="I152" s="10"/>
      <c r="J152" s="71" t="str">
        <f aca="false">IF(OR(G152="",H152="",H152=0),"",G152/H152)</f>
        <v/>
      </c>
      <c r="K152" s="72"/>
      <c r="L152" s="71" t="str">
        <f aca="false">IF(J152="","",J152/IF(OR(K152="",K152=0),1,K152))</f>
        <v/>
      </c>
      <c r="M152" s="10"/>
      <c r="N152" s="73"/>
      <c r="O152" s="40"/>
      <c r="P152" s="27" t="str">
        <f aca="false">IF(OR(O152="",O152=0,G152=""),"",G152/O152-1)</f>
        <v/>
      </c>
    </row>
    <row r="153" customFormat="false" ht="15" hidden="false" customHeight="false" outlineLevel="0" collapsed="false">
      <c r="A153" s="10"/>
      <c r="B153" s="10"/>
      <c r="C153" s="14"/>
      <c r="D153" s="14"/>
      <c r="E153" s="14"/>
      <c r="F153" s="10"/>
      <c r="G153" s="40"/>
      <c r="H153" s="43"/>
      <c r="I153" s="10"/>
      <c r="J153" s="71" t="str">
        <f aca="false">IF(OR(G153="",H153="",H153=0),"",G153/H153)</f>
        <v/>
      </c>
      <c r="K153" s="72"/>
      <c r="L153" s="71" t="str">
        <f aca="false">IF(J153="","",J153/IF(OR(K153="",K153=0),1,K153))</f>
        <v/>
      </c>
      <c r="M153" s="10"/>
      <c r="N153" s="73"/>
      <c r="O153" s="40"/>
      <c r="P153" s="27" t="str">
        <f aca="false">IF(OR(O153="",O153=0,G153=""),"",G153/O153-1)</f>
        <v/>
      </c>
    </row>
    <row r="154" customFormat="false" ht="15" hidden="false" customHeight="false" outlineLevel="0" collapsed="false">
      <c r="A154" s="10"/>
      <c r="B154" s="10"/>
      <c r="C154" s="14"/>
      <c r="D154" s="14"/>
      <c r="E154" s="14"/>
      <c r="F154" s="10"/>
      <c r="G154" s="40"/>
      <c r="H154" s="43"/>
      <c r="I154" s="10"/>
      <c r="J154" s="71" t="str">
        <f aca="false">IF(OR(G154="",H154="",H154=0),"",G154/H154)</f>
        <v/>
      </c>
      <c r="K154" s="72"/>
      <c r="L154" s="71" t="str">
        <f aca="false">IF(J154="","",J154/IF(OR(K154="",K154=0),1,K154))</f>
        <v/>
      </c>
      <c r="M154" s="10"/>
      <c r="N154" s="73"/>
      <c r="O154" s="40"/>
      <c r="P154" s="27" t="str">
        <f aca="false">IF(OR(O154="",O154=0,G154=""),"",G154/O154-1)</f>
        <v/>
      </c>
    </row>
    <row r="155" customFormat="false" ht="15" hidden="false" customHeight="false" outlineLevel="0" collapsed="false">
      <c r="A155" s="10"/>
      <c r="B155" s="10"/>
      <c r="C155" s="14"/>
      <c r="D155" s="14"/>
      <c r="E155" s="14"/>
      <c r="F155" s="10"/>
      <c r="G155" s="40"/>
      <c r="H155" s="43"/>
      <c r="I155" s="10"/>
      <c r="J155" s="71" t="str">
        <f aca="false">IF(OR(G155="",H155="",H155=0),"",G155/H155)</f>
        <v/>
      </c>
      <c r="K155" s="72"/>
      <c r="L155" s="71" t="str">
        <f aca="false">IF(J155="","",J155/IF(OR(K155="",K155=0),1,K155))</f>
        <v/>
      </c>
      <c r="M155" s="10"/>
      <c r="N155" s="73"/>
      <c r="O155" s="40"/>
      <c r="P155" s="27" t="str">
        <f aca="false">IF(OR(O155="",O155=0,G155=""),"",G155/O155-1)</f>
        <v/>
      </c>
    </row>
    <row r="156" customFormat="false" ht="15" hidden="false" customHeight="false" outlineLevel="0" collapsed="false">
      <c r="A156" s="10"/>
      <c r="B156" s="10"/>
      <c r="C156" s="14"/>
      <c r="D156" s="14"/>
      <c r="E156" s="14"/>
      <c r="F156" s="10"/>
      <c r="G156" s="40"/>
      <c r="H156" s="43"/>
      <c r="I156" s="10"/>
      <c r="J156" s="71" t="str">
        <f aca="false">IF(OR(G156="",H156="",H156=0),"",G156/H156)</f>
        <v/>
      </c>
      <c r="K156" s="72"/>
      <c r="L156" s="71" t="str">
        <f aca="false">IF(J156="","",J156/IF(OR(K156="",K156=0),1,K156))</f>
        <v/>
      </c>
      <c r="M156" s="10"/>
      <c r="N156" s="73"/>
      <c r="O156" s="40"/>
      <c r="P156" s="27" t="str">
        <f aca="false">IF(OR(O156="",O156=0,G156=""),"",G156/O156-1)</f>
        <v/>
      </c>
    </row>
    <row r="157" customFormat="false" ht="15" hidden="false" customHeight="false" outlineLevel="0" collapsed="false">
      <c r="A157" s="10"/>
      <c r="B157" s="10"/>
      <c r="C157" s="14"/>
      <c r="D157" s="14"/>
      <c r="E157" s="14"/>
      <c r="F157" s="10"/>
      <c r="G157" s="40"/>
      <c r="H157" s="43"/>
      <c r="I157" s="10"/>
      <c r="J157" s="71" t="str">
        <f aca="false">IF(OR(G157="",H157="",H157=0),"",G157/H157)</f>
        <v/>
      </c>
      <c r="K157" s="72"/>
      <c r="L157" s="71" t="str">
        <f aca="false">IF(J157="","",J157/IF(OR(K157="",K157=0),1,K157))</f>
        <v/>
      </c>
      <c r="M157" s="10"/>
      <c r="N157" s="73"/>
      <c r="O157" s="40"/>
      <c r="P157" s="27" t="str">
        <f aca="false">IF(OR(O157="",O157=0,G157=""),"",G157/O157-1)</f>
        <v/>
      </c>
    </row>
    <row r="158" customFormat="false" ht="15" hidden="false" customHeight="false" outlineLevel="0" collapsed="false">
      <c r="A158" s="10"/>
      <c r="B158" s="10"/>
      <c r="C158" s="14"/>
      <c r="D158" s="14"/>
      <c r="E158" s="14"/>
      <c r="F158" s="10"/>
      <c r="G158" s="40"/>
      <c r="H158" s="43"/>
      <c r="I158" s="10"/>
      <c r="J158" s="71" t="str">
        <f aca="false">IF(OR(G158="",H158="",H158=0),"",G158/H158)</f>
        <v/>
      </c>
      <c r="K158" s="72"/>
      <c r="L158" s="71" t="str">
        <f aca="false">IF(J158="","",J158/IF(OR(K158="",K158=0),1,K158))</f>
        <v/>
      </c>
      <c r="M158" s="10"/>
      <c r="N158" s="73"/>
      <c r="O158" s="40"/>
      <c r="P158" s="27" t="str">
        <f aca="false">IF(OR(O158="",O158=0,G158=""),"",G158/O158-1)</f>
        <v/>
      </c>
    </row>
    <row r="159" customFormat="false" ht="15" hidden="false" customHeight="false" outlineLevel="0" collapsed="false">
      <c r="A159" s="10"/>
      <c r="B159" s="10"/>
      <c r="C159" s="14"/>
      <c r="D159" s="14"/>
      <c r="E159" s="14"/>
      <c r="F159" s="10"/>
      <c r="G159" s="40"/>
      <c r="H159" s="43"/>
      <c r="I159" s="10"/>
      <c r="J159" s="71" t="str">
        <f aca="false">IF(OR(G159="",H159="",H159=0),"",G159/H159)</f>
        <v/>
      </c>
      <c r="K159" s="72"/>
      <c r="L159" s="71" t="str">
        <f aca="false">IF(J159="","",J159/IF(OR(K159="",K159=0),1,K159))</f>
        <v/>
      </c>
      <c r="M159" s="10"/>
      <c r="N159" s="73"/>
      <c r="O159" s="40"/>
      <c r="P159" s="27" t="str">
        <f aca="false">IF(OR(O159="",O159=0,G159=""),"",G159/O159-1)</f>
        <v/>
      </c>
    </row>
    <row r="160" customFormat="false" ht="15" hidden="false" customHeight="false" outlineLevel="0" collapsed="false">
      <c r="A160" s="10"/>
      <c r="B160" s="10"/>
      <c r="C160" s="14"/>
      <c r="D160" s="14"/>
      <c r="E160" s="14"/>
      <c r="F160" s="10"/>
      <c r="G160" s="40"/>
      <c r="H160" s="43"/>
      <c r="I160" s="10"/>
      <c r="J160" s="71" t="str">
        <f aca="false">IF(OR(G160="",H160="",H160=0),"",G160/H160)</f>
        <v/>
      </c>
      <c r="K160" s="72"/>
      <c r="L160" s="71" t="str">
        <f aca="false">IF(J160="","",J160/IF(OR(K160="",K160=0),1,K160))</f>
        <v/>
      </c>
      <c r="M160" s="10"/>
      <c r="N160" s="73"/>
      <c r="O160" s="40"/>
      <c r="P160" s="27" t="str">
        <f aca="false">IF(OR(O160="",O160=0,G160=""),"",G160/O160-1)</f>
        <v/>
      </c>
    </row>
    <row r="161" customFormat="false" ht="15" hidden="false" customHeight="false" outlineLevel="0" collapsed="false">
      <c r="A161" s="10"/>
      <c r="B161" s="10"/>
      <c r="C161" s="14"/>
      <c r="D161" s="14"/>
      <c r="E161" s="14"/>
      <c r="F161" s="10"/>
      <c r="G161" s="40"/>
      <c r="H161" s="43"/>
      <c r="I161" s="10"/>
      <c r="J161" s="71" t="str">
        <f aca="false">IF(OR(G161="",H161="",H161=0),"",G161/H161)</f>
        <v/>
      </c>
      <c r="K161" s="72"/>
      <c r="L161" s="71" t="str">
        <f aca="false">IF(J161="","",J161/IF(OR(K161="",K161=0),1,K161))</f>
        <v/>
      </c>
      <c r="M161" s="10"/>
      <c r="N161" s="73"/>
      <c r="O161" s="40"/>
      <c r="P161" s="27" t="str">
        <f aca="false">IF(OR(O161="",O161=0,G161=""),"",G161/O161-1)</f>
        <v/>
      </c>
    </row>
    <row r="162" customFormat="false" ht="15" hidden="false" customHeight="false" outlineLevel="0" collapsed="false">
      <c r="A162" s="10"/>
      <c r="B162" s="10"/>
      <c r="C162" s="14"/>
      <c r="D162" s="14"/>
      <c r="E162" s="14"/>
      <c r="F162" s="10"/>
      <c r="G162" s="40"/>
      <c r="H162" s="43"/>
      <c r="I162" s="10"/>
      <c r="J162" s="71" t="str">
        <f aca="false">IF(OR(G162="",H162="",H162=0),"",G162/H162)</f>
        <v/>
      </c>
      <c r="K162" s="72"/>
      <c r="L162" s="71" t="str">
        <f aca="false">IF(J162="","",J162/IF(OR(K162="",K162=0),1,K162))</f>
        <v/>
      </c>
      <c r="M162" s="10"/>
      <c r="N162" s="73"/>
      <c r="O162" s="40"/>
      <c r="P162" s="27" t="str">
        <f aca="false">IF(OR(O162="",O162=0,G162=""),"",G162/O162-1)</f>
        <v/>
      </c>
    </row>
    <row r="163" customFormat="false" ht="15" hidden="false" customHeight="false" outlineLevel="0" collapsed="false">
      <c r="A163" s="10"/>
      <c r="B163" s="10"/>
      <c r="C163" s="14"/>
      <c r="D163" s="14"/>
      <c r="E163" s="14"/>
      <c r="F163" s="10"/>
      <c r="G163" s="40"/>
      <c r="H163" s="43"/>
      <c r="I163" s="10"/>
      <c r="J163" s="71" t="str">
        <f aca="false">IF(OR(G163="",H163="",H163=0),"",G163/H163)</f>
        <v/>
      </c>
      <c r="K163" s="72"/>
      <c r="L163" s="71" t="str">
        <f aca="false">IF(J163="","",J163/IF(OR(K163="",K163=0),1,K163))</f>
        <v/>
      </c>
      <c r="M163" s="10"/>
      <c r="N163" s="73"/>
      <c r="O163" s="40"/>
      <c r="P163" s="27" t="str">
        <f aca="false">IF(OR(O163="",O163=0,G163=""),"",G163/O163-1)</f>
        <v/>
      </c>
    </row>
    <row r="164" customFormat="false" ht="15" hidden="false" customHeight="false" outlineLevel="0" collapsed="false">
      <c r="A164" s="10"/>
      <c r="B164" s="10"/>
      <c r="C164" s="14"/>
      <c r="D164" s="14"/>
      <c r="E164" s="14"/>
      <c r="F164" s="10"/>
      <c r="G164" s="40"/>
      <c r="H164" s="43"/>
      <c r="I164" s="10"/>
      <c r="J164" s="71" t="str">
        <f aca="false">IF(OR(G164="",H164="",H164=0),"",G164/H164)</f>
        <v/>
      </c>
      <c r="K164" s="72"/>
      <c r="L164" s="71" t="str">
        <f aca="false">IF(J164="","",J164/IF(OR(K164="",K164=0),1,K164))</f>
        <v/>
      </c>
      <c r="M164" s="10"/>
      <c r="N164" s="73"/>
      <c r="O164" s="40"/>
      <c r="P164" s="27" t="str">
        <f aca="false">IF(OR(O164="",O164=0,G164=""),"",G164/O164-1)</f>
        <v/>
      </c>
    </row>
    <row r="165" customFormat="false" ht="15" hidden="false" customHeight="false" outlineLevel="0" collapsed="false">
      <c r="A165" s="10"/>
      <c r="B165" s="10"/>
      <c r="C165" s="14"/>
      <c r="D165" s="14"/>
      <c r="E165" s="14"/>
      <c r="F165" s="10"/>
      <c r="G165" s="40"/>
      <c r="H165" s="43"/>
      <c r="I165" s="10"/>
      <c r="J165" s="71" t="str">
        <f aca="false">IF(OR(G165="",H165="",H165=0),"",G165/H165)</f>
        <v/>
      </c>
      <c r="K165" s="72"/>
      <c r="L165" s="71" t="str">
        <f aca="false">IF(J165="","",J165/IF(OR(K165="",K165=0),1,K165))</f>
        <v/>
      </c>
      <c r="M165" s="10"/>
      <c r="N165" s="73"/>
      <c r="O165" s="40"/>
      <c r="P165" s="27" t="str">
        <f aca="false">IF(OR(O165="",O165=0,G165=""),"",G165/O165-1)</f>
        <v/>
      </c>
    </row>
    <row r="166" customFormat="false" ht="15" hidden="false" customHeight="false" outlineLevel="0" collapsed="false">
      <c r="A166" s="10"/>
      <c r="B166" s="10"/>
      <c r="C166" s="14"/>
      <c r="D166" s="14"/>
      <c r="E166" s="14"/>
      <c r="F166" s="10"/>
      <c r="G166" s="40"/>
      <c r="H166" s="43"/>
      <c r="I166" s="10"/>
      <c r="J166" s="71" t="str">
        <f aca="false">IF(OR(G166="",H166="",H166=0),"",G166/H166)</f>
        <v/>
      </c>
      <c r="K166" s="72"/>
      <c r="L166" s="71" t="str">
        <f aca="false">IF(J166="","",J166/IF(OR(K166="",K166=0),1,K166))</f>
        <v/>
      </c>
      <c r="M166" s="10"/>
      <c r="N166" s="73"/>
      <c r="O166" s="40"/>
      <c r="P166" s="27" t="str">
        <f aca="false">IF(OR(O166="",O166=0,G166=""),"",G166/O166-1)</f>
        <v/>
      </c>
    </row>
    <row r="167" customFormat="false" ht="15" hidden="false" customHeight="false" outlineLevel="0" collapsed="false">
      <c r="A167" s="10"/>
      <c r="B167" s="10"/>
      <c r="C167" s="14"/>
      <c r="D167" s="14"/>
      <c r="E167" s="14"/>
      <c r="F167" s="10"/>
      <c r="G167" s="40"/>
      <c r="H167" s="43"/>
      <c r="I167" s="10"/>
      <c r="J167" s="71" t="str">
        <f aca="false">IF(OR(G167="",H167="",H167=0),"",G167/H167)</f>
        <v/>
      </c>
      <c r="K167" s="72"/>
      <c r="L167" s="71" t="str">
        <f aca="false">IF(J167="","",J167/IF(OR(K167="",K167=0),1,K167))</f>
        <v/>
      </c>
      <c r="M167" s="10"/>
      <c r="N167" s="73"/>
      <c r="O167" s="40"/>
      <c r="P167" s="27" t="str">
        <f aca="false">IF(OR(O167="",O167=0,G167=""),"",G167/O167-1)</f>
        <v/>
      </c>
    </row>
    <row r="168" customFormat="false" ht="15" hidden="false" customHeight="false" outlineLevel="0" collapsed="false">
      <c r="A168" s="10"/>
      <c r="B168" s="10"/>
      <c r="C168" s="14"/>
      <c r="D168" s="14"/>
      <c r="E168" s="14"/>
      <c r="F168" s="10"/>
      <c r="G168" s="40"/>
      <c r="H168" s="43"/>
      <c r="I168" s="10"/>
      <c r="J168" s="71" t="str">
        <f aca="false">IF(OR(G168="",H168="",H168=0),"",G168/H168)</f>
        <v/>
      </c>
      <c r="K168" s="72"/>
      <c r="L168" s="71" t="str">
        <f aca="false">IF(J168="","",J168/IF(OR(K168="",K168=0),1,K168))</f>
        <v/>
      </c>
      <c r="M168" s="10"/>
      <c r="N168" s="73"/>
      <c r="O168" s="40"/>
      <c r="P168" s="27" t="str">
        <f aca="false">IF(OR(O168="",O168=0,G168=""),"",G168/O168-1)</f>
        <v/>
      </c>
    </row>
    <row r="169" customFormat="false" ht="15" hidden="false" customHeight="false" outlineLevel="0" collapsed="false">
      <c r="A169" s="10"/>
      <c r="B169" s="10"/>
      <c r="C169" s="14"/>
      <c r="D169" s="14"/>
      <c r="E169" s="14"/>
      <c r="F169" s="10"/>
      <c r="G169" s="40"/>
      <c r="H169" s="43"/>
      <c r="I169" s="10"/>
      <c r="J169" s="71" t="str">
        <f aca="false">IF(OR(G169="",H169="",H169=0),"",G169/H169)</f>
        <v/>
      </c>
      <c r="K169" s="72"/>
      <c r="L169" s="71" t="str">
        <f aca="false">IF(J169="","",J169/IF(OR(K169="",K169=0),1,K169))</f>
        <v/>
      </c>
      <c r="M169" s="10"/>
      <c r="N169" s="73"/>
      <c r="O169" s="40"/>
      <c r="P169" s="27" t="str">
        <f aca="false">IF(OR(O169="",O169=0,G169=""),"",G169/O169-1)</f>
        <v/>
      </c>
    </row>
    <row r="170" customFormat="false" ht="15" hidden="false" customHeight="false" outlineLevel="0" collapsed="false">
      <c r="A170" s="10"/>
      <c r="B170" s="10"/>
      <c r="C170" s="14"/>
      <c r="D170" s="14"/>
      <c r="E170" s="14"/>
      <c r="F170" s="10"/>
      <c r="G170" s="40"/>
      <c r="H170" s="43"/>
      <c r="I170" s="10"/>
      <c r="J170" s="71" t="str">
        <f aca="false">IF(OR(G170="",H170="",H170=0),"",G170/H170)</f>
        <v/>
      </c>
      <c r="K170" s="72"/>
      <c r="L170" s="71" t="str">
        <f aca="false">IF(J170="","",J170/IF(OR(K170="",K170=0),1,K170))</f>
        <v/>
      </c>
      <c r="M170" s="10"/>
      <c r="N170" s="73"/>
      <c r="O170" s="40"/>
      <c r="P170" s="27" t="str">
        <f aca="false">IF(OR(O170="",O170=0,G170=""),"",G170/O170-1)</f>
        <v/>
      </c>
    </row>
    <row r="171" customFormat="false" ht="15" hidden="false" customHeight="false" outlineLevel="0" collapsed="false">
      <c r="A171" s="10"/>
      <c r="B171" s="10"/>
      <c r="C171" s="14"/>
      <c r="D171" s="14"/>
      <c r="E171" s="14"/>
      <c r="F171" s="10"/>
      <c r="G171" s="40"/>
      <c r="H171" s="43"/>
      <c r="I171" s="10"/>
      <c r="J171" s="71" t="str">
        <f aca="false">IF(OR(G171="",H171="",H171=0),"",G171/H171)</f>
        <v/>
      </c>
      <c r="K171" s="72"/>
      <c r="L171" s="71" t="str">
        <f aca="false">IF(J171="","",J171/IF(OR(K171="",K171=0),1,K171))</f>
        <v/>
      </c>
      <c r="M171" s="10"/>
      <c r="N171" s="73"/>
      <c r="O171" s="40"/>
      <c r="P171" s="27" t="str">
        <f aca="false">IF(OR(O171="",O171=0,G171=""),"",G171/O171-1)</f>
        <v/>
      </c>
    </row>
    <row r="172" customFormat="false" ht="15" hidden="false" customHeight="false" outlineLevel="0" collapsed="false">
      <c r="A172" s="10"/>
      <c r="B172" s="10"/>
      <c r="C172" s="14"/>
      <c r="D172" s="14"/>
      <c r="E172" s="14"/>
      <c r="F172" s="10"/>
      <c r="G172" s="40"/>
      <c r="H172" s="43"/>
      <c r="I172" s="10"/>
      <c r="J172" s="71" t="str">
        <f aca="false">IF(OR(G172="",H172="",H172=0),"",G172/H172)</f>
        <v/>
      </c>
      <c r="K172" s="72"/>
      <c r="L172" s="71" t="str">
        <f aca="false">IF(J172="","",J172/IF(OR(K172="",K172=0),1,K172))</f>
        <v/>
      </c>
      <c r="M172" s="10"/>
      <c r="N172" s="73"/>
      <c r="O172" s="40"/>
      <c r="P172" s="27" t="str">
        <f aca="false">IF(OR(O172="",O172=0,G172=""),"",G172/O172-1)</f>
        <v/>
      </c>
    </row>
    <row r="173" customFormat="false" ht="15" hidden="false" customHeight="false" outlineLevel="0" collapsed="false">
      <c r="A173" s="10"/>
      <c r="B173" s="10"/>
      <c r="C173" s="14"/>
      <c r="D173" s="14"/>
      <c r="E173" s="14"/>
      <c r="F173" s="10"/>
      <c r="G173" s="40"/>
      <c r="H173" s="43"/>
      <c r="I173" s="10"/>
      <c r="J173" s="71" t="str">
        <f aca="false">IF(OR(G173="",H173="",H173=0),"",G173/H173)</f>
        <v/>
      </c>
      <c r="K173" s="72"/>
      <c r="L173" s="71" t="str">
        <f aca="false">IF(J173="","",J173/IF(OR(K173="",K173=0),1,K173))</f>
        <v/>
      </c>
      <c r="M173" s="10"/>
      <c r="N173" s="73"/>
      <c r="O173" s="40"/>
      <c r="P173" s="27" t="str">
        <f aca="false">IF(OR(O173="",O173=0,G173=""),"",G173/O173-1)</f>
        <v/>
      </c>
    </row>
    <row r="174" customFormat="false" ht="15" hidden="false" customHeight="false" outlineLevel="0" collapsed="false">
      <c r="A174" s="10"/>
      <c r="B174" s="10"/>
      <c r="C174" s="14"/>
      <c r="D174" s="14"/>
      <c r="E174" s="14"/>
      <c r="F174" s="10"/>
      <c r="G174" s="40"/>
      <c r="H174" s="43"/>
      <c r="I174" s="10"/>
      <c r="J174" s="71" t="str">
        <f aca="false">IF(OR(G174="",H174="",H174=0),"",G174/H174)</f>
        <v/>
      </c>
      <c r="K174" s="72"/>
      <c r="L174" s="71" t="str">
        <f aca="false">IF(J174="","",J174/IF(OR(K174="",K174=0),1,K174))</f>
        <v/>
      </c>
      <c r="M174" s="10"/>
      <c r="N174" s="73"/>
      <c r="O174" s="40"/>
      <c r="P174" s="27" t="str">
        <f aca="false">IF(OR(O174="",O174=0,G174=""),"",G174/O174-1)</f>
        <v/>
      </c>
    </row>
    <row r="175" customFormat="false" ht="15" hidden="false" customHeight="false" outlineLevel="0" collapsed="false">
      <c r="A175" s="10"/>
      <c r="B175" s="10"/>
      <c r="C175" s="14"/>
      <c r="D175" s="14"/>
      <c r="E175" s="14"/>
      <c r="F175" s="10"/>
      <c r="G175" s="40"/>
      <c r="H175" s="43"/>
      <c r="I175" s="10"/>
      <c r="J175" s="71" t="str">
        <f aca="false">IF(OR(G175="",H175="",H175=0),"",G175/H175)</f>
        <v/>
      </c>
      <c r="K175" s="72"/>
      <c r="L175" s="71" t="str">
        <f aca="false">IF(J175="","",J175/IF(OR(K175="",K175=0),1,K175))</f>
        <v/>
      </c>
      <c r="M175" s="10"/>
      <c r="N175" s="73"/>
      <c r="O175" s="40"/>
      <c r="P175" s="27" t="str">
        <f aca="false">IF(OR(O175="",O175=0,G175=""),"",G175/O175-1)</f>
        <v/>
      </c>
    </row>
    <row r="176" customFormat="false" ht="15" hidden="false" customHeight="false" outlineLevel="0" collapsed="false">
      <c r="A176" s="10"/>
      <c r="B176" s="10"/>
      <c r="C176" s="14"/>
      <c r="D176" s="14"/>
      <c r="E176" s="14"/>
      <c r="F176" s="10"/>
      <c r="G176" s="40"/>
      <c r="H176" s="43"/>
      <c r="I176" s="10"/>
      <c r="J176" s="71" t="str">
        <f aca="false">IF(OR(G176="",H176="",H176=0),"",G176/H176)</f>
        <v/>
      </c>
      <c r="K176" s="72"/>
      <c r="L176" s="71" t="str">
        <f aca="false">IF(J176="","",J176/IF(OR(K176="",K176=0),1,K176))</f>
        <v/>
      </c>
      <c r="M176" s="10"/>
      <c r="N176" s="73"/>
      <c r="O176" s="40"/>
      <c r="P176" s="27" t="str">
        <f aca="false">IF(OR(O176="",O176=0,G176=""),"",G176/O176-1)</f>
        <v/>
      </c>
    </row>
    <row r="177" customFormat="false" ht="15" hidden="false" customHeight="false" outlineLevel="0" collapsed="false">
      <c r="A177" s="10"/>
      <c r="B177" s="10"/>
      <c r="C177" s="14"/>
      <c r="D177" s="14"/>
      <c r="E177" s="14"/>
      <c r="F177" s="10"/>
      <c r="G177" s="40"/>
      <c r="H177" s="43"/>
      <c r="I177" s="10"/>
      <c r="J177" s="71" t="str">
        <f aca="false">IF(OR(G177="",H177="",H177=0),"",G177/H177)</f>
        <v/>
      </c>
      <c r="K177" s="72"/>
      <c r="L177" s="71" t="str">
        <f aca="false">IF(J177="","",J177/IF(OR(K177="",K177=0),1,K177))</f>
        <v/>
      </c>
      <c r="M177" s="10"/>
      <c r="N177" s="73"/>
      <c r="O177" s="40"/>
      <c r="P177" s="27" t="str">
        <f aca="false">IF(OR(O177="",O177=0,G177=""),"",G177/O177-1)</f>
        <v/>
      </c>
    </row>
    <row r="178" customFormat="false" ht="15" hidden="false" customHeight="false" outlineLevel="0" collapsed="false">
      <c r="A178" s="10"/>
      <c r="B178" s="10"/>
      <c r="C178" s="14"/>
      <c r="D178" s="14"/>
      <c r="E178" s="14"/>
      <c r="F178" s="10"/>
      <c r="G178" s="40"/>
      <c r="H178" s="43"/>
      <c r="I178" s="10"/>
      <c r="J178" s="71" t="str">
        <f aca="false">IF(OR(G178="",H178="",H178=0),"",G178/H178)</f>
        <v/>
      </c>
      <c r="K178" s="72"/>
      <c r="L178" s="71" t="str">
        <f aca="false">IF(J178="","",J178/IF(OR(K178="",K178=0),1,K178))</f>
        <v/>
      </c>
      <c r="M178" s="10"/>
      <c r="N178" s="73"/>
      <c r="O178" s="40"/>
      <c r="P178" s="27" t="str">
        <f aca="false">IF(OR(O178="",O178=0,G178=""),"",G178/O178-1)</f>
        <v/>
      </c>
    </row>
    <row r="179" customFormat="false" ht="15" hidden="false" customHeight="false" outlineLevel="0" collapsed="false">
      <c r="A179" s="10"/>
      <c r="B179" s="10"/>
      <c r="C179" s="14"/>
      <c r="D179" s="14"/>
      <c r="E179" s="14"/>
      <c r="F179" s="10"/>
      <c r="G179" s="40"/>
      <c r="H179" s="43"/>
      <c r="I179" s="10"/>
      <c r="J179" s="71" t="str">
        <f aca="false">IF(OR(G179="",H179="",H179=0),"",G179/H179)</f>
        <v/>
      </c>
      <c r="K179" s="72"/>
      <c r="L179" s="71" t="str">
        <f aca="false">IF(J179="","",J179/IF(OR(K179="",K179=0),1,K179))</f>
        <v/>
      </c>
      <c r="M179" s="10"/>
      <c r="N179" s="73"/>
      <c r="O179" s="40"/>
      <c r="P179" s="27" t="str">
        <f aca="false">IF(OR(O179="",O179=0,G179=""),"",G179/O179-1)</f>
        <v/>
      </c>
    </row>
    <row r="180" customFormat="false" ht="15" hidden="false" customHeight="false" outlineLevel="0" collapsed="false">
      <c r="A180" s="10"/>
      <c r="B180" s="10"/>
      <c r="C180" s="14"/>
      <c r="D180" s="14"/>
      <c r="E180" s="14"/>
      <c r="F180" s="10"/>
      <c r="G180" s="40"/>
      <c r="H180" s="43"/>
      <c r="I180" s="10"/>
      <c r="J180" s="71" t="str">
        <f aca="false">IF(OR(G180="",H180="",H180=0),"",G180/H180)</f>
        <v/>
      </c>
      <c r="K180" s="72"/>
      <c r="L180" s="71" t="str">
        <f aca="false">IF(J180="","",J180/IF(OR(K180="",K180=0),1,K180))</f>
        <v/>
      </c>
      <c r="M180" s="10"/>
      <c r="N180" s="73"/>
      <c r="O180" s="40"/>
      <c r="P180" s="27" t="str">
        <f aca="false">IF(OR(O180="",O180=0,G180=""),"",G180/O180-1)</f>
        <v/>
      </c>
    </row>
    <row r="181" customFormat="false" ht="15" hidden="false" customHeight="false" outlineLevel="0" collapsed="false">
      <c r="A181" s="10"/>
      <c r="B181" s="10"/>
      <c r="C181" s="14"/>
      <c r="D181" s="14"/>
      <c r="E181" s="14"/>
      <c r="F181" s="10"/>
      <c r="G181" s="40"/>
      <c r="H181" s="43"/>
      <c r="I181" s="10"/>
      <c r="J181" s="71" t="str">
        <f aca="false">IF(OR(G181="",H181="",H181=0),"",G181/H181)</f>
        <v/>
      </c>
      <c r="K181" s="72"/>
      <c r="L181" s="71" t="str">
        <f aca="false">IF(J181="","",J181/IF(OR(K181="",K181=0),1,K181))</f>
        <v/>
      </c>
      <c r="M181" s="10"/>
      <c r="N181" s="73"/>
      <c r="O181" s="40"/>
      <c r="P181" s="27" t="str">
        <f aca="false">IF(OR(O181="",O181=0,G181=""),"",G181/O181-1)</f>
        <v/>
      </c>
    </row>
    <row r="182" customFormat="false" ht="15" hidden="false" customHeight="false" outlineLevel="0" collapsed="false">
      <c r="A182" s="10"/>
      <c r="B182" s="10"/>
      <c r="C182" s="14"/>
      <c r="D182" s="14"/>
      <c r="E182" s="14"/>
      <c r="F182" s="10"/>
      <c r="G182" s="40"/>
      <c r="H182" s="43"/>
      <c r="I182" s="10"/>
      <c r="J182" s="71" t="str">
        <f aca="false">IF(OR(G182="",H182="",H182=0),"",G182/H182)</f>
        <v/>
      </c>
      <c r="K182" s="72"/>
      <c r="L182" s="71" t="str">
        <f aca="false">IF(J182="","",J182/IF(OR(K182="",K182=0),1,K182))</f>
        <v/>
      </c>
      <c r="M182" s="10"/>
      <c r="N182" s="73"/>
      <c r="O182" s="40"/>
      <c r="P182" s="27" t="str">
        <f aca="false">IF(OR(O182="",O182=0,G182=""),"",G182/O182-1)</f>
        <v/>
      </c>
    </row>
    <row r="183" customFormat="false" ht="15" hidden="false" customHeight="false" outlineLevel="0" collapsed="false">
      <c r="A183" s="10"/>
      <c r="B183" s="10"/>
      <c r="C183" s="14"/>
      <c r="D183" s="14"/>
      <c r="E183" s="14"/>
      <c r="F183" s="10"/>
      <c r="G183" s="40"/>
      <c r="H183" s="43"/>
      <c r="I183" s="10"/>
      <c r="J183" s="71" t="str">
        <f aca="false">IF(OR(G183="",H183="",H183=0),"",G183/H183)</f>
        <v/>
      </c>
      <c r="K183" s="72"/>
      <c r="L183" s="71" t="str">
        <f aca="false">IF(J183="","",J183/IF(OR(K183="",K183=0),1,K183))</f>
        <v/>
      </c>
      <c r="M183" s="10"/>
      <c r="N183" s="73"/>
      <c r="O183" s="40"/>
      <c r="P183" s="27" t="str">
        <f aca="false">IF(OR(O183="",O183=0,G183=""),"",G183/O183-1)</f>
        <v/>
      </c>
    </row>
    <row r="184" customFormat="false" ht="15" hidden="false" customHeight="false" outlineLevel="0" collapsed="false">
      <c r="A184" s="10"/>
      <c r="B184" s="10"/>
      <c r="C184" s="14"/>
      <c r="D184" s="14"/>
      <c r="E184" s="14"/>
      <c r="F184" s="10"/>
      <c r="G184" s="40"/>
      <c r="H184" s="43"/>
      <c r="I184" s="10"/>
      <c r="J184" s="71" t="str">
        <f aca="false">IF(OR(G184="",H184="",H184=0),"",G184/H184)</f>
        <v/>
      </c>
      <c r="K184" s="72"/>
      <c r="L184" s="71" t="str">
        <f aca="false">IF(J184="","",J184/IF(OR(K184="",K184=0),1,K184))</f>
        <v/>
      </c>
      <c r="M184" s="10"/>
      <c r="N184" s="73"/>
      <c r="O184" s="40"/>
      <c r="P184" s="27" t="str">
        <f aca="false">IF(OR(O184="",O184=0,G184=""),"",G184/O184-1)</f>
        <v/>
      </c>
    </row>
    <row r="185" customFormat="false" ht="15" hidden="false" customHeight="false" outlineLevel="0" collapsed="false">
      <c r="A185" s="10"/>
      <c r="B185" s="10"/>
      <c r="C185" s="14"/>
      <c r="D185" s="14"/>
      <c r="E185" s="14"/>
      <c r="F185" s="10"/>
      <c r="G185" s="40"/>
      <c r="H185" s="43"/>
      <c r="I185" s="10"/>
      <c r="J185" s="71" t="str">
        <f aca="false">IF(OR(G185="",H185="",H185=0),"",G185/H185)</f>
        <v/>
      </c>
      <c r="K185" s="72"/>
      <c r="L185" s="71" t="str">
        <f aca="false">IF(J185="","",J185/IF(OR(K185="",K185=0),1,K185))</f>
        <v/>
      </c>
      <c r="M185" s="10"/>
      <c r="N185" s="73"/>
      <c r="O185" s="40"/>
      <c r="P185" s="27" t="str">
        <f aca="false">IF(OR(O185="",O185=0,G185=""),"",G185/O185-1)</f>
        <v/>
      </c>
    </row>
    <row r="186" customFormat="false" ht="15" hidden="false" customHeight="false" outlineLevel="0" collapsed="false">
      <c r="A186" s="10"/>
      <c r="B186" s="10"/>
      <c r="C186" s="14"/>
      <c r="D186" s="14"/>
      <c r="E186" s="14"/>
      <c r="F186" s="10"/>
      <c r="G186" s="40"/>
      <c r="H186" s="43"/>
      <c r="I186" s="10"/>
      <c r="J186" s="71" t="str">
        <f aca="false">IF(OR(G186="",H186="",H186=0),"",G186/H186)</f>
        <v/>
      </c>
      <c r="K186" s="72"/>
      <c r="L186" s="71" t="str">
        <f aca="false">IF(J186="","",J186/IF(OR(K186="",K186=0),1,K186))</f>
        <v/>
      </c>
      <c r="M186" s="10"/>
      <c r="N186" s="73"/>
      <c r="O186" s="40"/>
      <c r="P186" s="27" t="str">
        <f aca="false">IF(OR(O186="",O186=0,G186=""),"",G186/O186-1)</f>
        <v/>
      </c>
    </row>
    <row r="187" customFormat="false" ht="15" hidden="false" customHeight="false" outlineLevel="0" collapsed="false">
      <c r="A187" s="10"/>
      <c r="B187" s="10"/>
      <c r="C187" s="14"/>
      <c r="D187" s="14"/>
      <c r="E187" s="14"/>
      <c r="F187" s="10"/>
      <c r="G187" s="40"/>
      <c r="H187" s="43"/>
      <c r="I187" s="10"/>
      <c r="J187" s="71" t="str">
        <f aca="false">IF(OR(G187="",H187="",H187=0),"",G187/H187)</f>
        <v/>
      </c>
      <c r="K187" s="72"/>
      <c r="L187" s="71" t="str">
        <f aca="false">IF(J187="","",J187/IF(OR(K187="",K187=0),1,K187))</f>
        <v/>
      </c>
      <c r="M187" s="10"/>
      <c r="N187" s="73"/>
      <c r="O187" s="40"/>
      <c r="P187" s="27" t="str">
        <f aca="false">IF(OR(O187="",O187=0,G187=""),"",G187/O187-1)</f>
        <v/>
      </c>
    </row>
    <row r="188" customFormat="false" ht="15" hidden="false" customHeight="false" outlineLevel="0" collapsed="false">
      <c r="A188" s="10"/>
      <c r="B188" s="10"/>
      <c r="C188" s="14"/>
      <c r="D188" s="14"/>
      <c r="E188" s="14"/>
      <c r="F188" s="10"/>
      <c r="G188" s="40"/>
      <c r="H188" s="43"/>
      <c r="I188" s="10"/>
      <c r="J188" s="71" t="str">
        <f aca="false">IF(OR(G188="",H188="",H188=0),"",G188/H188)</f>
        <v/>
      </c>
      <c r="K188" s="72"/>
      <c r="L188" s="71" t="str">
        <f aca="false">IF(J188="","",J188/IF(OR(K188="",K188=0),1,K188))</f>
        <v/>
      </c>
      <c r="M188" s="10"/>
      <c r="N188" s="73"/>
      <c r="O188" s="40"/>
      <c r="P188" s="27" t="str">
        <f aca="false">IF(OR(O188="",O188=0,G188=""),"",G188/O188-1)</f>
        <v/>
      </c>
    </row>
    <row r="189" customFormat="false" ht="15" hidden="false" customHeight="false" outlineLevel="0" collapsed="false">
      <c r="A189" s="10"/>
      <c r="B189" s="10"/>
      <c r="C189" s="14"/>
      <c r="D189" s="14"/>
      <c r="E189" s="14"/>
      <c r="F189" s="10"/>
      <c r="G189" s="40"/>
      <c r="H189" s="43"/>
      <c r="I189" s="10"/>
      <c r="J189" s="71" t="str">
        <f aca="false">IF(OR(G189="",H189="",H189=0),"",G189/H189)</f>
        <v/>
      </c>
      <c r="K189" s="72"/>
      <c r="L189" s="71" t="str">
        <f aca="false">IF(J189="","",J189/IF(OR(K189="",K189=0),1,K189))</f>
        <v/>
      </c>
      <c r="M189" s="10"/>
      <c r="N189" s="73"/>
      <c r="O189" s="40"/>
      <c r="P189" s="27" t="str">
        <f aca="false">IF(OR(O189="",O189=0,G189=""),"",G189/O189-1)</f>
        <v/>
      </c>
    </row>
    <row r="190" customFormat="false" ht="15" hidden="false" customHeight="false" outlineLevel="0" collapsed="false">
      <c r="A190" s="10"/>
      <c r="B190" s="10"/>
      <c r="C190" s="14"/>
      <c r="D190" s="14"/>
      <c r="E190" s="14"/>
      <c r="F190" s="10"/>
      <c r="G190" s="40"/>
      <c r="H190" s="43"/>
      <c r="I190" s="10"/>
      <c r="J190" s="71" t="str">
        <f aca="false">IF(OR(G190="",H190="",H190=0),"",G190/H190)</f>
        <v/>
      </c>
      <c r="K190" s="72"/>
      <c r="L190" s="71" t="str">
        <f aca="false">IF(J190="","",J190/IF(OR(K190="",K190=0),1,K190))</f>
        <v/>
      </c>
      <c r="M190" s="10"/>
      <c r="N190" s="73"/>
      <c r="O190" s="40"/>
      <c r="P190" s="27" t="str">
        <f aca="false">IF(OR(O190="",O190=0,G190=""),"",G190/O190-1)</f>
        <v/>
      </c>
    </row>
    <row r="191" customFormat="false" ht="15" hidden="false" customHeight="false" outlineLevel="0" collapsed="false">
      <c r="A191" s="10"/>
      <c r="B191" s="10"/>
      <c r="C191" s="14"/>
      <c r="D191" s="14"/>
      <c r="E191" s="14"/>
      <c r="F191" s="10"/>
      <c r="G191" s="40"/>
      <c r="H191" s="43"/>
      <c r="I191" s="10"/>
      <c r="J191" s="71" t="str">
        <f aca="false">IF(OR(G191="",H191="",H191=0),"",G191/H191)</f>
        <v/>
      </c>
      <c r="K191" s="72"/>
      <c r="L191" s="71" t="str">
        <f aca="false">IF(J191="","",J191/IF(OR(K191="",K191=0),1,K191))</f>
        <v/>
      </c>
      <c r="M191" s="10"/>
      <c r="N191" s="73"/>
      <c r="O191" s="40"/>
      <c r="P191" s="27" t="str">
        <f aca="false">IF(OR(O191="",O191=0,G191=""),"",G191/O191-1)</f>
        <v/>
      </c>
    </row>
    <row r="192" customFormat="false" ht="15" hidden="false" customHeight="false" outlineLevel="0" collapsed="false">
      <c r="A192" s="10"/>
      <c r="B192" s="10"/>
      <c r="C192" s="14"/>
      <c r="D192" s="14"/>
      <c r="E192" s="14"/>
      <c r="F192" s="10"/>
      <c r="G192" s="40"/>
      <c r="H192" s="43"/>
      <c r="I192" s="10"/>
      <c r="J192" s="71" t="str">
        <f aca="false">IF(OR(G192="",H192="",H192=0),"",G192/H192)</f>
        <v/>
      </c>
      <c r="K192" s="72"/>
      <c r="L192" s="71" t="str">
        <f aca="false">IF(J192="","",J192/IF(OR(K192="",K192=0),1,K192))</f>
        <v/>
      </c>
      <c r="M192" s="10"/>
      <c r="N192" s="73"/>
      <c r="O192" s="40"/>
      <c r="P192" s="27" t="str">
        <f aca="false">IF(OR(O192="",O192=0,G192=""),"",G192/O192-1)</f>
        <v/>
      </c>
    </row>
    <row r="193" customFormat="false" ht="15" hidden="false" customHeight="false" outlineLevel="0" collapsed="false">
      <c r="A193" s="10"/>
      <c r="B193" s="10"/>
      <c r="C193" s="14"/>
      <c r="D193" s="14"/>
      <c r="E193" s="14"/>
      <c r="F193" s="10"/>
      <c r="G193" s="40"/>
      <c r="H193" s="43"/>
      <c r="I193" s="10"/>
      <c r="J193" s="71" t="str">
        <f aca="false">IF(OR(G193="",H193="",H193=0),"",G193/H193)</f>
        <v/>
      </c>
      <c r="K193" s="72"/>
      <c r="L193" s="71" t="str">
        <f aca="false">IF(J193="","",J193/IF(OR(K193="",K193=0),1,K193))</f>
        <v/>
      </c>
      <c r="M193" s="10"/>
      <c r="N193" s="73"/>
      <c r="O193" s="40"/>
      <c r="P193" s="27" t="str">
        <f aca="false">IF(OR(O193="",O193=0,G193=""),"",G193/O193-1)</f>
        <v/>
      </c>
    </row>
    <row r="194" customFormat="false" ht="15" hidden="false" customHeight="false" outlineLevel="0" collapsed="false">
      <c r="A194" s="10"/>
      <c r="B194" s="10"/>
      <c r="C194" s="14"/>
      <c r="D194" s="14"/>
      <c r="E194" s="14"/>
      <c r="F194" s="10"/>
      <c r="G194" s="40"/>
      <c r="H194" s="43"/>
      <c r="I194" s="10"/>
      <c r="J194" s="71" t="str">
        <f aca="false">IF(OR(G194="",H194="",H194=0),"",G194/H194)</f>
        <v/>
      </c>
      <c r="K194" s="72"/>
      <c r="L194" s="71" t="str">
        <f aca="false">IF(J194="","",J194/IF(OR(K194="",K194=0),1,K194))</f>
        <v/>
      </c>
      <c r="M194" s="10"/>
      <c r="N194" s="73"/>
      <c r="O194" s="40"/>
      <c r="P194" s="27" t="str">
        <f aca="false">IF(OR(O194="",O194=0,G194=""),"",G194/O194-1)</f>
        <v/>
      </c>
    </row>
    <row r="195" customFormat="false" ht="15" hidden="false" customHeight="false" outlineLevel="0" collapsed="false">
      <c r="A195" s="10"/>
      <c r="B195" s="10"/>
      <c r="C195" s="14"/>
      <c r="D195" s="14"/>
      <c r="E195" s="14"/>
      <c r="F195" s="10"/>
      <c r="G195" s="40"/>
      <c r="H195" s="43"/>
      <c r="I195" s="10"/>
      <c r="J195" s="71" t="str">
        <f aca="false">IF(OR(G195="",H195="",H195=0),"",G195/H195)</f>
        <v/>
      </c>
      <c r="K195" s="72"/>
      <c r="L195" s="71" t="str">
        <f aca="false">IF(J195="","",J195/IF(OR(K195="",K195=0),1,K195))</f>
        <v/>
      </c>
      <c r="M195" s="10"/>
      <c r="N195" s="73"/>
      <c r="O195" s="40"/>
      <c r="P195" s="27" t="str">
        <f aca="false">IF(OR(O195="",O195=0,G195=""),"",G195/O195-1)</f>
        <v/>
      </c>
    </row>
    <row r="196" customFormat="false" ht="15" hidden="false" customHeight="false" outlineLevel="0" collapsed="false">
      <c r="A196" s="10"/>
      <c r="B196" s="10"/>
      <c r="C196" s="14"/>
      <c r="D196" s="14"/>
      <c r="E196" s="14"/>
      <c r="F196" s="10"/>
      <c r="G196" s="40"/>
      <c r="H196" s="43"/>
      <c r="I196" s="10"/>
      <c r="J196" s="71" t="str">
        <f aca="false">IF(OR(G196="",H196="",H196=0),"",G196/H196)</f>
        <v/>
      </c>
      <c r="K196" s="72"/>
      <c r="L196" s="71" t="str">
        <f aca="false">IF(J196="","",J196/IF(OR(K196="",K196=0),1,K196))</f>
        <v/>
      </c>
      <c r="M196" s="10"/>
      <c r="N196" s="73"/>
      <c r="O196" s="40"/>
      <c r="P196" s="27" t="str">
        <f aca="false">IF(OR(O196="",O196=0,G196=""),"",G196/O196-1)</f>
        <v/>
      </c>
    </row>
    <row r="197" customFormat="false" ht="15" hidden="false" customHeight="false" outlineLevel="0" collapsed="false">
      <c r="A197" s="10"/>
      <c r="B197" s="10"/>
      <c r="C197" s="14"/>
      <c r="D197" s="14"/>
      <c r="E197" s="14"/>
      <c r="F197" s="10"/>
      <c r="G197" s="40"/>
      <c r="H197" s="43"/>
      <c r="I197" s="10"/>
      <c r="J197" s="71" t="str">
        <f aca="false">IF(OR(G197="",H197="",H197=0),"",G197/H197)</f>
        <v/>
      </c>
      <c r="K197" s="72"/>
      <c r="L197" s="71" t="str">
        <f aca="false">IF(J197="","",J197/IF(OR(K197="",K197=0),1,K197))</f>
        <v/>
      </c>
      <c r="M197" s="10"/>
      <c r="N197" s="73"/>
      <c r="O197" s="40"/>
      <c r="P197" s="27" t="str">
        <f aca="false">IF(OR(O197="",O197=0,G197=""),"",G197/O197-1)</f>
        <v/>
      </c>
    </row>
    <row r="198" customFormat="false" ht="15" hidden="false" customHeight="false" outlineLevel="0" collapsed="false">
      <c r="A198" s="10"/>
      <c r="B198" s="10"/>
      <c r="C198" s="14"/>
      <c r="D198" s="14"/>
      <c r="E198" s="14"/>
      <c r="F198" s="10"/>
      <c r="G198" s="40"/>
      <c r="H198" s="43"/>
      <c r="I198" s="10"/>
      <c r="J198" s="71" t="str">
        <f aca="false">IF(OR(G198="",H198="",H198=0),"",G198/H198)</f>
        <v/>
      </c>
      <c r="K198" s="72"/>
      <c r="L198" s="71" t="str">
        <f aca="false">IF(J198="","",J198/IF(OR(K198="",K198=0),1,K198))</f>
        <v/>
      </c>
      <c r="M198" s="10"/>
      <c r="N198" s="73"/>
      <c r="O198" s="40"/>
      <c r="P198" s="27" t="str">
        <f aca="false">IF(OR(O198="",O198=0,G198=""),"",G198/O198-1)</f>
        <v/>
      </c>
    </row>
    <row r="199" customFormat="false" ht="15" hidden="false" customHeight="false" outlineLevel="0" collapsed="false">
      <c r="A199" s="10"/>
      <c r="B199" s="10"/>
      <c r="C199" s="14"/>
      <c r="D199" s="14"/>
      <c r="E199" s="14"/>
      <c r="F199" s="10"/>
      <c r="G199" s="40"/>
      <c r="H199" s="43"/>
      <c r="I199" s="10"/>
      <c r="J199" s="71" t="str">
        <f aca="false">IF(OR(G199="",H199="",H199=0),"",G199/H199)</f>
        <v/>
      </c>
      <c r="K199" s="72"/>
      <c r="L199" s="71" t="str">
        <f aca="false">IF(J199="","",J199/IF(OR(K199="",K199=0),1,K199))</f>
        <v/>
      </c>
      <c r="M199" s="10"/>
      <c r="N199" s="73"/>
      <c r="O199" s="40"/>
      <c r="P199" s="27" t="str">
        <f aca="false">IF(OR(O199="",O199=0,G199=""),"",G199/O199-1)</f>
        <v/>
      </c>
    </row>
    <row r="200" customFormat="false" ht="15" hidden="false" customHeight="false" outlineLevel="0" collapsed="false">
      <c r="A200" s="10"/>
      <c r="B200" s="10"/>
      <c r="C200" s="14"/>
      <c r="D200" s="14"/>
      <c r="E200" s="14"/>
      <c r="F200" s="10"/>
      <c r="G200" s="40"/>
      <c r="H200" s="43"/>
      <c r="I200" s="10"/>
      <c r="J200" s="71" t="str">
        <f aca="false">IF(OR(G200="",H200="",H200=0),"",G200/H200)</f>
        <v/>
      </c>
      <c r="K200" s="72"/>
      <c r="L200" s="71" t="str">
        <f aca="false">IF(J200="","",J200/IF(OR(K200="",K200=0),1,K200))</f>
        <v/>
      </c>
      <c r="M200" s="10"/>
      <c r="N200" s="73"/>
      <c r="O200" s="40"/>
      <c r="P200" s="27" t="str">
        <f aca="false">IF(OR(O200="",O200=0,G200=""),"",G200/O200-1)</f>
        <v/>
      </c>
    </row>
    <row r="201" customFormat="false" ht="15" hidden="false" customHeight="false" outlineLevel="0" collapsed="false">
      <c r="A201" s="10"/>
      <c r="B201" s="10"/>
      <c r="C201" s="14"/>
      <c r="D201" s="14"/>
      <c r="E201" s="14"/>
      <c r="F201" s="10"/>
      <c r="G201" s="40"/>
      <c r="H201" s="43"/>
      <c r="I201" s="10"/>
      <c r="J201" s="71" t="str">
        <f aca="false">IF(OR(G201="",H201="",H201=0),"",G201/H201)</f>
        <v/>
      </c>
      <c r="K201" s="72"/>
      <c r="L201" s="71" t="str">
        <f aca="false">IF(J201="","",J201/IF(OR(K201="",K201=0),1,K201))</f>
        <v/>
      </c>
      <c r="M201" s="10"/>
      <c r="N201" s="73"/>
      <c r="O201" s="40"/>
      <c r="P201" s="27" t="str">
        <f aca="false">IF(OR(O201="",O201=0,G201=""),"",G201/O201-1)</f>
        <v/>
      </c>
    </row>
    <row r="202" customFormat="false" ht="15" hidden="false" customHeight="false" outlineLevel="0" collapsed="false">
      <c r="A202" s="10"/>
      <c r="B202" s="10"/>
      <c r="C202" s="14"/>
      <c r="D202" s="14"/>
      <c r="E202" s="14"/>
      <c r="F202" s="10"/>
      <c r="G202" s="40"/>
      <c r="H202" s="43"/>
      <c r="I202" s="10"/>
      <c r="J202" s="71" t="str">
        <f aca="false">IF(OR(G202="",H202="",H202=0),"",G202/H202)</f>
        <v/>
      </c>
      <c r="K202" s="72"/>
      <c r="L202" s="71" t="str">
        <f aca="false">IF(J202="","",J202/IF(OR(K202="",K202=0),1,K202))</f>
        <v/>
      </c>
      <c r="M202" s="10"/>
      <c r="N202" s="73"/>
      <c r="O202" s="40"/>
      <c r="P202" s="27" t="str">
        <f aca="false">IF(OR(O202="",O202=0,G202=""),"",G202/O202-1)</f>
        <v/>
      </c>
    </row>
    <row r="203" customFormat="false" ht="15" hidden="false" customHeight="false" outlineLevel="0" collapsed="false">
      <c r="A203" s="10"/>
      <c r="B203" s="10"/>
      <c r="C203" s="14"/>
      <c r="D203" s="14"/>
      <c r="E203" s="14"/>
      <c r="F203" s="10"/>
      <c r="G203" s="40"/>
      <c r="H203" s="43"/>
      <c r="I203" s="10"/>
      <c r="J203" s="71" t="str">
        <f aca="false">IF(OR(G203="",H203="",H203=0),"",G203/H203)</f>
        <v/>
      </c>
      <c r="K203" s="72"/>
      <c r="L203" s="71" t="str">
        <f aca="false">IF(J203="","",J203/IF(OR(K203="",K203=0),1,K203))</f>
        <v/>
      </c>
      <c r="M203" s="10"/>
      <c r="N203" s="73"/>
      <c r="O203" s="40"/>
      <c r="P203" s="27" t="str">
        <f aca="false">IF(OR(O203="",O203=0,G203=""),"",G203/O203-1)</f>
        <v/>
      </c>
    </row>
  </sheetData>
  <autoFilter ref="A3:P203"/>
  <conditionalFormatting sqref="P4:P203">
    <cfRule type="expression" priority="2" aboveAverage="0" equalAverage="0" bottom="0" percent="0" rank="0" text="" dxfId="1">
      <formula>AND(ISNUMBER(P4),P4&gt;=0.1)</formula>
    </cfRule>
    <cfRule type="expression" priority="3" aboveAverage="0" equalAverage="0" bottom="0" percent="0" rank="0" text="" dxfId="2">
      <formula>AND(ISNUMBER(P4),P4&lt;=-0.1)</formula>
    </cfRule>
  </conditionalFormatting>
  <dataValidations count="3">
    <dataValidation allowBlank="true" errorStyle="stop" operator="between" showDropDown="false" showErrorMessage="true" showInputMessage="false" sqref="B4:B203" type="list">
      <formula1>기본설정!$G$4:$G$14</formula1>
      <formula2>0</formula2>
    </dataValidation>
    <dataValidation allowBlank="true" errorStyle="stop" operator="between" showDropDown="false" showErrorMessage="true" showInputMessage="false" sqref="I4:I203" type="list">
      <formula1>"g,ml,개"</formula1>
      <formula2>0</formula2>
    </dataValidation>
    <dataValidation allowBlank="true" errorStyle="stop" operator="between" showDropDown="false" showErrorMessage="true" showInputMessage="false" sqref="M4:M203" type="list">
      <formula1>기본설정!$N$4:$N$5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1" t="s">
        <v>607</v>
      </c>
    </row>
    <row r="2" customFormat="false" ht="15" hidden="false" customHeight="false" outlineLevel="0" collapsed="false">
      <c r="A2" s="2" t="s">
        <v>608</v>
      </c>
    </row>
    <row r="3" customFormat="false" ht="39.75" hidden="false" customHeight="true" outlineLevel="0" collapsed="false">
      <c r="A3" s="11" t="s">
        <v>609</v>
      </c>
      <c r="B3" s="11" t="s">
        <v>610</v>
      </c>
      <c r="C3" s="75" t="s">
        <v>611</v>
      </c>
      <c r="D3" s="11" t="s">
        <v>612</v>
      </c>
      <c r="E3" s="11" t="s">
        <v>613</v>
      </c>
      <c r="F3" s="11" t="s">
        <v>614</v>
      </c>
      <c r="G3" s="11" t="s">
        <v>615</v>
      </c>
    </row>
    <row r="4" customFormat="false" ht="15" hidden="false" customHeight="false" outlineLevel="0" collapsed="false">
      <c r="A4" s="14" t="s">
        <v>616</v>
      </c>
      <c r="B4" s="14" t="s">
        <v>415</v>
      </c>
      <c r="C4" s="76" t="n">
        <v>1800</v>
      </c>
      <c r="D4" s="59" t="str">
        <f aca="false">IF(B4="","",IFERROR(INDEX(식자재단가!$I$4:$I$203,MATCH(B4,식자재단가!$C$4:$C$203,0)),"?"))</f>
        <v>g</v>
      </c>
      <c r="E4" s="77" t="n">
        <f aca="false">IF(B4="","",IFERROR(INDEX(식자재단가!$L$4:$L$203,MATCH(B4,식자재단가!$C$4:$C$203,0)),"품목없음"))</f>
        <v>14.7368421052632</v>
      </c>
      <c r="F4" s="28" t="n">
        <f aca="false">IF(OR(B4="",C4=""),"",IF(ISNUMBER(E4),C4*E4,0))</f>
        <v>26526.3157894737</v>
      </c>
      <c r="G4" s="14"/>
    </row>
    <row r="5" customFormat="false" ht="15" hidden="false" customHeight="false" outlineLevel="0" collapsed="false">
      <c r="A5" s="14" t="s">
        <v>616</v>
      </c>
      <c r="B5" s="14" t="s">
        <v>510</v>
      </c>
      <c r="C5" s="76" t="n">
        <v>30</v>
      </c>
      <c r="D5" s="59" t="str">
        <f aca="false">IF(B5="","",IFERROR(INDEX(식자재단가!$I$4:$I$203,MATCH(B5,식자재단가!$C$4:$C$203,0)),"?"))</f>
        <v>g</v>
      </c>
      <c r="E5" s="77" t="n">
        <f aca="false">IF(B5="","",IFERROR(INDEX(식자재단가!$L$4:$L$203,MATCH(B5,식자재단가!$C$4:$C$203,0)),"품목없음"))</f>
        <v>15</v>
      </c>
      <c r="F5" s="28" t="n">
        <f aca="false">IF(OR(B5="",C5=""),"",IF(ISNUMBER(E5),C5*E5,0))</f>
        <v>450</v>
      </c>
      <c r="G5" s="14"/>
    </row>
    <row r="6" customFormat="false" ht="15" hidden="false" customHeight="false" outlineLevel="0" collapsed="false">
      <c r="A6" s="14" t="s">
        <v>616</v>
      </c>
      <c r="B6" s="14" t="s">
        <v>462</v>
      </c>
      <c r="C6" s="76" t="n">
        <v>100</v>
      </c>
      <c r="D6" s="59" t="str">
        <f aca="false">IF(B6="","",IFERROR(INDEX(식자재단가!$I$4:$I$203,MATCH(B6,식자재단가!$C$4:$C$203,0)),"?"))</f>
        <v>g</v>
      </c>
      <c r="E6" s="77" t="n">
        <f aca="false">IF(B6="","",IFERROR(INDEX(식자재단가!$L$4:$L$203,MATCH(B6,식자재단가!$C$4:$C$203,0)),"품목없음"))</f>
        <v>2</v>
      </c>
      <c r="F6" s="28" t="n">
        <f aca="false">IF(OR(B6="",C6=""),"",IF(ISNUMBER(E6),C6*E6,0))</f>
        <v>200</v>
      </c>
      <c r="G6" s="14"/>
    </row>
    <row r="7" customFormat="false" ht="15" hidden="false" customHeight="false" outlineLevel="0" collapsed="false">
      <c r="A7" s="14" t="s">
        <v>616</v>
      </c>
      <c r="B7" s="14" t="s">
        <v>470</v>
      </c>
      <c r="C7" s="76" t="n">
        <v>20</v>
      </c>
      <c r="D7" s="59" t="str">
        <f aca="false">IF(B7="","",IFERROR(INDEX(식자재단가!$I$4:$I$203,MATCH(B7,식자재단가!$C$4:$C$203,0)),"?"))</f>
        <v>g</v>
      </c>
      <c r="E7" s="77" t="n">
        <f aca="false">IF(B7="","",IFERROR(INDEX(식자재단가!$L$4:$L$203,MATCH(B7,식자재단가!$C$4:$C$203,0)),"품목없음"))</f>
        <v>15</v>
      </c>
      <c r="F7" s="28" t="n">
        <f aca="false">IF(OR(B7="",C7=""),"",IF(ISNUMBER(E7),C7*E7,0))</f>
        <v>300</v>
      </c>
      <c r="G7" s="14"/>
    </row>
    <row r="8" customFormat="false" ht="15" hidden="false" customHeight="false" outlineLevel="0" collapsed="false">
      <c r="A8" s="14" t="s">
        <v>617</v>
      </c>
      <c r="B8" s="14" t="s">
        <v>415</v>
      </c>
      <c r="C8" s="76" t="n">
        <v>1400</v>
      </c>
      <c r="D8" s="59" t="str">
        <f aca="false">IF(B8="","",IFERROR(INDEX(식자재단가!$I$4:$I$203,MATCH(B8,식자재단가!$C$4:$C$203,0)),"?"))</f>
        <v>g</v>
      </c>
      <c r="E8" s="77" t="n">
        <f aca="false">IF(B8="","",IFERROR(INDEX(식자재단가!$L$4:$L$203,MATCH(B8,식자재단가!$C$4:$C$203,0)),"품목없음"))</f>
        <v>14.7368421052632</v>
      </c>
      <c r="F8" s="28" t="n">
        <f aca="false">IF(OR(B8="",C8=""),"",IF(ISNUMBER(E8),C8*E8,0))</f>
        <v>20631.5789473684</v>
      </c>
      <c r="G8" s="14"/>
    </row>
    <row r="9" customFormat="false" ht="15" hidden="false" customHeight="false" outlineLevel="0" collapsed="false">
      <c r="A9" s="14" t="s">
        <v>617</v>
      </c>
      <c r="B9" s="14" t="s">
        <v>510</v>
      </c>
      <c r="C9" s="76" t="n">
        <v>25</v>
      </c>
      <c r="D9" s="59" t="str">
        <f aca="false">IF(B9="","",IFERROR(INDEX(식자재단가!$I$4:$I$203,MATCH(B9,식자재단가!$C$4:$C$203,0)),"?"))</f>
        <v>g</v>
      </c>
      <c r="E9" s="77" t="n">
        <f aca="false">IF(B9="","",IFERROR(INDEX(식자재단가!$L$4:$L$203,MATCH(B9,식자재단가!$C$4:$C$203,0)),"품목없음"))</f>
        <v>15</v>
      </c>
      <c r="F9" s="28" t="n">
        <f aca="false">IF(OR(B9="",C9=""),"",IF(ISNUMBER(E9),C9*E9,0))</f>
        <v>375</v>
      </c>
      <c r="G9" s="14"/>
    </row>
    <row r="10" customFormat="false" ht="15" hidden="false" customHeight="false" outlineLevel="0" collapsed="false">
      <c r="A10" s="14" t="s">
        <v>617</v>
      </c>
      <c r="B10" s="14" t="s">
        <v>462</v>
      </c>
      <c r="C10" s="76" t="n">
        <v>80</v>
      </c>
      <c r="D10" s="59" t="str">
        <f aca="false">IF(B10="","",IFERROR(INDEX(식자재단가!$I$4:$I$203,MATCH(B10,식자재단가!$C$4:$C$203,0)),"?"))</f>
        <v>g</v>
      </c>
      <c r="E10" s="77" t="n">
        <f aca="false">IF(B10="","",IFERROR(INDEX(식자재단가!$L$4:$L$203,MATCH(B10,식자재단가!$C$4:$C$203,0)),"품목없음"))</f>
        <v>2</v>
      </c>
      <c r="F10" s="28" t="n">
        <f aca="false">IF(OR(B10="",C10=""),"",IF(ISNUMBER(E10),C10*E10,0))</f>
        <v>160</v>
      </c>
      <c r="G10" s="14"/>
    </row>
    <row r="11" customFormat="false" ht="15" hidden="false" customHeight="false" outlineLevel="0" collapsed="false">
      <c r="A11" s="14" t="s">
        <v>617</v>
      </c>
      <c r="B11" s="14" t="s">
        <v>470</v>
      </c>
      <c r="C11" s="76" t="n">
        <v>15</v>
      </c>
      <c r="D11" s="59" t="str">
        <f aca="false">IF(B11="","",IFERROR(INDEX(식자재단가!$I$4:$I$203,MATCH(B11,식자재단가!$C$4:$C$203,0)),"?"))</f>
        <v>g</v>
      </c>
      <c r="E11" s="77" t="n">
        <f aca="false">IF(B11="","",IFERROR(INDEX(식자재단가!$L$4:$L$203,MATCH(B11,식자재단가!$C$4:$C$203,0)),"품목없음"))</f>
        <v>15</v>
      </c>
      <c r="F11" s="28" t="n">
        <f aca="false">IF(OR(B11="",C11=""),"",IF(ISNUMBER(E11),C11*E11,0))</f>
        <v>225</v>
      </c>
      <c r="G11" s="14"/>
    </row>
    <row r="12" customFormat="false" ht="15" hidden="false" customHeight="false" outlineLevel="0" collapsed="false">
      <c r="A12" s="14" t="s">
        <v>618</v>
      </c>
      <c r="B12" s="14" t="s">
        <v>421</v>
      </c>
      <c r="C12" s="76" t="n">
        <v>300</v>
      </c>
      <c r="D12" s="59" t="str">
        <f aca="false">IF(B12="","",IFERROR(INDEX(식자재단가!$I$4:$I$203,MATCH(B12,식자재단가!$C$4:$C$203,0)),"?"))</f>
        <v>g</v>
      </c>
      <c r="E12" s="77" t="n">
        <f aca="false">IF(B12="","",IFERROR(INDEX(식자재단가!$L$4:$L$203,MATCH(B12,식자재단가!$C$4:$C$203,0)),"품목없음"))</f>
        <v>34.7826086956522</v>
      </c>
      <c r="F12" s="28" t="n">
        <f aca="false">IF(OR(B12="",C12=""),"",IF(ISNUMBER(E12),C12*E12,0))</f>
        <v>10434.7826086957</v>
      </c>
      <c r="G12" s="14"/>
    </row>
    <row r="13" customFormat="false" ht="15" hidden="false" customHeight="false" outlineLevel="0" collapsed="false">
      <c r="A13" s="14" t="s">
        <v>618</v>
      </c>
      <c r="B13" s="14" t="s">
        <v>510</v>
      </c>
      <c r="C13" s="76" t="n">
        <v>10</v>
      </c>
      <c r="D13" s="59" t="str">
        <f aca="false">IF(B13="","",IFERROR(INDEX(식자재단가!$I$4:$I$203,MATCH(B13,식자재단가!$C$4:$C$203,0)),"?"))</f>
        <v>g</v>
      </c>
      <c r="E13" s="77" t="n">
        <f aca="false">IF(B13="","",IFERROR(INDEX(식자재단가!$L$4:$L$203,MATCH(B13,식자재단가!$C$4:$C$203,0)),"품목없음"))</f>
        <v>15</v>
      </c>
      <c r="F13" s="28" t="n">
        <f aca="false">IF(OR(B13="",C13=""),"",IF(ISNUMBER(E13),C13*E13,0))</f>
        <v>150</v>
      </c>
      <c r="G13" s="14"/>
    </row>
    <row r="14" customFormat="false" ht="15" hidden="false" customHeight="false" outlineLevel="0" collapsed="false">
      <c r="A14" s="14" t="s">
        <v>619</v>
      </c>
      <c r="B14" s="14" t="s">
        <v>423</v>
      </c>
      <c r="C14" s="76" t="n">
        <v>10</v>
      </c>
      <c r="D14" s="59" t="str">
        <f aca="false">IF(B14="","",IFERROR(INDEX(식자재단가!$I$4:$I$203,MATCH(B14,식자재단가!$C$4:$C$203,0)),"?"))</f>
        <v>개</v>
      </c>
      <c r="E14" s="77" t="n">
        <f aca="false">IF(B14="","",IFERROR(INDEX(식자재단가!$L$4:$L$203,MATCH(B14,식자재단가!$C$4:$C$203,0)),"품목없음"))</f>
        <v>450</v>
      </c>
      <c r="F14" s="28" t="n">
        <f aca="false">IF(OR(B14="",C14=""),"",IF(ISNUMBER(E14),C14*E14,0))</f>
        <v>4500</v>
      </c>
      <c r="G14" s="14"/>
    </row>
    <row r="15" customFormat="false" ht="15" hidden="false" customHeight="false" outlineLevel="0" collapsed="false">
      <c r="A15" s="14" t="s">
        <v>619</v>
      </c>
      <c r="B15" s="14" t="s">
        <v>510</v>
      </c>
      <c r="C15" s="76" t="n">
        <v>10</v>
      </c>
      <c r="D15" s="59" t="str">
        <f aca="false">IF(B15="","",IFERROR(INDEX(식자재단가!$I$4:$I$203,MATCH(B15,식자재단가!$C$4:$C$203,0)),"?"))</f>
        <v>g</v>
      </c>
      <c r="E15" s="77" t="n">
        <f aca="false">IF(B15="","",IFERROR(INDEX(식자재단가!$L$4:$L$203,MATCH(B15,식자재단가!$C$4:$C$203,0)),"품목없음"))</f>
        <v>15</v>
      </c>
      <c r="F15" s="28" t="n">
        <f aca="false">IF(OR(B15="",C15=""),"",IF(ISNUMBER(E15),C15*E15,0))</f>
        <v>150</v>
      </c>
      <c r="G15" s="14"/>
    </row>
    <row r="16" customFormat="false" ht="15" hidden="false" customHeight="false" outlineLevel="0" collapsed="false">
      <c r="A16" s="14" t="s">
        <v>620</v>
      </c>
      <c r="B16" s="14" t="s">
        <v>429</v>
      </c>
      <c r="C16" s="76" t="n">
        <v>10</v>
      </c>
      <c r="D16" s="59" t="str">
        <f aca="false">IF(B16="","",IFERROR(INDEX(식자재단가!$I$4:$I$203,MATCH(B16,식자재단가!$C$4:$C$203,0)),"?"))</f>
        <v>개</v>
      </c>
      <c r="E16" s="77" t="n">
        <f aca="false">IF(B16="","",IFERROR(INDEX(식자재단가!$L$4:$L$203,MATCH(B16,식자재단가!$C$4:$C$203,0)),"품목없음"))</f>
        <v>520</v>
      </c>
      <c r="F16" s="28" t="n">
        <f aca="false">IF(OR(B16="",C16=""),"",IF(ISNUMBER(E16),C16*E16,0))</f>
        <v>5200</v>
      </c>
      <c r="G16" s="14"/>
    </row>
    <row r="17" customFormat="false" ht="15" hidden="false" customHeight="false" outlineLevel="0" collapsed="false">
      <c r="A17" s="14" t="s">
        <v>620</v>
      </c>
      <c r="B17" s="14" t="s">
        <v>510</v>
      </c>
      <c r="C17" s="76" t="n">
        <v>8</v>
      </c>
      <c r="D17" s="59" t="str">
        <f aca="false">IF(B17="","",IFERROR(INDEX(식자재단가!$I$4:$I$203,MATCH(B17,식자재단가!$C$4:$C$203,0)),"?"))</f>
        <v>g</v>
      </c>
      <c r="E17" s="77" t="n">
        <f aca="false">IF(B17="","",IFERROR(INDEX(식자재단가!$L$4:$L$203,MATCH(B17,식자재단가!$C$4:$C$203,0)),"품목없음"))</f>
        <v>15</v>
      </c>
      <c r="F17" s="28" t="n">
        <f aca="false">IF(OR(B17="",C17=""),"",IF(ISNUMBER(E17),C17*E17,0))</f>
        <v>120</v>
      </c>
      <c r="G17" s="14"/>
    </row>
    <row r="18" customFormat="false" ht="15" hidden="false" customHeight="false" outlineLevel="0" collapsed="false">
      <c r="A18" s="14" t="s">
        <v>621</v>
      </c>
      <c r="B18" s="14" t="s">
        <v>431</v>
      </c>
      <c r="C18" s="76" t="n">
        <v>10</v>
      </c>
      <c r="D18" s="59" t="str">
        <f aca="false">IF(B18="","",IFERROR(INDEX(식자재단가!$I$4:$I$203,MATCH(B18,식자재단가!$C$4:$C$203,0)),"?"))</f>
        <v>개</v>
      </c>
      <c r="E18" s="77" t="n">
        <f aca="false">IF(B18="","",IFERROR(INDEX(식자재단가!$L$4:$L$203,MATCH(B18,식자재단가!$C$4:$C$203,0)),"품목없음"))</f>
        <v>620</v>
      </c>
      <c r="F18" s="28" t="n">
        <f aca="false">IF(OR(B18="",C18=""),"",IF(ISNUMBER(E18),C18*E18,0))</f>
        <v>6200</v>
      </c>
      <c r="G18" s="14"/>
    </row>
    <row r="19" customFormat="false" ht="15" hidden="false" customHeight="false" outlineLevel="0" collapsed="false">
      <c r="A19" s="14" t="s">
        <v>621</v>
      </c>
      <c r="B19" s="14" t="s">
        <v>510</v>
      </c>
      <c r="C19" s="76" t="n">
        <v>10</v>
      </c>
      <c r="D19" s="59" t="str">
        <f aca="false">IF(B19="","",IFERROR(INDEX(식자재단가!$I$4:$I$203,MATCH(B19,식자재단가!$C$4:$C$203,0)),"?"))</f>
        <v>g</v>
      </c>
      <c r="E19" s="77" t="n">
        <f aca="false">IF(B19="","",IFERROR(INDEX(식자재단가!$L$4:$L$203,MATCH(B19,식자재단가!$C$4:$C$203,0)),"품목없음"))</f>
        <v>15</v>
      </c>
      <c r="F19" s="28" t="n">
        <f aca="false">IF(OR(B19="",C19=""),"",IF(ISNUMBER(E19),C19*E19,0))</f>
        <v>150</v>
      </c>
      <c r="G19" s="14"/>
    </row>
    <row r="20" customFormat="false" ht="15" hidden="false" customHeight="false" outlineLevel="0" collapsed="false">
      <c r="A20" s="14" t="s">
        <v>622</v>
      </c>
      <c r="B20" s="14" t="s">
        <v>441</v>
      </c>
      <c r="C20" s="76" t="n">
        <v>10</v>
      </c>
      <c r="D20" s="59" t="str">
        <f aca="false">IF(B20="","",IFERROR(INDEX(식자재단가!$I$4:$I$203,MATCH(B20,식자재단가!$C$4:$C$203,0)),"?"))</f>
        <v>개</v>
      </c>
      <c r="E20" s="77" t="n">
        <f aca="false">IF(B20="","",IFERROR(INDEX(식자재단가!$L$4:$L$203,MATCH(B20,식자재단가!$C$4:$C$203,0)),"품목없음"))</f>
        <v>700</v>
      </c>
      <c r="F20" s="28" t="n">
        <f aca="false">IF(OR(B20="",C20=""),"",IF(ISNUMBER(E20),C20*E20,0))</f>
        <v>7000</v>
      </c>
      <c r="G20" s="14"/>
    </row>
    <row r="21" customFormat="false" ht="15" hidden="false" customHeight="false" outlineLevel="0" collapsed="false">
      <c r="A21" s="14" t="s">
        <v>623</v>
      </c>
      <c r="B21" s="14" t="s">
        <v>435</v>
      </c>
      <c r="C21" s="76" t="n">
        <v>250</v>
      </c>
      <c r="D21" s="59" t="str">
        <f aca="false">IF(B21="","",IFERROR(INDEX(식자재단가!$I$4:$I$203,MATCH(B21,식자재단가!$C$4:$C$203,0)),"?"))</f>
        <v>g</v>
      </c>
      <c r="E21" s="77" t="n">
        <f aca="false">IF(B21="","",IFERROR(INDEX(식자재단가!$L$4:$L$203,MATCH(B21,식자재단가!$C$4:$C$203,0)),"품목없음"))</f>
        <v>12.2222222222222</v>
      </c>
      <c r="F21" s="28" t="n">
        <f aca="false">IF(OR(B21="",C21=""),"",IF(ISNUMBER(E21),C21*E21,0))</f>
        <v>3055.55555555556</v>
      </c>
      <c r="G21" s="14"/>
    </row>
    <row r="22" customFormat="false" ht="15" hidden="false" customHeight="false" outlineLevel="0" collapsed="false">
      <c r="A22" s="14" t="s">
        <v>623</v>
      </c>
      <c r="B22" s="14" t="s">
        <v>538</v>
      </c>
      <c r="C22" s="76" t="n">
        <v>120</v>
      </c>
      <c r="D22" s="59" t="str">
        <f aca="false">IF(B22="","",IFERROR(INDEX(식자재단가!$I$4:$I$203,MATCH(B22,식자재단가!$C$4:$C$203,0)),"?"))</f>
        <v>g</v>
      </c>
      <c r="E22" s="77" t="n">
        <f aca="false">IF(B22="","",IFERROR(INDEX(식자재단가!$L$4:$L$203,MATCH(B22,식자재단가!$C$4:$C$203,0)),"품목없음"))</f>
        <v>3.5</v>
      </c>
      <c r="F22" s="28" t="n">
        <f aca="false">IF(OR(B22="",C22=""),"",IF(ISNUMBER(E22),C22*E22,0))</f>
        <v>420</v>
      </c>
      <c r="G22" s="14"/>
    </row>
    <row r="23" customFormat="false" ht="15" hidden="false" customHeight="false" outlineLevel="0" collapsed="false">
      <c r="A23" s="14" t="s">
        <v>623</v>
      </c>
      <c r="B23" s="14" t="s">
        <v>540</v>
      </c>
      <c r="C23" s="76" t="n">
        <v>150</v>
      </c>
      <c r="D23" s="59" t="str">
        <f aca="false">IF(B23="","",IFERROR(INDEX(식자재단가!$I$4:$I$203,MATCH(B23,식자재단가!$C$4:$C$203,0)),"?"))</f>
        <v>ml</v>
      </c>
      <c r="E23" s="77" t="n">
        <f aca="false">IF(B23="","",IFERROR(INDEX(식자재단가!$L$4:$L$203,MATCH(B23,식자재단가!$C$4:$C$203,0)),"품목없음"))</f>
        <v>3.05555555555556</v>
      </c>
      <c r="F23" s="28" t="n">
        <f aca="false">IF(OR(B23="",C23=""),"",IF(ISNUMBER(E23),C23*E23,0))</f>
        <v>458.333333333333</v>
      </c>
      <c r="G23" s="14"/>
    </row>
    <row r="24" customFormat="false" ht="15" hidden="false" customHeight="false" outlineLevel="0" collapsed="false">
      <c r="A24" s="14" t="s">
        <v>623</v>
      </c>
      <c r="B24" s="14" t="s">
        <v>529</v>
      </c>
      <c r="C24" s="76" t="n">
        <v>60</v>
      </c>
      <c r="D24" s="59" t="str">
        <f aca="false">IF(B24="","",IFERROR(INDEX(식자재단가!$I$4:$I$203,MATCH(B24,식자재단가!$C$4:$C$203,0)),"?"))</f>
        <v>g</v>
      </c>
      <c r="E24" s="77" t="n">
        <f aca="false">IF(B24="","",IFERROR(INDEX(식자재단가!$L$4:$L$203,MATCH(B24,식자재단가!$C$4:$C$203,0)),"품목없음"))</f>
        <v>1.66666666666667</v>
      </c>
      <c r="F24" s="28" t="n">
        <f aca="false">IF(OR(B24="",C24=""),"",IF(ISNUMBER(E24),C24*E24,0))</f>
        <v>100</v>
      </c>
      <c r="G24" s="14"/>
    </row>
    <row r="25" customFormat="false" ht="15" hidden="false" customHeight="false" outlineLevel="0" collapsed="false">
      <c r="A25" s="14" t="s">
        <v>623</v>
      </c>
      <c r="B25" s="14" t="s">
        <v>527</v>
      </c>
      <c r="C25" s="76" t="n">
        <v>50</v>
      </c>
      <c r="D25" s="59" t="str">
        <f aca="false">IF(B25="","",IFERROR(INDEX(식자재단가!$I$4:$I$203,MATCH(B25,식자재단가!$C$4:$C$203,0)),"?"))</f>
        <v>ml</v>
      </c>
      <c r="E25" s="77" t="n">
        <f aca="false">IF(B25="","",IFERROR(INDEX(식자재단가!$L$4:$L$203,MATCH(B25,식자재단가!$C$4:$C$203,0)),"품목없음"))</f>
        <v>1.66666666666667</v>
      </c>
      <c r="F25" s="28" t="n">
        <f aca="false">IF(OR(B25="",C25=""),"",IF(ISNUMBER(E25),C25*E25,0))</f>
        <v>83.3333333333333</v>
      </c>
      <c r="G25" s="14"/>
    </row>
    <row r="26" customFormat="false" ht="15" hidden="false" customHeight="false" outlineLevel="0" collapsed="false">
      <c r="A26" s="14" t="s">
        <v>624</v>
      </c>
      <c r="B26" s="14" t="s">
        <v>451</v>
      </c>
      <c r="C26" s="76" t="n">
        <v>400</v>
      </c>
      <c r="D26" s="59" t="str">
        <f aca="false">IF(B26="","",IFERROR(INDEX(식자재단가!$I$4:$I$203,MATCH(B26,식자재단가!$C$4:$C$203,0)),"?"))</f>
        <v>g</v>
      </c>
      <c r="E26" s="77" t="n">
        <f aca="false">IF(B26="","",IFERROR(INDEX(식자재단가!$L$4:$L$203,MATCH(B26,식자재단가!$C$4:$C$203,0)),"품목없음"))</f>
        <v>5</v>
      </c>
      <c r="F26" s="28" t="n">
        <f aca="false">IF(OR(B26="",C26=""),"",IF(ISNUMBER(E26),C26*E26,0))</f>
        <v>2000</v>
      </c>
      <c r="G26" s="14"/>
    </row>
    <row r="27" customFormat="false" ht="15" hidden="false" customHeight="false" outlineLevel="0" collapsed="false">
      <c r="A27" s="14" t="s">
        <v>624</v>
      </c>
      <c r="B27" s="14" t="s">
        <v>538</v>
      </c>
      <c r="C27" s="76" t="n">
        <v>100</v>
      </c>
      <c r="D27" s="59" t="str">
        <f aca="false">IF(B27="","",IFERROR(INDEX(식자재단가!$I$4:$I$203,MATCH(B27,식자재단가!$C$4:$C$203,0)),"?"))</f>
        <v>g</v>
      </c>
      <c r="E27" s="77" t="n">
        <f aca="false">IF(B27="","",IFERROR(INDEX(식자재단가!$L$4:$L$203,MATCH(B27,식자재단가!$C$4:$C$203,0)),"품목없음"))</f>
        <v>3.5</v>
      </c>
      <c r="F27" s="28" t="n">
        <f aca="false">IF(OR(B27="",C27=""),"",IF(ISNUMBER(E27),C27*E27,0))</f>
        <v>350</v>
      </c>
      <c r="G27" s="14"/>
    </row>
    <row r="28" customFormat="false" ht="15" hidden="false" customHeight="false" outlineLevel="0" collapsed="false">
      <c r="A28" s="14" t="s">
        <v>624</v>
      </c>
      <c r="B28" s="14" t="s">
        <v>540</v>
      </c>
      <c r="C28" s="76" t="n">
        <v>150</v>
      </c>
      <c r="D28" s="59" t="str">
        <f aca="false">IF(B28="","",IFERROR(INDEX(식자재단가!$I$4:$I$203,MATCH(B28,식자재단가!$C$4:$C$203,0)),"?"))</f>
        <v>ml</v>
      </c>
      <c r="E28" s="77" t="n">
        <f aca="false">IF(B28="","",IFERROR(INDEX(식자재단가!$L$4:$L$203,MATCH(B28,식자재단가!$C$4:$C$203,0)),"품목없음"))</f>
        <v>3.05555555555556</v>
      </c>
      <c r="F28" s="28" t="n">
        <f aca="false">IF(OR(B28="",C28=""),"",IF(ISNUMBER(E28),C28*E28,0))</f>
        <v>458.333333333333</v>
      </c>
      <c r="G28" s="14"/>
    </row>
    <row r="29" customFormat="false" ht="15" hidden="false" customHeight="false" outlineLevel="0" collapsed="false">
      <c r="A29" s="14" t="s">
        <v>624</v>
      </c>
      <c r="B29" s="14" t="s">
        <v>529</v>
      </c>
      <c r="C29" s="76" t="n">
        <v>30</v>
      </c>
      <c r="D29" s="59" t="str">
        <f aca="false">IF(B29="","",IFERROR(INDEX(식자재단가!$I$4:$I$203,MATCH(B29,식자재단가!$C$4:$C$203,0)),"?"))</f>
        <v>g</v>
      </c>
      <c r="E29" s="77" t="n">
        <f aca="false">IF(B29="","",IFERROR(INDEX(식자재단가!$L$4:$L$203,MATCH(B29,식자재단가!$C$4:$C$203,0)),"품목없음"))</f>
        <v>1.66666666666667</v>
      </c>
      <c r="F29" s="28" t="n">
        <f aca="false">IF(OR(B29="",C29=""),"",IF(ISNUMBER(E29),C29*E29,0))</f>
        <v>50</v>
      </c>
      <c r="G29" s="14"/>
    </row>
    <row r="30" customFormat="false" ht="15" hidden="false" customHeight="false" outlineLevel="0" collapsed="false">
      <c r="A30" s="14" t="s">
        <v>624</v>
      </c>
      <c r="B30" s="14" t="s">
        <v>522</v>
      </c>
      <c r="C30" s="76" t="n">
        <v>20</v>
      </c>
      <c r="D30" s="59" t="str">
        <f aca="false">IF(B30="","",IFERROR(INDEX(식자재단가!$I$4:$I$203,MATCH(B30,식자재단가!$C$4:$C$203,0)),"?"))</f>
        <v>ml</v>
      </c>
      <c r="E30" s="77" t="n">
        <f aca="false">IF(B30="","",IFERROR(INDEX(식자재단가!$L$4:$L$203,MATCH(B30,식자재단가!$C$4:$C$203,0)),"품목없음"))</f>
        <v>3.33333333333333</v>
      </c>
      <c r="F30" s="28" t="n">
        <f aca="false">IF(OR(B30="",C30=""),"",IF(ISNUMBER(E30),C30*E30,0))</f>
        <v>66.6666666666667</v>
      </c>
      <c r="G30" s="14"/>
    </row>
    <row r="31" customFormat="false" ht="15" hidden="false" customHeight="false" outlineLevel="0" collapsed="false">
      <c r="A31" s="14" t="s">
        <v>625</v>
      </c>
      <c r="B31" s="14" t="s">
        <v>454</v>
      </c>
      <c r="C31" s="76" t="n">
        <v>350</v>
      </c>
      <c r="D31" s="59" t="str">
        <f aca="false">IF(B31="","",IFERROR(INDEX(식자재단가!$I$4:$I$203,MATCH(B31,식자재단가!$C$4:$C$203,0)),"?"))</f>
        <v>g</v>
      </c>
      <c r="E31" s="77" t="n">
        <f aca="false">IF(B31="","",IFERROR(INDEX(식자재단가!$L$4:$L$203,MATCH(B31,식자재단가!$C$4:$C$203,0)),"품목없음"))</f>
        <v>5.26315789473684</v>
      </c>
      <c r="F31" s="28" t="n">
        <f aca="false">IF(OR(B31="",C31=""),"",IF(ISNUMBER(E31),C31*E31,0))</f>
        <v>1842.10526315789</v>
      </c>
      <c r="G31" s="14"/>
    </row>
    <row r="32" customFormat="false" ht="15" hidden="false" customHeight="false" outlineLevel="0" collapsed="false">
      <c r="A32" s="14" t="s">
        <v>625</v>
      </c>
      <c r="B32" s="14" t="s">
        <v>486</v>
      </c>
      <c r="C32" s="76" t="n">
        <v>4</v>
      </c>
      <c r="D32" s="59" t="str">
        <f aca="false">IF(B32="","",IFERROR(INDEX(식자재단가!$I$4:$I$203,MATCH(B32,식자재단가!$C$4:$C$203,0)),"?"))</f>
        <v>개</v>
      </c>
      <c r="E32" s="77" t="n">
        <f aca="false">IF(B32="","",IFERROR(INDEX(식자재단가!$L$4:$L$203,MATCH(B32,식자재단가!$C$4:$C$203,0)),"품목없음"))</f>
        <v>266.666666666667</v>
      </c>
      <c r="F32" s="28" t="n">
        <f aca="false">IF(OR(B32="",C32=""),"",IF(ISNUMBER(E32),C32*E32,0))</f>
        <v>1066.66666666667</v>
      </c>
      <c r="G32" s="14"/>
    </row>
    <row r="33" customFormat="false" ht="15" hidden="false" customHeight="false" outlineLevel="0" collapsed="false">
      <c r="A33" s="14" t="s">
        <v>625</v>
      </c>
      <c r="B33" s="14" t="s">
        <v>540</v>
      </c>
      <c r="C33" s="76" t="n">
        <v>40</v>
      </c>
      <c r="D33" s="59" t="str">
        <f aca="false">IF(B33="","",IFERROR(INDEX(식자재단가!$I$4:$I$203,MATCH(B33,식자재단가!$C$4:$C$203,0)),"?"))</f>
        <v>ml</v>
      </c>
      <c r="E33" s="77" t="n">
        <f aca="false">IF(B33="","",IFERROR(INDEX(식자재단가!$L$4:$L$203,MATCH(B33,식자재단가!$C$4:$C$203,0)),"품목없음"))</f>
        <v>3.05555555555556</v>
      </c>
      <c r="F33" s="28" t="n">
        <f aca="false">IF(OR(B33="",C33=""),"",IF(ISNUMBER(E33),C33*E33,0))</f>
        <v>122.222222222222</v>
      </c>
      <c r="G33" s="14"/>
    </row>
    <row r="34" customFormat="false" ht="15" hidden="false" customHeight="false" outlineLevel="0" collapsed="false">
      <c r="A34" s="14" t="s">
        <v>625</v>
      </c>
      <c r="B34" s="14" t="s">
        <v>529</v>
      </c>
      <c r="C34" s="76" t="n">
        <v>15</v>
      </c>
      <c r="D34" s="59" t="str">
        <f aca="false">IF(B34="","",IFERROR(INDEX(식자재단가!$I$4:$I$203,MATCH(B34,식자재단가!$C$4:$C$203,0)),"?"))</f>
        <v>g</v>
      </c>
      <c r="E34" s="77" t="n">
        <f aca="false">IF(B34="","",IFERROR(INDEX(식자재단가!$L$4:$L$203,MATCH(B34,식자재단가!$C$4:$C$203,0)),"품목없음"))</f>
        <v>1.66666666666667</v>
      </c>
      <c r="F34" s="28" t="n">
        <f aca="false">IF(OR(B34="",C34=""),"",IF(ISNUMBER(E34),C34*E34,0))</f>
        <v>25</v>
      </c>
      <c r="G34" s="14"/>
    </row>
    <row r="35" customFormat="false" ht="15" hidden="false" customHeight="false" outlineLevel="0" collapsed="false">
      <c r="A35" s="14" t="s">
        <v>625</v>
      </c>
      <c r="B35" s="14" t="s">
        <v>464</v>
      </c>
      <c r="C35" s="76" t="n">
        <v>20</v>
      </c>
      <c r="D35" s="59" t="str">
        <f aca="false">IF(B35="","",IFERROR(INDEX(식자재단가!$I$4:$I$203,MATCH(B35,식자재단가!$C$4:$C$203,0)),"?"))</f>
        <v>g</v>
      </c>
      <c r="E35" s="77" t="n">
        <f aca="false">IF(B35="","",IFERROR(INDEX(식자재단가!$L$4:$L$203,MATCH(B35,식자재단가!$C$4:$C$203,0)),"품목없음"))</f>
        <v>4.11764705882353</v>
      </c>
      <c r="F35" s="28" t="n">
        <f aca="false">IF(OR(B35="",C35=""),"",IF(ISNUMBER(E35),C35*E35,0))</f>
        <v>82.3529411764706</v>
      </c>
      <c r="G35" s="14"/>
    </row>
    <row r="36" customFormat="false" ht="15" hidden="false" customHeight="false" outlineLevel="0" collapsed="false">
      <c r="A36" s="14" t="s">
        <v>626</v>
      </c>
      <c r="B36" s="14" t="s">
        <v>480</v>
      </c>
      <c r="C36" s="76" t="n">
        <v>400</v>
      </c>
      <c r="D36" s="59" t="str">
        <f aca="false">IF(B36="","",IFERROR(INDEX(식자재단가!$I$4:$I$203,MATCH(B36,식자재단가!$C$4:$C$203,0)),"?"))</f>
        <v>g</v>
      </c>
      <c r="E36" s="77" t="n">
        <f aca="false">IF(B36="","",IFERROR(INDEX(식자재단가!$L$4:$L$203,MATCH(B36,식자재단가!$C$4:$C$203,0)),"품목없음"))</f>
        <v>3.5</v>
      </c>
      <c r="F36" s="28" t="n">
        <f aca="false">IF(OR(B36="",C36=""),"",IF(ISNUMBER(E36),C36*E36,0))</f>
        <v>1400</v>
      </c>
      <c r="G36" s="14"/>
    </row>
    <row r="37" customFormat="false" ht="15" hidden="false" customHeight="false" outlineLevel="0" collapsed="false">
      <c r="A37" s="14" t="s">
        <v>626</v>
      </c>
      <c r="B37" s="14" t="s">
        <v>439</v>
      </c>
      <c r="C37" s="76" t="n">
        <v>80</v>
      </c>
      <c r="D37" s="59" t="str">
        <f aca="false">IF(B37="","",IFERROR(INDEX(식자재단가!$I$4:$I$203,MATCH(B37,식자재단가!$C$4:$C$203,0)),"?"))</f>
        <v>g</v>
      </c>
      <c r="E37" s="77" t="n">
        <f aca="false">IF(B37="","",IFERROR(INDEX(식자재단가!$L$4:$L$203,MATCH(B37,식자재단가!$C$4:$C$203,0)),"품목없음"))</f>
        <v>9.47368421052632</v>
      </c>
      <c r="F37" s="28" t="n">
        <f aca="false">IF(OR(B37="",C37=""),"",IF(ISNUMBER(E37),C37*E37,0))</f>
        <v>757.894736842105</v>
      </c>
      <c r="G37" s="14"/>
    </row>
    <row r="38" customFormat="false" ht="15" hidden="false" customHeight="false" outlineLevel="0" collapsed="false">
      <c r="A38" s="14" t="s">
        <v>626</v>
      </c>
      <c r="B38" s="14" t="s">
        <v>517</v>
      </c>
      <c r="C38" s="76" t="n">
        <v>40</v>
      </c>
      <c r="D38" s="59" t="str">
        <f aca="false">IF(B38="","",IFERROR(INDEX(식자재단가!$I$4:$I$203,MATCH(B38,식자재단가!$C$4:$C$203,0)),"?"))</f>
        <v>g</v>
      </c>
      <c r="E38" s="77" t="n">
        <f aca="false">IF(B38="","",IFERROR(INDEX(식자재단가!$L$4:$L$203,MATCH(B38,식자재단가!$C$4:$C$203,0)),"품목없음"))</f>
        <v>8</v>
      </c>
      <c r="F38" s="28" t="n">
        <f aca="false">IF(OR(B38="",C38=""),"",IF(ISNUMBER(E38),C38*E38,0))</f>
        <v>320</v>
      </c>
      <c r="G38" s="14"/>
    </row>
    <row r="39" customFormat="false" ht="15" hidden="false" customHeight="false" outlineLevel="0" collapsed="false">
      <c r="A39" s="14" t="s">
        <v>626</v>
      </c>
      <c r="B39" s="14" t="s">
        <v>536</v>
      </c>
      <c r="C39" s="76" t="n">
        <v>3</v>
      </c>
      <c r="D39" s="59" t="str">
        <f aca="false">IF(B39="","",IFERROR(INDEX(식자재단가!$I$4:$I$203,MATCH(B39,식자재단가!$C$4:$C$203,0)),"?"))</f>
        <v>g</v>
      </c>
      <c r="E39" s="77" t="n">
        <f aca="false">IF(B39="","",IFERROR(INDEX(식자재단가!$L$4:$L$203,MATCH(B39,식자재단가!$C$4:$C$203,0)),"품목없음"))</f>
        <v>30</v>
      </c>
      <c r="F39" s="28" t="n">
        <f aca="false">IF(OR(B39="",C39=""),"",IF(ISNUMBER(E39),C39*E39,0))</f>
        <v>90</v>
      </c>
      <c r="G39" s="14"/>
    </row>
    <row r="40" customFormat="false" ht="15" hidden="false" customHeight="false" outlineLevel="0" collapsed="false">
      <c r="A40" s="14" t="s">
        <v>626</v>
      </c>
      <c r="B40" s="14" t="s">
        <v>540</v>
      </c>
      <c r="C40" s="76" t="n">
        <v>40</v>
      </c>
      <c r="D40" s="59" t="str">
        <f aca="false">IF(B40="","",IFERROR(INDEX(식자재단가!$I$4:$I$203,MATCH(B40,식자재단가!$C$4:$C$203,0)),"?"))</f>
        <v>ml</v>
      </c>
      <c r="E40" s="77" t="n">
        <f aca="false">IF(B40="","",IFERROR(INDEX(식자재단가!$L$4:$L$203,MATCH(B40,식자재단가!$C$4:$C$203,0)),"품목없음"))</f>
        <v>3.05555555555556</v>
      </c>
      <c r="F40" s="28" t="n">
        <f aca="false">IF(OR(B40="",C40=""),"",IF(ISNUMBER(E40),C40*E40,0))</f>
        <v>122.222222222222</v>
      </c>
      <c r="G40" s="14"/>
    </row>
    <row r="41" customFormat="false" ht="15" hidden="false" customHeight="false" outlineLevel="0" collapsed="false">
      <c r="A41" s="14" t="s">
        <v>626</v>
      </c>
      <c r="B41" s="14" t="s">
        <v>464</v>
      </c>
      <c r="C41" s="76" t="n">
        <v>20</v>
      </c>
      <c r="D41" s="59" t="str">
        <f aca="false">IF(B41="","",IFERROR(INDEX(식자재단가!$I$4:$I$203,MATCH(B41,식자재단가!$C$4:$C$203,0)),"?"))</f>
        <v>g</v>
      </c>
      <c r="E41" s="77" t="n">
        <f aca="false">IF(B41="","",IFERROR(INDEX(식자재단가!$L$4:$L$203,MATCH(B41,식자재단가!$C$4:$C$203,0)),"품목없음"))</f>
        <v>4.11764705882353</v>
      </c>
      <c r="F41" s="28" t="n">
        <f aca="false">IF(OR(B41="",C41=""),"",IF(ISNUMBER(E41),C41*E41,0))</f>
        <v>82.3529411764706</v>
      </c>
      <c r="G41" s="14"/>
    </row>
    <row r="42" customFormat="false" ht="15" hidden="false" customHeight="false" outlineLevel="0" collapsed="false">
      <c r="A42" s="14" t="s">
        <v>626</v>
      </c>
      <c r="B42" s="14" t="s">
        <v>538</v>
      </c>
      <c r="C42" s="76" t="n">
        <v>15</v>
      </c>
      <c r="D42" s="59" t="str">
        <f aca="false">IF(B42="","",IFERROR(INDEX(식자재단가!$I$4:$I$203,MATCH(B42,식자재단가!$C$4:$C$203,0)),"?"))</f>
        <v>g</v>
      </c>
      <c r="E42" s="77" t="n">
        <f aca="false">IF(B42="","",IFERROR(INDEX(식자재단가!$L$4:$L$203,MATCH(B42,식자재단가!$C$4:$C$203,0)),"품목없음"))</f>
        <v>3.5</v>
      </c>
      <c r="F42" s="28" t="n">
        <f aca="false">IF(OR(B42="",C42=""),"",IF(ISNUMBER(E42),C42*E42,0))</f>
        <v>52.5</v>
      </c>
      <c r="G42" s="14"/>
    </row>
    <row r="43" customFormat="false" ht="15" hidden="false" customHeight="false" outlineLevel="0" collapsed="false">
      <c r="A43" s="14" t="s">
        <v>627</v>
      </c>
      <c r="B43" s="14" t="s">
        <v>444</v>
      </c>
      <c r="C43" s="76" t="n">
        <v>250</v>
      </c>
      <c r="D43" s="59" t="str">
        <f aca="false">IF(B43="","",IFERROR(INDEX(식자재단가!$I$4:$I$203,MATCH(B43,식자재단가!$C$4:$C$203,0)),"?"))</f>
        <v>g</v>
      </c>
      <c r="E43" s="77" t="n">
        <f aca="false">IF(B43="","",IFERROR(INDEX(식자재단가!$L$4:$L$203,MATCH(B43,식자재단가!$C$4:$C$203,0)),"품목없음"))</f>
        <v>28.2352941176471</v>
      </c>
      <c r="F43" s="28" t="n">
        <f aca="false">IF(OR(B43="",C43=""),"",IF(ISNUMBER(E43),C43*E43,0))</f>
        <v>7058.82352941177</v>
      </c>
      <c r="G43" s="14"/>
    </row>
    <row r="44" customFormat="false" ht="15" hidden="false" customHeight="false" outlineLevel="0" collapsed="false">
      <c r="A44" s="14" t="s">
        <v>627</v>
      </c>
      <c r="B44" s="14" t="s">
        <v>534</v>
      </c>
      <c r="C44" s="76" t="n">
        <v>20</v>
      </c>
      <c r="D44" s="59" t="str">
        <f aca="false">IF(B44="","",IFERROR(INDEX(식자재단가!$I$4:$I$203,MATCH(B44,식자재단가!$C$4:$C$203,0)),"?"))</f>
        <v>g</v>
      </c>
      <c r="E44" s="77" t="n">
        <f aca="false">IF(B44="","",IFERROR(INDEX(식자재단가!$L$4:$L$203,MATCH(B44,식자재단가!$C$4:$C$203,0)),"품목없음"))</f>
        <v>16</v>
      </c>
      <c r="F44" s="28" t="n">
        <f aca="false">IF(OR(B44="",C44=""),"",IF(ISNUMBER(E44),C44*E44,0))</f>
        <v>320</v>
      </c>
      <c r="G44" s="14"/>
    </row>
    <row r="45" customFormat="false" ht="15" hidden="false" customHeight="false" outlineLevel="0" collapsed="false">
      <c r="A45" s="14" t="s">
        <v>627</v>
      </c>
      <c r="B45" s="14" t="s">
        <v>536</v>
      </c>
      <c r="C45" s="76" t="n">
        <v>5</v>
      </c>
      <c r="D45" s="59" t="str">
        <f aca="false">IF(B45="","",IFERROR(INDEX(식자재단가!$I$4:$I$203,MATCH(B45,식자재단가!$C$4:$C$203,0)),"?"))</f>
        <v>g</v>
      </c>
      <c r="E45" s="77" t="n">
        <f aca="false">IF(B45="","",IFERROR(INDEX(식자재단가!$L$4:$L$203,MATCH(B45,식자재단가!$C$4:$C$203,0)),"품목없음"))</f>
        <v>30</v>
      </c>
      <c r="F45" s="28" t="n">
        <f aca="false">IF(OR(B45="",C45=""),"",IF(ISNUMBER(E45),C45*E45,0))</f>
        <v>150</v>
      </c>
      <c r="G45" s="14"/>
    </row>
    <row r="46" customFormat="false" ht="15" hidden="false" customHeight="false" outlineLevel="0" collapsed="false">
      <c r="A46" s="14" t="s">
        <v>627</v>
      </c>
      <c r="B46" s="14" t="s">
        <v>466</v>
      </c>
      <c r="C46" s="76" t="n">
        <v>30</v>
      </c>
      <c r="D46" s="59" t="str">
        <f aca="false">IF(B46="","",IFERROR(INDEX(식자재단가!$I$4:$I$203,MATCH(B46,식자재단가!$C$4:$C$203,0)),"?"))</f>
        <v>g</v>
      </c>
      <c r="E46" s="77" t="n">
        <f aca="false">IF(B46="","",IFERROR(INDEX(식자재단가!$L$4:$L$203,MATCH(B46,식자재단가!$C$4:$C$203,0)),"품목없음"))</f>
        <v>9</v>
      </c>
      <c r="F46" s="28" t="n">
        <f aca="false">IF(OR(B46="",C46=""),"",IF(ISNUMBER(E46),C46*E46,0))</f>
        <v>270</v>
      </c>
      <c r="G46" s="14"/>
    </row>
    <row r="47" customFormat="false" ht="15" hidden="false" customHeight="false" outlineLevel="0" collapsed="false">
      <c r="A47" s="14" t="s">
        <v>627</v>
      </c>
      <c r="B47" s="14" t="s">
        <v>540</v>
      </c>
      <c r="C47" s="76" t="n">
        <v>80</v>
      </c>
      <c r="D47" s="59" t="str">
        <f aca="false">IF(B47="","",IFERROR(INDEX(식자재단가!$I$4:$I$203,MATCH(B47,식자재단가!$C$4:$C$203,0)),"?"))</f>
        <v>ml</v>
      </c>
      <c r="E47" s="77" t="n">
        <f aca="false">IF(B47="","",IFERROR(INDEX(식자재단가!$L$4:$L$203,MATCH(B47,식자재단가!$C$4:$C$203,0)),"품목없음"))</f>
        <v>3.05555555555556</v>
      </c>
      <c r="F47" s="28" t="n">
        <f aca="false">IF(OR(B47="",C47=""),"",IF(ISNUMBER(E47),C47*E47,0))</f>
        <v>244.444444444444</v>
      </c>
      <c r="G47" s="14"/>
    </row>
    <row r="48" customFormat="false" ht="15" hidden="false" customHeight="false" outlineLevel="0" collapsed="false">
      <c r="A48" s="14" t="s">
        <v>627</v>
      </c>
      <c r="B48" s="14" t="s">
        <v>464</v>
      </c>
      <c r="C48" s="76" t="n">
        <v>30</v>
      </c>
      <c r="D48" s="59" t="str">
        <f aca="false">IF(B48="","",IFERROR(INDEX(식자재단가!$I$4:$I$203,MATCH(B48,식자재단가!$C$4:$C$203,0)),"?"))</f>
        <v>g</v>
      </c>
      <c r="E48" s="77" t="n">
        <f aca="false">IF(B48="","",IFERROR(INDEX(식자재단가!$L$4:$L$203,MATCH(B48,식자재단가!$C$4:$C$203,0)),"품목없음"))</f>
        <v>4.11764705882353</v>
      </c>
      <c r="F48" s="28" t="n">
        <f aca="false">IF(OR(B48="",C48=""),"",IF(ISNUMBER(E48),C48*E48,0))</f>
        <v>123.529411764706</v>
      </c>
      <c r="G48" s="14"/>
    </row>
    <row r="49" customFormat="false" ht="15" hidden="false" customHeight="false" outlineLevel="0" collapsed="false">
      <c r="A49" s="14" t="s">
        <v>628</v>
      </c>
      <c r="B49" s="14" t="s">
        <v>439</v>
      </c>
      <c r="C49" s="76" t="n">
        <v>250</v>
      </c>
      <c r="D49" s="59" t="str">
        <f aca="false">IF(B49="","",IFERROR(INDEX(식자재단가!$I$4:$I$203,MATCH(B49,식자재단가!$C$4:$C$203,0)),"?"))</f>
        <v>g</v>
      </c>
      <c r="E49" s="77" t="n">
        <f aca="false">IF(B49="","",IFERROR(INDEX(식자재단가!$L$4:$L$203,MATCH(B49,식자재단가!$C$4:$C$203,0)),"품목없음"))</f>
        <v>9.47368421052632</v>
      </c>
      <c r="F49" s="28" t="n">
        <f aca="false">IF(OR(B49="",C49=""),"",IF(ISNUMBER(E49),C49*E49,0))</f>
        <v>2368.42105263158</v>
      </c>
      <c r="G49" s="14"/>
    </row>
    <row r="50" customFormat="false" ht="15" hidden="false" customHeight="false" outlineLevel="0" collapsed="false">
      <c r="A50" s="14" t="s">
        <v>628</v>
      </c>
      <c r="B50" s="14" t="s">
        <v>458</v>
      </c>
      <c r="C50" s="76" t="n">
        <v>80</v>
      </c>
      <c r="D50" s="59" t="str">
        <f aca="false">IF(B50="","",IFERROR(INDEX(식자재단가!$I$4:$I$203,MATCH(B50,식자재단가!$C$4:$C$203,0)),"?"))</f>
        <v>g</v>
      </c>
      <c r="E50" s="77" t="n">
        <f aca="false">IF(B50="","",IFERROR(INDEX(식자재단가!$L$4:$L$203,MATCH(B50,식자재단가!$C$4:$C$203,0)),"품목없음"))</f>
        <v>7.05882352941176</v>
      </c>
      <c r="F50" s="28" t="n">
        <f aca="false">IF(OR(B50="",C50=""),"",IF(ISNUMBER(E50),C50*E50,0))</f>
        <v>564.705882352941</v>
      </c>
      <c r="G50" s="14"/>
    </row>
    <row r="51" customFormat="false" ht="15" hidden="false" customHeight="false" outlineLevel="0" collapsed="false">
      <c r="A51" s="14" t="s">
        <v>628</v>
      </c>
      <c r="B51" s="14" t="s">
        <v>462</v>
      </c>
      <c r="C51" s="76" t="n">
        <v>80</v>
      </c>
      <c r="D51" s="59" t="str">
        <f aca="false">IF(B51="","",IFERROR(INDEX(식자재단가!$I$4:$I$203,MATCH(B51,식자재단가!$C$4:$C$203,0)),"?"))</f>
        <v>g</v>
      </c>
      <c r="E51" s="77" t="n">
        <f aca="false">IF(B51="","",IFERROR(INDEX(식자재단가!$L$4:$L$203,MATCH(B51,식자재단가!$C$4:$C$203,0)),"품목없음"))</f>
        <v>2</v>
      </c>
      <c r="F51" s="28" t="n">
        <f aca="false">IF(OR(B51="",C51=""),"",IF(ISNUMBER(E51),C51*E51,0))</f>
        <v>160</v>
      </c>
      <c r="G51" s="14"/>
    </row>
    <row r="52" customFormat="false" ht="15" hidden="false" customHeight="false" outlineLevel="0" collapsed="false">
      <c r="A52" s="14" t="s">
        <v>628</v>
      </c>
      <c r="B52" s="14" t="s">
        <v>517</v>
      </c>
      <c r="C52" s="76" t="n">
        <v>30</v>
      </c>
      <c r="D52" s="59" t="str">
        <f aca="false">IF(B52="","",IFERROR(INDEX(식자재단가!$I$4:$I$203,MATCH(B52,식자재단가!$C$4:$C$203,0)),"?"))</f>
        <v>g</v>
      </c>
      <c r="E52" s="77" t="n">
        <f aca="false">IF(B52="","",IFERROR(INDEX(식자재단가!$L$4:$L$203,MATCH(B52,식자재단가!$C$4:$C$203,0)),"품목없음"))</f>
        <v>8</v>
      </c>
      <c r="F52" s="28" t="n">
        <f aca="false">IF(OR(B52="",C52=""),"",IF(ISNUMBER(E52),C52*E52,0))</f>
        <v>240</v>
      </c>
      <c r="G52" s="14"/>
    </row>
    <row r="53" customFormat="false" ht="15" hidden="false" customHeight="false" outlineLevel="0" collapsed="false">
      <c r="A53" s="14" t="s">
        <v>628</v>
      </c>
      <c r="B53" s="14" t="s">
        <v>529</v>
      </c>
      <c r="C53" s="76" t="n">
        <v>20</v>
      </c>
      <c r="D53" s="59" t="str">
        <f aca="false">IF(B53="","",IFERROR(INDEX(식자재단가!$I$4:$I$203,MATCH(B53,식자재단가!$C$4:$C$203,0)),"?"))</f>
        <v>g</v>
      </c>
      <c r="E53" s="77" t="n">
        <f aca="false">IF(B53="","",IFERROR(INDEX(식자재단가!$L$4:$L$203,MATCH(B53,식자재단가!$C$4:$C$203,0)),"품목없음"))</f>
        <v>1.66666666666667</v>
      </c>
      <c r="F53" s="28" t="n">
        <f aca="false">IF(OR(B53="",C53=""),"",IF(ISNUMBER(E53),C53*E53,0))</f>
        <v>33.3333333333333</v>
      </c>
      <c r="G53" s="14"/>
    </row>
    <row r="54" customFormat="false" ht="15" hidden="false" customHeight="false" outlineLevel="0" collapsed="false">
      <c r="A54" s="14" t="s">
        <v>628</v>
      </c>
      <c r="B54" s="14" t="s">
        <v>527</v>
      </c>
      <c r="C54" s="76" t="n">
        <v>20</v>
      </c>
      <c r="D54" s="59" t="str">
        <f aca="false">IF(B54="","",IFERROR(INDEX(식자재단가!$I$4:$I$203,MATCH(B54,식자재단가!$C$4:$C$203,0)),"?"))</f>
        <v>ml</v>
      </c>
      <c r="E54" s="77" t="n">
        <f aca="false">IF(B54="","",IFERROR(INDEX(식자재단가!$L$4:$L$203,MATCH(B54,식자재단가!$C$4:$C$203,0)),"품목없음"))</f>
        <v>1.66666666666667</v>
      </c>
      <c r="F54" s="28" t="n">
        <f aca="false">IF(OR(B54="",C54=""),"",IF(ISNUMBER(E54),C54*E54,0))</f>
        <v>33.3333333333333</v>
      </c>
      <c r="G54" s="14"/>
    </row>
    <row r="55" customFormat="false" ht="15" hidden="false" customHeight="false" outlineLevel="0" collapsed="false">
      <c r="A55" s="14" t="s">
        <v>628</v>
      </c>
      <c r="B55" s="14" t="s">
        <v>540</v>
      </c>
      <c r="C55" s="76" t="n">
        <v>60</v>
      </c>
      <c r="D55" s="59" t="str">
        <f aca="false">IF(B55="","",IFERROR(INDEX(식자재단가!$I$4:$I$203,MATCH(B55,식자재단가!$C$4:$C$203,0)),"?"))</f>
        <v>ml</v>
      </c>
      <c r="E55" s="77" t="n">
        <f aca="false">IF(B55="","",IFERROR(INDEX(식자재단가!$L$4:$L$203,MATCH(B55,식자재단가!$C$4:$C$203,0)),"품목없음"))</f>
        <v>3.05555555555556</v>
      </c>
      <c r="F55" s="28" t="n">
        <f aca="false">IF(OR(B55="",C55=""),"",IF(ISNUMBER(E55),C55*E55,0))</f>
        <v>183.333333333333</v>
      </c>
      <c r="G55" s="14"/>
    </row>
    <row r="56" customFormat="false" ht="15" hidden="false" customHeight="false" outlineLevel="0" collapsed="false">
      <c r="A56" s="14" t="s">
        <v>628</v>
      </c>
      <c r="B56" s="14" t="s">
        <v>538</v>
      </c>
      <c r="C56" s="76" t="n">
        <v>20</v>
      </c>
      <c r="D56" s="59" t="str">
        <f aca="false">IF(B56="","",IFERROR(INDEX(식자재단가!$I$4:$I$203,MATCH(B56,식자재단가!$C$4:$C$203,0)),"?"))</f>
        <v>g</v>
      </c>
      <c r="E56" s="77" t="n">
        <f aca="false">IF(B56="","",IFERROR(INDEX(식자재단가!$L$4:$L$203,MATCH(B56,식자재단가!$C$4:$C$203,0)),"품목없음"))</f>
        <v>3.5</v>
      </c>
      <c r="F56" s="28" t="n">
        <f aca="false">IF(OR(B56="",C56=""),"",IF(ISNUMBER(E56),C56*E56,0))</f>
        <v>70</v>
      </c>
      <c r="G56" s="14"/>
    </row>
    <row r="57" customFormat="false" ht="15" hidden="false" customHeight="false" outlineLevel="0" collapsed="false">
      <c r="A57" s="14" t="s">
        <v>629</v>
      </c>
      <c r="B57" s="14" t="s">
        <v>439</v>
      </c>
      <c r="C57" s="76" t="n">
        <v>250</v>
      </c>
      <c r="D57" s="59" t="str">
        <f aca="false">IF(B57="","",IFERROR(INDEX(식자재단가!$I$4:$I$203,MATCH(B57,식자재단가!$C$4:$C$203,0)),"?"))</f>
        <v>g</v>
      </c>
      <c r="E57" s="77" t="n">
        <f aca="false">IF(B57="","",IFERROR(INDEX(식자재단가!$L$4:$L$203,MATCH(B57,식자재단가!$C$4:$C$203,0)),"품목없음"))</f>
        <v>9.47368421052632</v>
      </c>
      <c r="F57" s="28" t="n">
        <f aca="false">IF(OR(B57="",C57=""),"",IF(ISNUMBER(E57),C57*E57,0))</f>
        <v>2368.42105263158</v>
      </c>
      <c r="G57" s="14"/>
    </row>
    <row r="58" customFormat="false" ht="15" hidden="false" customHeight="false" outlineLevel="0" collapsed="false">
      <c r="A58" s="14" t="s">
        <v>629</v>
      </c>
      <c r="B58" s="14" t="s">
        <v>520</v>
      </c>
      <c r="C58" s="76" t="n">
        <v>50</v>
      </c>
      <c r="D58" s="59" t="str">
        <f aca="false">IF(B58="","",IFERROR(INDEX(식자재단가!$I$4:$I$203,MATCH(B58,식자재단가!$C$4:$C$203,0)),"?"))</f>
        <v>g</v>
      </c>
      <c r="E58" s="77" t="n">
        <f aca="false">IF(B58="","",IFERROR(INDEX(식자재단가!$L$4:$L$203,MATCH(B58,식자재단가!$C$4:$C$203,0)),"품목없음"))</f>
        <v>6</v>
      </c>
      <c r="F58" s="28" t="n">
        <f aca="false">IF(OR(B58="",C58=""),"",IF(ISNUMBER(E58),C58*E58,0))</f>
        <v>300</v>
      </c>
      <c r="G58" s="14"/>
    </row>
    <row r="59" customFormat="false" ht="15" hidden="false" customHeight="false" outlineLevel="0" collapsed="false">
      <c r="A59" s="14" t="s">
        <v>629</v>
      </c>
      <c r="B59" s="14" t="s">
        <v>464</v>
      </c>
      <c r="C59" s="76" t="n">
        <v>120</v>
      </c>
      <c r="D59" s="59" t="str">
        <f aca="false">IF(B59="","",IFERROR(INDEX(식자재단가!$I$4:$I$203,MATCH(B59,식자재단가!$C$4:$C$203,0)),"?"))</f>
        <v>g</v>
      </c>
      <c r="E59" s="77" t="n">
        <f aca="false">IF(B59="","",IFERROR(INDEX(식자재단가!$L$4:$L$203,MATCH(B59,식자재단가!$C$4:$C$203,0)),"품목없음"))</f>
        <v>4.11764705882353</v>
      </c>
      <c r="F59" s="28" t="n">
        <f aca="false">IF(OR(B59="",C59=""),"",IF(ISNUMBER(E59),C59*E59,0))</f>
        <v>494.117647058824</v>
      </c>
      <c r="G59" s="14"/>
    </row>
    <row r="60" customFormat="false" ht="15" hidden="false" customHeight="false" outlineLevel="0" collapsed="false">
      <c r="A60" s="14" t="s">
        <v>629</v>
      </c>
      <c r="B60" s="14" t="s">
        <v>483</v>
      </c>
      <c r="C60" s="76" t="n">
        <v>80</v>
      </c>
      <c r="D60" s="59" t="str">
        <f aca="false">IF(B60="","",IFERROR(INDEX(식자재단가!$I$4:$I$203,MATCH(B60,식자재단가!$C$4:$C$203,0)),"?"))</f>
        <v>g</v>
      </c>
      <c r="E60" s="77" t="n">
        <f aca="false">IF(B60="","",IFERROR(INDEX(식자재단가!$L$4:$L$203,MATCH(B60,식자재단가!$C$4:$C$203,0)),"품목없음"))</f>
        <v>9</v>
      </c>
      <c r="F60" s="28" t="n">
        <f aca="false">IF(OR(B60="",C60=""),"",IF(ISNUMBER(E60),C60*E60,0))</f>
        <v>720</v>
      </c>
      <c r="G60" s="14"/>
    </row>
    <row r="61" customFormat="false" ht="15" hidden="false" customHeight="false" outlineLevel="0" collapsed="false">
      <c r="A61" s="14" t="s">
        <v>629</v>
      </c>
      <c r="B61" s="14" t="s">
        <v>540</v>
      </c>
      <c r="C61" s="76" t="n">
        <v>50</v>
      </c>
      <c r="D61" s="59" t="str">
        <f aca="false">IF(B61="","",IFERROR(INDEX(식자재단가!$I$4:$I$203,MATCH(B61,식자재단가!$C$4:$C$203,0)),"?"))</f>
        <v>ml</v>
      </c>
      <c r="E61" s="77" t="n">
        <f aca="false">IF(B61="","",IFERROR(INDEX(식자재단가!$L$4:$L$203,MATCH(B61,식자재단가!$C$4:$C$203,0)),"품목없음"))</f>
        <v>3.05555555555556</v>
      </c>
      <c r="F61" s="28" t="n">
        <f aca="false">IF(OR(B61="",C61=""),"",IF(ISNUMBER(E61),C61*E61,0))</f>
        <v>152.777777777778</v>
      </c>
      <c r="G61" s="14"/>
    </row>
    <row r="62" customFormat="false" ht="15" hidden="false" customHeight="false" outlineLevel="0" collapsed="false">
      <c r="A62" s="14" t="s">
        <v>629</v>
      </c>
      <c r="B62" s="14" t="s">
        <v>529</v>
      </c>
      <c r="C62" s="76" t="n">
        <v>15</v>
      </c>
      <c r="D62" s="59" t="str">
        <f aca="false">IF(B62="","",IFERROR(INDEX(식자재단가!$I$4:$I$203,MATCH(B62,식자재단가!$C$4:$C$203,0)),"?"))</f>
        <v>g</v>
      </c>
      <c r="E62" s="77" t="n">
        <f aca="false">IF(B62="","",IFERROR(INDEX(식자재단가!$L$4:$L$203,MATCH(B62,식자재단가!$C$4:$C$203,0)),"품목없음"))</f>
        <v>1.66666666666667</v>
      </c>
      <c r="F62" s="28" t="n">
        <f aca="false">IF(OR(B62="",C62=""),"",IF(ISNUMBER(E62),C62*E62,0))</f>
        <v>25</v>
      </c>
      <c r="G62" s="14"/>
    </row>
    <row r="63" customFormat="false" ht="15" hidden="false" customHeight="false" outlineLevel="0" collapsed="false">
      <c r="A63" s="14" t="s">
        <v>630</v>
      </c>
      <c r="B63" s="14" t="s">
        <v>512</v>
      </c>
      <c r="C63" s="76" t="n">
        <v>120</v>
      </c>
      <c r="D63" s="59" t="str">
        <f aca="false">IF(B63="","",IFERROR(INDEX(식자재단가!$I$4:$I$203,MATCH(B63,식자재단가!$C$4:$C$203,0)),"?"))</f>
        <v>g</v>
      </c>
      <c r="E63" s="77" t="n">
        <f aca="false">IF(B63="","",IFERROR(INDEX(식자재단가!$L$4:$L$203,MATCH(B63,식자재단가!$C$4:$C$203,0)),"품목없음"))</f>
        <v>12</v>
      </c>
      <c r="F63" s="28" t="n">
        <f aca="false">IF(OR(B63="",C63=""),"",IF(ISNUMBER(E63),C63*E63,0))</f>
        <v>1440</v>
      </c>
      <c r="G63" s="14"/>
    </row>
    <row r="64" customFormat="false" ht="15" hidden="false" customHeight="false" outlineLevel="0" collapsed="false">
      <c r="A64" s="14" t="s">
        <v>630</v>
      </c>
      <c r="B64" s="14" t="s">
        <v>433</v>
      </c>
      <c r="C64" s="76" t="n">
        <v>100</v>
      </c>
      <c r="D64" s="59" t="str">
        <f aca="false">IF(B64="","",IFERROR(INDEX(식자재단가!$I$4:$I$203,MATCH(B64,식자재단가!$C$4:$C$203,0)),"?"))</f>
        <v>g</v>
      </c>
      <c r="E64" s="77" t="n">
        <f aca="false">IF(B64="","",IFERROR(INDEX(식자재단가!$L$4:$L$203,MATCH(B64,식자재단가!$C$4:$C$203,0)),"품목없음"))</f>
        <v>20</v>
      </c>
      <c r="F64" s="28" t="n">
        <f aca="false">IF(OR(B64="",C64=""),"",IF(ISNUMBER(E64),C64*E64,0))</f>
        <v>2000</v>
      </c>
      <c r="G64" s="14"/>
    </row>
    <row r="65" customFormat="false" ht="15" hidden="false" customHeight="false" outlineLevel="0" collapsed="false">
      <c r="A65" s="14" t="s">
        <v>630</v>
      </c>
      <c r="B65" s="14" t="s">
        <v>472</v>
      </c>
      <c r="C65" s="76" t="n">
        <v>80</v>
      </c>
      <c r="D65" s="59" t="str">
        <f aca="false">IF(B65="","",IFERROR(INDEX(식자재단가!$I$4:$I$203,MATCH(B65,식자재단가!$C$4:$C$203,0)),"?"))</f>
        <v>g</v>
      </c>
      <c r="E65" s="77" t="n">
        <f aca="false">IF(B65="","",IFERROR(INDEX(식자재단가!$L$4:$L$203,MATCH(B65,식자재단가!$C$4:$C$203,0)),"품목없음"))</f>
        <v>5.88235294117647</v>
      </c>
      <c r="F65" s="28" t="n">
        <f aca="false">IF(OR(B65="",C65=""),"",IF(ISNUMBER(E65),C65*E65,0))</f>
        <v>470.588235294118</v>
      </c>
      <c r="G65" s="14"/>
    </row>
    <row r="66" customFormat="false" ht="15" hidden="false" customHeight="false" outlineLevel="0" collapsed="false">
      <c r="A66" s="14" t="s">
        <v>630</v>
      </c>
      <c r="B66" s="14" t="s">
        <v>474</v>
      </c>
      <c r="C66" s="76" t="n">
        <v>80</v>
      </c>
      <c r="D66" s="59" t="str">
        <f aca="false">IF(B66="","",IFERROR(INDEX(식자재단가!$I$4:$I$203,MATCH(B66,식자재단가!$C$4:$C$203,0)),"?"))</f>
        <v>g</v>
      </c>
      <c r="E66" s="77" t="n">
        <f aca="false">IF(B66="","",IFERROR(INDEX(식자재단가!$L$4:$L$203,MATCH(B66,식자재단가!$C$4:$C$203,0)),"품목없음"))</f>
        <v>2.63157894736842</v>
      </c>
      <c r="F66" s="28" t="n">
        <f aca="false">IF(OR(B66="",C66=""),"",IF(ISNUMBER(E66),C66*E66,0))</f>
        <v>210.526315789474</v>
      </c>
      <c r="G66" s="14"/>
    </row>
    <row r="67" customFormat="false" ht="15" hidden="false" customHeight="false" outlineLevel="0" collapsed="false">
      <c r="A67" s="14" t="s">
        <v>630</v>
      </c>
      <c r="B67" s="14" t="s">
        <v>476</v>
      </c>
      <c r="C67" s="76" t="n">
        <v>100</v>
      </c>
      <c r="D67" s="59" t="str">
        <f aca="false">IF(B67="","",IFERROR(INDEX(식자재단가!$I$4:$I$203,MATCH(B67,식자재단가!$C$4:$C$203,0)),"?"))</f>
        <v>g</v>
      </c>
      <c r="E67" s="77" t="n">
        <f aca="false">IF(B67="","",IFERROR(INDEX(식자재단가!$L$4:$L$203,MATCH(B67,식자재단가!$C$4:$C$203,0)),"품목없음"))</f>
        <v>1.875</v>
      </c>
      <c r="F67" s="28" t="n">
        <f aca="false">IF(OR(B67="",C67=""),"",IF(ISNUMBER(E67),C67*E67,0))</f>
        <v>187.5</v>
      </c>
      <c r="G67" s="14"/>
    </row>
    <row r="68" customFormat="false" ht="15" hidden="false" customHeight="false" outlineLevel="0" collapsed="false">
      <c r="A68" s="14" t="s">
        <v>630</v>
      </c>
      <c r="B68" s="14" t="s">
        <v>501</v>
      </c>
      <c r="C68" s="76" t="n">
        <v>100</v>
      </c>
      <c r="D68" s="59" t="str">
        <f aca="false">IF(B68="","",IFERROR(INDEX(식자재단가!$I$4:$I$203,MATCH(B68,식자재단가!$C$4:$C$203,0)),"?"))</f>
        <v>g</v>
      </c>
      <c r="E68" s="77" t="n">
        <f aca="false">IF(B68="","",IFERROR(INDEX(식자재단가!$L$4:$L$203,MATCH(B68,식자재단가!$C$4:$C$203,0)),"품목없음"))</f>
        <v>6</v>
      </c>
      <c r="F68" s="28" t="n">
        <f aca="false">IF(OR(B68="",C68=""),"",IF(ISNUMBER(E68),C68*E68,0))</f>
        <v>600</v>
      </c>
      <c r="G68" s="14"/>
    </row>
    <row r="69" customFormat="false" ht="15" hidden="false" customHeight="false" outlineLevel="0" collapsed="false">
      <c r="A69" s="14" t="s">
        <v>630</v>
      </c>
      <c r="B69" s="14" t="s">
        <v>508</v>
      </c>
      <c r="C69" s="76" t="n">
        <v>100</v>
      </c>
      <c r="D69" s="59" t="str">
        <f aca="false">IF(B69="","",IFERROR(INDEX(식자재단가!$I$4:$I$203,MATCH(B69,식자재단가!$C$4:$C$203,0)),"?"))</f>
        <v>g</v>
      </c>
      <c r="E69" s="77" t="n">
        <f aca="false">IF(B69="","",IFERROR(INDEX(식자재단가!$L$4:$L$203,MATCH(B69,식자재단가!$C$4:$C$203,0)),"품목없음"))</f>
        <v>8</v>
      </c>
      <c r="F69" s="28" t="n">
        <f aca="false">IF(OR(B69="",C69=""),"",IF(ISNUMBER(E69),C69*E69,0))</f>
        <v>800</v>
      </c>
      <c r="G69" s="14"/>
    </row>
    <row r="70" customFormat="false" ht="15" hidden="false" customHeight="false" outlineLevel="0" collapsed="false">
      <c r="A70" s="14" t="s">
        <v>630</v>
      </c>
      <c r="B70" s="14" t="s">
        <v>480</v>
      </c>
      <c r="C70" s="76" t="n">
        <v>100</v>
      </c>
      <c r="D70" s="59" t="str">
        <f aca="false">IF(B70="","",IFERROR(INDEX(식자재단가!$I$4:$I$203,MATCH(B70,식자재단가!$C$4:$C$203,0)),"?"))</f>
        <v>g</v>
      </c>
      <c r="E70" s="77" t="n">
        <f aca="false">IF(B70="","",IFERROR(INDEX(식자재단가!$L$4:$L$203,MATCH(B70,식자재단가!$C$4:$C$203,0)),"품목없음"))</f>
        <v>3.5</v>
      </c>
      <c r="F70" s="28" t="n">
        <f aca="false">IF(OR(B70="",C70=""),"",IF(ISNUMBER(E70),C70*E70,0))</f>
        <v>350</v>
      </c>
      <c r="G70" s="14"/>
    </row>
    <row r="71" customFormat="false" ht="15" hidden="false" customHeight="false" outlineLevel="0" collapsed="false">
      <c r="A71" s="14" t="s">
        <v>631</v>
      </c>
      <c r="B71" s="14" t="s">
        <v>448</v>
      </c>
      <c r="C71" s="76" t="n">
        <v>600</v>
      </c>
      <c r="D71" s="59" t="str">
        <f aca="false">IF(B71="","",IFERROR(INDEX(식자재단가!$I$4:$I$203,MATCH(B71,식자재단가!$C$4:$C$203,0)),"?"))</f>
        <v>g</v>
      </c>
      <c r="E71" s="77" t="n">
        <f aca="false">IF(B71="","",IFERROR(INDEX(식자재단가!$L$4:$L$203,MATCH(B71,식자재단가!$C$4:$C$203,0)),"품목없음"))</f>
        <v>18.9473684210526</v>
      </c>
      <c r="F71" s="28" t="n">
        <f aca="false">IF(OR(B71="",C71=""),"",IF(ISNUMBER(E71),C71*E71,0))</f>
        <v>11368.4210526316</v>
      </c>
      <c r="G71" s="14"/>
    </row>
    <row r="72" customFormat="false" ht="15" hidden="false" customHeight="false" outlineLevel="0" collapsed="false">
      <c r="A72" s="14" t="s">
        <v>631</v>
      </c>
      <c r="B72" s="14" t="s">
        <v>515</v>
      </c>
      <c r="C72" s="76" t="n">
        <v>100</v>
      </c>
      <c r="D72" s="59" t="str">
        <f aca="false">IF(B72="","",IFERROR(INDEX(식자재단가!$I$4:$I$203,MATCH(B72,식자재단가!$C$4:$C$203,0)),"?"))</f>
        <v>g</v>
      </c>
      <c r="E72" s="77" t="n">
        <f aca="false">IF(B72="","",IFERROR(INDEX(식자재단가!$L$4:$L$203,MATCH(B72,식자재단가!$C$4:$C$203,0)),"품목없음"))</f>
        <v>14</v>
      </c>
      <c r="F72" s="28" t="n">
        <f aca="false">IF(OR(B72="",C72=""),"",IF(ISNUMBER(E72),C72*E72,0))</f>
        <v>1400</v>
      </c>
      <c r="G72" s="14"/>
    </row>
    <row r="73" customFormat="false" ht="15" hidden="false" customHeight="false" outlineLevel="0" collapsed="false">
      <c r="A73" s="14" t="s">
        <v>631</v>
      </c>
      <c r="B73" s="14" t="s">
        <v>534</v>
      </c>
      <c r="C73" s="76" t="n">
        <v>20</v>
      </c>
      <c r="D73" s="59" t="str">
        <f aca="false">IF(B73="","",IFERROR(INDEX(식자재단가!$I$4:$I$203,MATCH(B73,식자재단가!$C$4:$C$203,0)),"?"))</f>
        <v>g</v>
      </c>
      <c r="E73" s="77" t="n">
        <f aca="false">IF(B73="","",IFERROR(INDEX(식자재단가!$L$4:$L$203,MATCH(B73,식자재단가!$C$4:$C$203,0)),"품목없음"))</f>
        <v>16</v>
      </c>
      <c r="F73" s="28" t="n">
        <f aca="false">IF(OR(B73="",C73=""),"",IF(ISNUMBER(E73),C73*E73,0))</f>
        <v>320</v>
      </c>
      <c r="G73" s="14"/>
    </row>
    <row r="74" customFormat="false" ht="15" hidden="false" customHeight="false" outlineLevel="0" collapsed="false">
      <c r="A74" s="14" t="s">
        <v>631</v>
      </c>
      <c r="B74" s="14" t="s">
        <v>466</v>
      </c>
      <c r="C74" s="76" t="n">
        <v>40</v>
      </c>
      <c r="D74" s="59" t="str">
        <f aca="false">IF(B74="","",IFERROR(INDEX(식자재단가!$I$4:$I$203,MATCH(B74,식자재단가!$C$4:$C$203,0)),"?"))</f>
        <v>g</v>
      </c>
      <c r="E74" s="77" t="n">
        <f aca="false">IF(B74="","",IFERROR(INDEX(식자재단가!$L$4:$L$203,MATCH(B74,식자재단가!$C$4:$C$203,0)),"품목없음"))</f>
        <v>9</v>
      </c>
      <c r="F74" s="28" t="n">
        <f aca="false">IF(OR(B74="",C74=""),"",IF(ISNUMBER(E74),C74*E74,0))</f>
        <v>360</v>
      </c>
      <c r="G74" s="14"/>
    </row>
    <row r="75" customFormat="false" ht="15" hidden="false" customHeight="false" outlineLevel="0" collapsed="false">
      <c r="A75" s="14" t="s">
        <v>631</v>
      </c>
      <c r="B75" s="14" t="s">
        <v>540</v>
      </c>
      <c r="C75" s="76" t="n">
        <v>100</v>
      </c>
      <c r="D75" s="59" t="str">
        <f aca="false">IF(B75="","",IFERROR(INDEX(식자재단가!$I$4:$I$203,MATCH(B75,식자재단가!$C$4:$C$203,0)),"?"))</f>
        <v>ml</v>
      </c>
      <c r="E75" s="77" t="n">
        <f aca="false">IF(B75="","",IFERROR(INDEX(식자재단가!$L$4:$L$203,MATCH(B75,식자재단가!$C$4:$C$203,0)),"품목없음"))</f>
        <v>3.05555555555556</v>
      </c>
      <c r="F75" s="28" t="n">
        <f aca="false">IF(OR(B75="",C75=""),"",IF(ISNUMBER(E75),C75*E75,0))</f>
        <v>305.555555555556</v>
      </c>
      <c r="G75" s="14"/>
    </row>
    <row r="76" customFormat="false" ht="15" hidden="false" customHeight="false" outlineLevel="0" collapsed="false">
      <c r="A76" s="14" t="s">
        <v>631</v>
      </c>
      <c r="B76" s="14" t="s">
        <v>464</v>
      </c>
      <c r="C76" s="76" t="n">
        <v>30</v>
      </c>
      <c r="D76" s="59" t="str">
        <f aca="false">IF(B76="","",IFERROR(INDEX(식자재단가!$I$4:$I$203,MATCH(B76,식자재단가!$C$4:$C$203,0)),"?"))</f>
        <v>g</v>
      </c>
      <c r="E76" s="77" t="n">
        <f aca="false">IF(B76="","",IFERROR(INDEX(식자재단가!$L$4:$L$203,MATCH(B76,식자재단가!$C$4:$C$203,0)),"품목없음"))</f>
        <v>4.11764705882353</v>
      </c>
      <c r="F76" s="28" t="n">
        <f aca="false">IF(OR(B76="",C76=""),"",IF(ISNUMBER(E76),C76*E76,0))</f>
        <v>123.529411764706</v>
      </c>
      <c r="G76" s="14"/>
    </row>
    <row r="77" customFormat="false" ht="15" hidden="false" customHeight="false" outlineLevel="0" collapsed="false">
      <c r="A77" s="14" t="s">
        <v>632</v>
      </c>
      <c r="B77" s="14" t="s">
        <v>451</v>
      </c>
      <c r="C77" s="76" t="n">
        <v>250</v>
      </c>
      <c r="D77" s="59" t="str">
        <f aca="false">IF(B77="","",IFERROR(INDEX(식자재단가!$I$4:$I$203,MATCH(B77,식자재단가!$C$4:$C$203,0)),"?"))</f>
        <v>g</v>
      </c>
      <c r="E77" s="77" t="n">
        <f aca="false">IF(B77="","",IFERROR(INDEX(식자재단가!$L$4:$L$203,MATCH(B77,식자재단가!$C$4:$C$203,0)),"품목없음"))</f>
        <v>5</v>
      </c>
      <c r="F77" s="28" t="n">
        <f aca="false">IF(OR(B77="",C77=""),"",IF(ISNUMBER(E77),C77*E77,0))</f>
        <v>1250</v>
      </c>
      <c r="G77" s="14"/>
    </row>
    <row r="78" customFormat="false" ht="15" hidden="false" customHeight="false" outlineLevel="0" collapsed="false">
      <c r="A78" s="14" t="s">
        <v>632</v>
      </c>
      <c r="B78" s="14" t="s">
        <v>456</v>
      </c>
      <c r="C78" s="76" t="n">
        <v>200</v>
      </c>
      <c r="D78" s="59" t="str">
        <f aca="false">IF(B78="","",IFERROR(INDEX(식자재단가!$I$4:$I$203,MATCH(B78,식자재단가!$C$4:$C$203,0)),"?"))</f>
        <v>g</v>
      </c>
      <c r="E78" s="77" t="n">
        <f aca="false">IF(B78="","",IFERROR(INDEX(식자재단가!$L$4:$L$203,MATCH(B78,식자재단가!$C$4:$C$203,0)),"품목없음"))</f>
        <v>2.94117647058824</v>
      </c>
      <c r="F78" s="28" t="n">
        <f aca="false">IF(OR(B78="",C78=""),"",IF(ISNUMBER(E78),C78*E78,0))</f>
        <v>588.235294117647</v>
      </c>
      <c r="G78" s="14"/>
    </row>
    <row r="79" customFormat="false" ht="15" hidden="false" customHeight="false" outlineLevel="0" collapsed="false">
      <c r="A79" s="14" t="s">
        <v>632</v>
      </c>
      <c r="B79" s="14" t="s">
        <v>458</v>
      </c>
      <c r="C79" s="76" t="n">
        <v>100</v>
      </c>
      <c r="D79" s="59" t="str">
        <f aca="false">IF(B79="","",IFERROR(INDEX(식자재단가!$I$4:$I$203,MATCH(B79,식자재단가!$C$4:$C$203,0)),"?"))</f>
        <v>g</v>
      </c>
      <c r="E79" s="77" t="n">
        <f aca="false">IF(B79="","",IFERROR(INDEX(식자재단가!$L$4:$L$203,MATCH(B79,식자재단가!$C$4:$C$203,0)),"품목없음"))</f>
        <v>7.05882352941176</v>
      </c>
      <c r="F79" s="28" t="n">
        <f aca="false">IF(OR(B79="",C79=""),"",IF(ISNUMBER(E79),C79*E79,0))</f>
        <v>705.882352941177</v>
      </c>
      <c r="G79" s="14"/>
    </row>
    <row r="80" customFormat="false" ht="15" hidden="false" customHeight="false" outlineLevel="0" collapsed="false">
      <c r="A80" s="14" t="s">
        <v>632</v>
      </c>
      <c r="B80" s="14" t="s">
        <v>538</v>
      </c>
      <c r="C80" s="76" t="n">
        <v>50</v>
      </c>
      <c r="D80" s="59" t="str">
        <f aca="false">IF(B80="","",IFERROR(INDEX(식자재단가!$I$4:$I$203,MATCH(B80,식자재단가!$C$4:$C$203,0)),"?"))</f>
        <v>g</v>
      </c>
      <c r="E80" s="77" t="n">
        <f aca="false">IF(B80="","",IFERROR(INDEX(식자재단가!$L$4:$L$203,MATCH(B80,식자재단가!$C$4:$C$203,0)),"품목없음"))</f>
        <v>3.5</v>
      </c>
      <c r="F80" s="28" t="n">
        <f aca="false">IF(OR(B80="",C80=""),"",IF(ISNUMBER(E80),C80*E80,0))</f>
        <v>175</v>
      </c>
      <c r="G80" s="14"/>
    </row>
    <row r="81" customFormat="false" ht="15" hidden="false" customHeight="false" outlineLevel="0" collapsed="false">
      <c r="A81" s="14" t="s">
        <v>632</v>
      </c>
      <c r="B81" s="14" t="s">
        <v>540</v>
      </c>
      <c r="C81" s="76" t="n">
        <v>150</v>
      </c>
      <c r="D81" s="59" t="str">
        <f aca="false">IF(B81="","",IFERROR(INDEX(식자재단가!$I$4:$I$203,MATCH(B81,식자재단가!$C$4:$C$203,0)),"?"))</f>
        <v>ml</v>
      </c>
      <c r="E81" s="77" t="n">
        <f aca="false">IF(B81="","",IFERROR(INDEX(식자재단가!$L$4:$L$203,MATCH(B81,식자재단가!$C$4:$C$203,0)),"품목없음"))</f>
        <v>3.05555555555556</v>
      </c>
      <c r="F81" s="28" t="n">
        <f aca="false">IF(OR(B81="",C81=""),"",IF(ISNUMBER(E81),C81*E81,0))</f>
        <v>458.333333333333</v>
      </c>
      <c r="G81" s="14"/>
    </row>
    <row r="82" customFormat="false" ht="15" hidden="false" customHeight="false" outlineLevel="0" collapsed="false">
      <c r="A82" s="14" t="s">
        <v>632</v>
      </c>
      <c r="B82" s="14" t="s">
        <v>522</v>
      </c>
      <c r="C82" s="76" t="n">
        <v>25</v>
      </c>
      <c r="D82" s="59" t="str">
        <f aca="false">IF(B82="","",IFERROR(INDEX(식자재단가!$I$4:$I$203,MATCH(B82,식자재단가!$C$4:$C$203,0)),"?"))</f>
        <v>ml</v>
      </c>
      <c r="E82" s="77" t="n">
        <f aca="false">IF(B82="","",IFERROR(INDEX(식자재단가!$L$4:$L$203,MATCH(B82,식자재단가!$C$4:$C$203,0)),"품목없음"))</f>
        <v>3.33333333333333</v>
      </c>
      <c r="F82" s="28" t="n">
        <f aca="false">IF(OR(B82="",C82=""),"",IF(ISNUMBER(E82),C82*E82,0))</f>
        <v>83.3333333333333</v>
      </c>
      <c r="G82" s="14"/>
    </row>
    <row r="83" customFormat="false" ht="15" hidden="false" customHeight="false" outlineLevel="0" collapsed="false">
      <c r="A83" s="14" t="s">
        <v>632</v>
      </c>
      <c r="B83" s="14" t="s">
        <v>529</v>
      </c>
      <c r="C83" s="76" t="n">
        <v>15</v>
      </c>
      <c r="D83" s="59" t="str">
        <f aca="false">IF(B83="","",IFERROR(INDEX(식자재단가!$I$4:$I$203,MATCH(B83,식자재단가!$C$4:$C$203,0)),"?"))</f>
        <v>g</v>
      </c>
      <c r="E83" s="77" t="n">
        <f aca="false">IF(B83="","",IFERROR(INDEX(식자재단가!$L$4:$L$203,MATCH(B83,식자재단가!$C$4:$C$203,0)),"품목없음"))</f>
        <v>1.66666666666667</v>
      </c>
      <c r="F83" s="28" t="n">
        <f aca="false">IF(OR(B83="",C83=""),"",IF(ISNUMBER(E83),C83*E83,0))</f>
        <v>25</v>
      </c>
      <c r="G83" s="14"/>
    </row>
    <row r="84" customFormat="false" ht="15" hidden="false" customHeight="false" outlineLevel="0" collapsed="false">
      <c r="A84" s="14" t="s">
        <v>632</v>
      </c>
      <c r="B84" s="14" t="s">
        <v>466</v>
      </c>
      <c r="C84" s="76" t="n">
        <v>15</v>
      </c>
      <c r="D84" s="59" t="str">
        <f aca="false">IF(B84="","",IFERROR(INDEX(식자재단가!$I$4:$I$203,MATCH(B84,식자재단가!$C$4:$C$203,0)),"?"))</f>
        <v>g</v>
      </c>
      <c r="E84" s="77" t="n">
        <f aca="false">IF(B84="","",IFERROR(INDEX(식자재단가!$L$4:$L$203,MATCH(B84,식자재단가!$C$4:$C$203,0)),"품목없음"))</f>
        <v>9</v>
      </c>
      <c r="F84" s="28" t="n">
        <f aca="false">IF(OR(B84="",C84=""),"",IF(ISNUMBER(E84),C84*E84,0))</f>
        <v>135</v>
      </c>
      <c r="G84" s="14"/>
    </row>
    <row r="85" customFormat="false" ht="15" hidden="false" customHeight="false" outlineLevel="0" collapsed="false">
      <c r="A85" s="14" t="s">
        <v>633</v>
      </c>
      <c r="B85" s="14" t="s">
        <v>483</v>
      </c>
      <c r="C85" s="76" t="n">
        <v>250</v>
      </c>
      <c r="D85" s="59" t="str">
        <f aca="false">IF(B85="","",IFERROR(INDEX(식자재단가!$I$4:$I$203,MATCH(B85,식자재단가!$C$4:$C$203,0)),"?"))</f>
        <v>g</v>
      </c>
      <c r="E85" s="77" t="n">
        <f aca="false">IF(B85="","",IFERROR(INDEX(식자재단가!$L$4:$L$203,MATCH(B85,식자재단가!$C$4:$C$203,0)),"품목없음"))</f>
        <v>9</v>
      </c>
      <c r="F85" s="28" t="n">
        <f aca="false">IF(OR(B85="",C85=""),"",IF(ISNUMBER(E85),C85*E85,0))</f>
        <v>2250</v>
      </c>
      <c r="G85" s="14"/>
    </row>
    <row r="86" customFormat="false" ht="15" hidden="false" customHeight="false" outlineLevel="0" collapsed="false">
      <c r="A86" s="14" t="s">
        <v>633</v>
      </c>
      <c r="B86" s="14" t="s">
        <v>458</v>
      </c>
      <c r="C86" s="76" t="n">
        <v>60</v>
      </c>
      <c r="D86" s="59" t="str">
        <f aca="false">IF(B86="","",IFERROR(INDEX(식자재단가!$I$4:$I$203,MATCH(B86,식자재단가!$C$4:$C$203,0)),"?"))</f>
        <v>g</v>
      </c>
      <c r="E86" s="77" t="n">
        <f aca="false">IF(B86="","",IFERROR(INDEX(식자재단가!$L$4:$L$203,MATCH(B86,식자재단가!$C$4:$C$203,0)),"품목없음"))</f>
        <v>7.05882352941176</v>
      </c>
      <c r="F86" s="28" t="n">
        <f aca="false">IF(OR(B86="",C86=""),"",IF(ISNUMBER(E86),C86*E86,0))</f>
        <v>423.529411764706</v>
      </c>
      <c r="G86" s="14"/>
    </row>
    <row r="87" customFormat="false" ht="15" hidden="false" customHeight="false" outlineLevel="0" collapsed="false">
      <c r="A87" s="14" t="s">
        <v>633</v>
      </c>
      <c r="B87" s="14" t="s">
        <v>462</v>
      </c>
      <c r="C87" s="76" t="n">
        <v>60</v>
      </c>
      <c r="D87" s="59" t="str">
        <f aca="false">IF(B87="","",IFERROR(INDEX(식자재단가!$I$4:$I$203,MATCH(B87,식자재단가!$C$4:$C$203,0)),"?"))</f>
        <v>g</v>
      </c>
      <c r="E87" s="77" t="n">
        <f aca="false">IF(B87="","",IFERROR(INDEX(식자재단가!$L$4:$L$203,MATCH(B87,식자재단가!$C$4:$C$203,0)),"품목없음"))</f>
        <v>2</v>
      </c>
      <c r="F87" s="28" t="n">
        <f aca="false">IF(OR(B87="",C87=""),"",IF(ISNUMBER(E87),C87*E87,0))</f>
        <v>120</v>
      </c>
      <c r="G87" s="14"/>
    </row>
    <row r="88" customFormat="false" ht="15" hidden="false" customHeight="false" outlineLevel="0" collapsed="false">
      <c r="A88" s="14" t="s">
        <v>633</v>
      </c>
      <c r="B88" s="14" t="s">
        <v>439</v>
      </c>
      <c r="C88" s="76" t="n">
        <v>60</v>
      </c>
      <c r="D88" s="59" t="str">
        <f aca="false">IF(B88="","",IFERROR(INDEX(식자재단가!$I$4:$I$203,MATCH(B88,식자재단가!$C$4:$C$203,0)),"?"))</f>
        <v>g</v>
      </c>
      <c r="E88" s="77" t="n">
        <f aca="false">IF(B88="","",IFERROR(INDEX(식자재단가!$L$4:$L$203,MATCH(B88,식자재단가!$C$4:$C$203,0)),"품목없음"))</f>
        <v>9.47368421052632</v>
      </c>
      <c r="F88" s="28" t="n">
        <f aca="false">IF(OR(B88="",C88=""),"",IF(ISNUMBER(E88),C88*E88,0))</f>
        <v>568.421052631579</v>
      </c>
      <c r="G88" s="14"/>
    </row>
    <row r="89" customFormat="false" ht="15" hidden="false" customHeight="false" outlineLevel="0" collapsed="false">
      <c r="A89" s="14" t="s">
        <v>633</v>
      </c>
      <c r="B89" s="14" t="s">
        <v>540</v>
      </c>
      <c r="C89" s="76" t="n">
        <v>40</v>
      </c>
      <c r="D89" s="59" t="str">
        <f aca="false">IF(B89="","",IFERROR(INDEX(식자재단가!$I$4:$I$203,MATCH(B89,식자재단가!$C$4:$C$203,0)),"?"))</f>
        <v>ml</v>
      </c>
      <c r="E89" s="77" t="n">
        <f aca="false">IF(B89="","",IFERROR(INDEX(식자재단가!$L$4:$L$203,MATCH(B89,식자재단가!$C$4:$C$203,0)),"품목없음"))</f>
        <v>3.05555555555556</v>
      </c>
      <c r="F89" s="28" t="n">
        <f aca="false">IF(OR(B89="",C89=""),"",IF(ISNUMBER(E89),C89*E89,0))</f>
        <v>122.222222222222</v>
      </c>
      <c r="G89" s="14"/>
    </row>
    <row r="90" customFormat="false" ht="15" hidden="false" customHeight="false" outlineLevel="0" collapsed="false">
      <c r="A90" s="14" t="s">
        <v>633</v>
      </c>
      <c r="B90" s="14" t="s">
        <v>522</v>
      </c>
      <c r="C90" s="76" t="n">
        <v>20</v>
      </c>
      <c r="D90" s="59" t="str">
        <f aca="false">IF(B90="","",IFERROR(INDEX(식자재단가!$I$4:$I$203,MATCH(B90,식자재단가!$C$4:$C$203,0)),"?"))</f>
        <v>ml</v>
      </c>
      <c r="E90" s="77" t="n">
        <f aca="false">IF(B90="","",IFERROR(INDEX(식자재단가!$L$4:$L$203,MATCH(B90,식자재단가!$C$4:$C$203,0)),"품목없음"))</f>
        <v>3.33333333333333</v>
      </c>
      <c r="F90" s="28" t="n">
        <f aca="false">IF(OR(B90="",C90=""),"",IF(ISNUMBER(E90),C90*E90,0))</f>
        <v>66.6666666666667</v>
      </c>
      <c r="G90" s="14"/>
    </row>
    <row r="91" customFormat="false" ht="15" hidden="false" customHeight="false" outlineLevel="0" collapsed="false">
      <c r="A91" s="14" t="s">
        <v>634</v>
      </c>
      <c r="B91" s="14" t="s">
        <v>460</v>
      </c>
      <c r="C91" s="76" t="n">
        <v>350</v>
      </c>
      <c r="D91" s="59" t="str">
        <f aca="false">IF(B91="","",IFERROR(INDEX(식자재단가!$I$4:$I$203,MATCH(B91,식자재단가!$C$4:$C$203,0)),"?"))</f>
        <v>g</v>
      </c>
      <c r="E91" s="77" t="n">
        <f aca="false">IF(B91="","",IFERROR(INDEX(식자재단가!$L$4:$L$203,MATCH(B91,식자재단가!$C$4:$C$203,0)),"품목없음"))</f>
        <v>3.68421052631579</v>
      </c>
      <c r="F91" s="28" t="n">
        <f aca="false">IF(OR(B91="",C91=""),"",IF(ISNUMBER(E91),C91*E91,0))</f>
        <v>1289.47368421053</v>
      </c>
      <c r="G91" s="14"/>
    </row>
    <row r="92" customFormat="false" ht="15" hidden="false" customHeight="false" outlineLevel="0" collapsed="false">
      <c r="A92" s="14" t="s">
        <v>634</v>
      </c>
      <c r="B92" s="14" t="s">
        <v>466</v>
      </c>
      <c r="C92" s="76" t="n">
        <v>20</v>
      </c>
      <c r="D92" s="59" t="str">
        <f aca="false">IF(B92="","",IFERROR(INDEX(식자재단가!$I$4:$I$203,MATCH(B92,식자재단가!$C$4:$C$203,0)),"?"))</f>
        <v>g</v>
      </c>
      <c r="E92" s="77" t="n">
        <f aca="false">IF(B92="","",IFERROR(INDEX(식자재단가!$L$4:$L$203,MATCH(B92,식자재단가!$C$4:$C$203,0)),"품목없음"))</f>
        <v>9</v>
      </c>
      <c r="F92" s="28" t="n">
        <f aca="false">IF(OR(B92="",C92=""),"",IF(ISNUMBER(E92),C92*E92,0))</f>
        <v>180</v>
      </c>
      <c r="G92" s="14"/>
    </row>
    <row r="93" customFormat="false" ht="15" hidden="false" customHeight="false" outlineLevel="0" collapsed="false">
      <c r="A93" s="14" t="s">
        <v>634</v>
      </c>
      <c r="B93" s="14" t="s">
        <v>527</v>
      </c>
      <c r="C93" s="76" t="n">
        <v>30</v>
      </c>
      <c r="D93" s="59" t="str">
        <f aca="false">IF(B93="","",IFERROR(INDEX(식자재단가!$I$4:$I$203,MATCH(B93,식자재단가!$C$4:$C$203,0)),"?"))</f>
        <v>ml</v>
      </c>
      <c r="E93" s="77" t="n">
        <f aca="false">IF(B93="","",IFERROR(INDEX(식자재단가!$L$4:$L$203,MATCH(B93,식자재단가!$C$4:$C$203,0)),"품목없음"))</f>
        <v>1.66666666666667</v>
      </c>
      <c r="F93" s="28" t="n">
        <f aca="false">IF(OR(B93="",C93=""),"",IF(ISNUMBER(E93),C93*E93,0))</f>
        <v>50</v>
      </c>
      <c r="G93" s="14"/>
    </row>
    <row r="94" customFormat="false" ht="15" hidden="false" customHeight="false" outlineLevel="0" collapsed="false">
      <c r="A94" s="14" t="s">
        <v>634</v>
      </c>
      <c r="B94" s="14" t="s">
        <v>544</v>
      </c>
      <c r="C94" s="76" t="n">
        <v>10</v>
      </c>
      <c r="D94" s="59" t="str">
        <f aca="false">IF(B94="","",IFERROR(INDEX(식자재단가!$I$4:$I$203,MATCH(B94,식자재단가!$C$4:$C$203,0)),"?"))</f>
        <v>ml</v>
      </c>
      <c r="E94" s="77" t="n">
        <f aca="false">IF(B94="","",IFERROR(INDEX(식자재단가!$L$4:$L$203,MATCH(B94,식자재단가!$C$4:$C$203,0)),"품목없음"))</f>
        <v>13.8888888888889</v>
      </c>
      <c r="F94" s="28" t="n">
        <f aca="false">IF(OR(B94="",C94=""),"",IF(ISNUMBER(E94),C94*E94,0))</f>
        <v>138.888888888889</v>
      </c>
      <c r="G94" s="14"/>
    </row>
    <row r="95" customFormat="false" ht="15" hidden="false" customHeight="false" outlineLevel="0" collapsed="false">
      <c r="A95" s="14" t="s">
        <v>634</v>
      </c>
      <c r="B95" s="14" t="s">
        <v>529</v>
      </c>
      <c r="C95" s="76" t="n">
        <v>10</v>
      </c>
      <c r="D95" s="59" t="str">
        <f aca="false">IF(B95="","",IFERROR(INDEX(식자재단가!$I$4:$I$203,MATCH(B95,식자재단가!$C$4:$C$203,0)),"?"))</f>
        <v>g</v>
      </c>
      <c r="E95" s="77" t="n">
        <f aca="false">IF(B95="","",IFERROR(INDEX(식자재단가!$L$4:$L$203,MATCH(B95,식자재단가!$C$4:$C$203,0)),"품목없음"))</f>
        <v>1.66666666666667</v>
      </c>
      <c r="F95" s="28" t="n">
        <f aca="false">IF(OR(B95="",C95=""),"",IF(ISNUMBER(E95),C95*E95,0))</f>
        <v>16.6666666666667</v>
      </c>
      <c r="G95" s="14"/>
    </row>
    <row r="96" customFormat="false" ht="15" hidden="false" customHeight="false" outlineLevel="0" collapsed="false">
      <c r="A96" s="14" t="s">
        <v>634</v>
      </c>
      <c r="B96" s="14" t="s">
        <v>532</v>
      </c>
      <c r="C96" s="76" t="n">
        <v>5</v>
      </c>
      <c r="D96" s="59" t="str">
        <f aca="false">IF(B96="","",IFERROR(INDEX(식자재단가!$I$4:$I$203,MATCH(B96,식자재단가!$C$4:$C$203,0)),"?"))</f>
        <v>g</v>
      </c>
      <c r="E96" s="77" t="n">
        <f aca="false">IF(B96="","",IFERROR(INDEX(식자재단가!$L$4:$L$203,MATCH(B96,식자재단가!$C$4:$C$203,0)),"품목없음"))</f>
        <v>18</v>
      </c>
      <c r="F96" s="28" t="n">
        <f aca="false">IF(OR(B96="",C96=""),"",IF(ISNUMBER(E96),C96*E96,0))</f>
        <v>90</v>
      </c>
      <c r="G96" s="14"/>
    </row>
    <row r="97" customFormat="false" ht="15" hidden="false" customHeight="false" outlineLevel="0" collapsed="false">
      <c r="A97" s="14" t="s">
        <v>635</v>
      </c>
      <c r="B97" s="14" t="s">
        <v>433</v>
      </c>
      <c r="C97" s="76" t="n">
        <v>250</v>
      </c>
      <c r="D97" s="59" t="str">
        <f aca="false">IF(B97="","",IFERROR(INDEX(식자재단가!$I$4:$I$203,MATCH(B97,식자재단가!$C$4:$C$203,0)),"?"))</f>
        <v>g</v>
      </c>
      <c r="E97" s="77" t="n">
        <f aca="false">IF(B97="","",IFERROR(INDEX(식자재단가!$L$4:$L$203,MATCH(B97,식자재단가!$C$4:$C$203,0)),"품목없음"))</f>
        <v>20</v>
      </c>
      <c r="F97" s="28" t="n">
        <f aca="false">IF(OR(B97="",C97=""),"",IF(ISNUMBER(E97),C97*E97,0))</f>
        <v>5000</v>
      </c>
      <c r="G97" s="14"/>
    </row>
    <row r="98" customFormat="false" ht="15" hidden="false" customHeight="false" outlineLevel="0" collapsed="false">
      <c r="A98" s="14" t="s">
        <v>635</v>
      </c>
      <c r="B98" s="14" t="s">
        <v>510</v>
      </c>
      <c r="C98" s="76" t="n">
        <v>15</v>
      </c>
      <c r="D98" s="59" t="str">
        <f aca="false">IF(B98="","",IFERROR(INDEX(식자재단가!$I$4:$I$203,MATCH(B98,식자재단가!$C$4:$C$203,0)),"?"))</f>
        <v>g</v>
      </c>
      <c r="E98" s="77" t="n">
        <f aca="false">IF(B98="","",IFERROR(INDEX(식자재단가!$L$4:$L$203,MATCH(B98,식자재단가!$C$4:$C$203,0)),"품목없음"))</f>
        <v>15</v>
      </c>
      <c r="F98" s="28" t="n">
        <f aca="false">IF(OR(B98="",C98=""),"",IF(ISNUMBER(E98),C98*E98,0))</f>
        <v>225</v>
      </c>
      <c r="G98" s="14"/>
    </row>
    <row r="99" customFormat="false" ht="15" hidden="false" customHeight="false" outlineLevel="0" collapsed="false">
      <c r="A99" s="14" t="s">
        <v>635</v>
      </c>
      <c r="B99" s="14" t="s">
        <v>462</v>
      </c>
      <c r="C99" s="76" t="n">
        <v>100</v>
      </c>
      <c r="D99" s="59" t="str">
        <f aca="false">IF(B99="","",IFERROR(INDEX(식자재단가!$I$4:$I$203,MATCH(B99,식자재단가!$C$4:$C$203,0)),"?"))</f>
        <v>g</v>
      </c>
      <c r="E99" s="77" t="n">
        <f aca="false">IF(B99="","",IFERROR(INDEX(식자재단가!$L$4:$L$203,MATCH(B99,식자재단가!$C$4:$C$203,0)),"품목없음"))</f>
        <v>2</v>
      </c>
      <c r="F99" s="28" t="n">
        <f aca="false">IF(OR(B99="",C99=""),"",IF(ISNUMBER(E99),C99*E99,0))</f>
        <v>200</v>
      </c>
      <c r="G99" s="14"/>
    </row>
    <row r="100" customFormat="false" ht="15" hidden="false" customHeight="false" outlineLevel="0" collapsed="false">
      <c r="A100" s="14" t="s">
        <v>635</v>
      </c>
      <c r="B100" s="14" t="s">
        <v>470</v>
      </c>
      <c r="C100" s="76" t="n">
        <v>15</v>
      </c>
      <c r="D100" s="59" t="str">
        <f aca="false">IF(B100="","",IFERROR(INDEX(식자재단가!$I$4:$I$203,MATCH(B100,식자재단가!$C$4:$C$203,0)),"?"))</f>
        <v>g</v>
      </c>
      <c r="E100" s="77" t="n">
        <f aca="false">IF(B100="","",IFERROR(INDEX(식자재단가!$L$4:$L$203,MATCH(B100,식자재단가!$C$4:$C$203,0)),"품목없음"))</f>
        <v>15</v>
      </c>
      <c r="F100" s="28" t="n">
        <f aca="false">IF(OR(B100="",C100=""),"",IF(ISNUMBER(E100),C100*E100,0))</f>
        <v>225</v>
      </c>
      <c r="G100" s="14"/>
    </row>
    <row r="101" customFormat="false" ht="15" hidden="false" customHeight="false" outlineLevel="0" collapsed="false">
      <c r="A101" s="14" t="s">
        <v>635</v>
      </c>
      <c r="B101" s="14" t="s">
        <v>534</v>
      </c>
      <c r="C101" s="76" t="n">
        <v>10</v>
      </c>
      <c r="D101" s="59" t="str">
        <f aca="false">IF(B101="","",IFERROR(INDEX(식자재단가!$I$4:$I$203,MATCH(B101,식자재단가!$C$4:$C$203,0)),"?"))</f>
        <v>g</v>
      </c>
      <c r="E101" s="77" t="n">
        <f aca="false">IF(B101="","",IFERROR(INDEX(식자재단가!$L$4:$L$203,MATCH(B101,식자재단가!$C$4:$C$203,0)),"품목없음"))</f>
        <v>16</v>
      </c>
      <c r="F101" s="28" t="n">
        <f aca="false">IF(OR(B101="",C101=""),"",IF(ISNUMBER(E101),C101*E101,0))</f>
        <v>160</v>
      </c>
      <c r="G101" s="14"/>
    </row>
    <row r="102" customFormat="false" ht="15" hidden="false" customHeight="false" outlineLevel="0" collapsed="false">
      <c r="A102" s="14" t="s">
        <v>635</v>
      </c>
      <c r="B102" s="14" t="s">
        <v>540</v>
      </c>
      <c r="C102" s="76" t="n">
        <v>50</v>
      </c>
      <c r="D102" s="59" t="str">
        <f aca="false">IF(B102="","",IFERROR(INDEX(식자재단가!$I$4:$I$203,MATCH(B102,식자재단가!$C$4:$C$203,0)),"?"))</f>
        <v>ml</v>
      </c>
      <c r="E102" s="77" t="n">
        <f aca="false">IF(B102="","",IFERROR(INDEX(식자재단가!$L$4:$L$203,MATCH(B102,식자재단가!$C$4:$C$203,0)),"품목없음"))</f>
        <v>3.05555555555556</v>
      </c>
      <c r="F102" s="28" t="n">
        <f aca="false">IF(OR(B102="",C102=""),"",IF(ISNUMBER(E102),C102*E102,0))</f>
        <v>152.777777777778</v>
      </c>
      <c r="G102" s="14"/>
    </row>
    <row r="103" customFormat="false" ht="15" hidden="false" customHeight="false" outlineLevel="0" collapsed="false">
      <c r="A103" s="14" t="s">
        <v>636</v>
      </c>
      <c r="B103" s="14" t="s">
        <v>515</v>
      </c>
      <c r="C103" s="76" t="n">
        <v>100</v>
      </c>
      <c r="D103" s="59" t="str">
        <f aca="false">IF(B103="","",IFERROR(INDEX(식자재단가!$I$4:$I$203,MATCH(B103,식자재단가!$C$4:$C$203,0)),"?"))</f>
        <v>g</v>
      </c>
      <c r="E103" s="77" t="n">
        <f aca="false">IF(B103="","",IFERROR(INDEX(식자재단가!$L$4:$L$203,MATCH(B103,식자재단가!$C$4:$C$203,0)),"품목없음"))</f>
        <v>14</v>
      </c>
      <c r="F103" s="28" t="n">
        <f aca="false">IF(OR(B103="",C103=""),"",IF(ISNUMBER(E103),C103*E103,0))</f>
        <v>1400</v>
      </c>
      <c r="G103" s="14"/>
    </row>
    <row r="104" customFormat="false" ht="15" hidden="false" customHeight="false" outlineLevel="0" collapsed="false">
      <c r="A104" s="14" t="s">
        <v>636</v>
      </c>
      <c r="B104" s="14" t="s">
        <v>433</v>
      </c>
      <c r="C104" s="76" t="n">
        <v>150</v>
      </c>
      <c r="D104" s="59" t="str">
        <f aca="false">IF(B104="","",IFERROR(INDEX(식자재단가!$I$4:$I$203,MATCH(B104,식자재단가!$C$4:$C$203,0)),"?"))</f>
        <v>g</v>
      </c>
      <c r="E104" s="77" t="n">
        <f aca="false">IF(B104="","",IFERROR(INDEX(식자재단가!$L$4:$L$203,MATCH(B104,식자재단가!$C$4:$C$203,0)),"품목없음"))</f>
        <v>20</v>
      </c>
      <c r="F104" s="28" t="n">
        <f aca="false">IF(OR(B104="",C104=""),"",IF(ISNUMBER(E104),C104*E104,0))</f>
        <v>3000</v>
      </c>
      <c r="G104" s="14"/>
    </row>
    <row r="105" customFormat="false" ht="15" hidden="false" customHeight="false" outlineLevel="0" collapsed="false">
      <c r="A105" s="14" t="s">
        <v>636</v>
      </c>
      <c r="B105" s="14" t="s">
        <v>444</v>
      </c>
      <c r="C105" s="76" t="n">
        <v>100</v>
      </c>
      <c r="D105" s="59" t="str">
        <f aca="false">IF(B105="","",IFERROR(INDEX(식자재단가!$I$4:$I$203,MATCH(B105,식자재단가!$C$4:$C$203,0)),"?"))</f>
        <v>g</v>
      </c>
      <c r="E105" s="77" t="n">
        <f aca="false">IF(B105="","",IFERROR(INDEX(식자재단가!$L$4:$L$203,MATCH(B105,식자재단가!$C$4:$C$203,0)),"품목없음"))</f>
        <v>28.2352941176471</v>
      </c>
      <c r="F105" s="28" t="n">
        <f aca="false">IF(OR(B105="",C105=""),"",IF(ISNUMBER(E105),C105*E105,0))</f>
        <v>2823.52941176471</v>
      </c>
      <c r="G105" s="14"/>
    </row>
    <row r="106" customFormat="false" ht="15" hidden="false" customHeight="false" outlineLevel="0" collapsed="false">
      <c r="A106" s="14" t="s">
        <v>636</v>
      </c>
      <c r="B106" s="14" t="s">
        <v>456</v>
      </c>
      <c r="C106" s="76" t="n">
        <v>100</v>
      </c>
      <c r="D106" s="59" t="str">
        <f aca="false">IF(B106="","",IFERROR(INDEX(식자재단가!$I$4:$I$203,MATCH(B106,식자재단가!$C$4:$C$203,0)),"?"))</f>
        <v>g</v>
      </c>
      <c r="E106" s="77" t="n">
        <f aca="false">IF(B106="","",IFERROR(INDEX(식자재단가!$L$4:$L$203,MATCH(B106,식자재단가!$C$4:$C$203,0)),"품목없음"))</f>
        <v>2.94117647058824</v>
      </c>
      <c r="F106" s="28" t="n">
        <f aca="false">IF(OR(B106="",C106=""),"",IF(ISNUMBER(E106),C106*E106,0))</f>
        <v>294.117647058824</v>
      </c>
      <c r="G106" s="14"/>
    </row>
    <row r="107" customFormat="false" ht="15" hidden="false" customHeight="false" outlineLevel="0" collapsed="false">
      <c r="A107" s="14" t="s">
        <v>636</v>
      </c>
      <c r="B107" s="14" t="s">
        <v>472</v>
      </c>
      <c r="C107" s="76" t="n">
        <v>80</v>
      </c>
      <c r="D107" s="59" t="str">
        <f aca="false">IF(B107="","",IFERROR(INDEX(식자재단가!$I$4:$I$203,MATCH(B107,식자재단가!$C$4:$C$203,0)),"?"))</f>
        <v>g</v>
      </c>
      <c r="E107" s="77" t="n">
        <f aca="false">IF(B107="","",IFERROR(INDEX(식자재단가!$L$4:$L$203,MATCH(B107,식자재단가!$C$4:$C$203,0)),"품목없음"))</f>
        <v>5.88235294117647</v>
      </c>
      <c r="F107" s="28" t="n">
        <f aca="false">IF(OR(B107="",C107=""),"",IF(ISNUMBER(E107),C107*E107,0))</f>
        <v>470.588235294118</v>
      </c>
      <c r="G107" s="14"/>
    </row>
    <row r="108" customFormat="false" ht="15" hidden="false" customHeight="false" outlineLevel="0" collapsed="false">
      <c r="A108" s="14" t="s">
        <v>636</v>
      </c>
      <c r="B108" s="14" t="s">
        <v>483</v>
      </c>
      <c r="C108" s="76" t="n">
        <v>80</v>
      </c>
      <c r="D108" s="59" t="str">
        <f aca="false">IF(B108="","",IFERROR(INDEX(식자재단가!$I$4:$I$203,MATCH(B108,식자재단가!$C$4:$C$203,0)),"?"))</f>
        <v>g</v>
      </c>
      <c r="E108" s="77" t="n">
        <f aca="false">IF(B108="","",IFERROR(INDEX(식자재단가!$L$4:$L$203,MATCH(B108,식자재단가!$C$4:$C$203,0)),"품목없음"))</f>
        <v>9</v>
      </c>
      <c r="F108" s="28" t="n">
        <f aca="false">IF(OR(B108="",C108=""),"",IF(ISNUMBER(E108),C108*E108,0))</f>
        <v>720</v>
      </c>
      <c r="G108" s="14"/>
    </row>
    <row r="109" customFormat="false" ht="15" hidden="false" customHeight="false" outlineLevel="0" collapsed="false">
      <c r="A109" s="14" t="s">
        <v>636</v>
      </c>
      <c r="B109" s="14" t="s">
        <v>501</v>
      </c>
      <c r="C109" s="76" t="n">
        <v>80</v>
      </c>
      <c r="D109" s="59" t="str">
        <f aca="false">IF(B109="","",IFERROR(INDEX(식자재단가!$I$4:$I$203,MATCH(B109,식자재단가!$C$4:$C$203,0)),"?"))</f>
        <v>g</v>
      </c>
      <c r="E109" s="77" t="n">
        <f aca="false">IF(B109="","",IFERROR(INDEX(식자재단가!$L$4:$L$203,MATCH(B109,식자재단가!$C$4:$C$203,0)),"품목없음"))</f>
        <v>6</v>
      </c>
      <c r="F109" s="28" t="n">
        <f aca="false">IF(OR(B109="",C109=""),"",IF(ISNUMBER(E109),C109*E109,0))</f>
        <v>480</v>
      </c>
      <c r="G109" s="14"/>
    </row>
    <row r="110" customFormat="false" ht="15" hidden="false" customHeight="false" outlineLevel="0" collapsed="false">
      <c r="A110" s="14" t="s">
        <v>636</v>
      </c>
      <c r="B110" s="14" t="s">
        <v>540</v>
      </c>
      <c r="C110" s="76" t="n">
        <v>80</v>
      </c>
      <c r="D110" s="59" t="str">
        <f aca="false">IF(B110="","",IFERROR(INDEX(식자재단가!$I$4:$I$203,MATCH(B110,식자재단가!$C$4:$C$203,0)),"?"))</f>
        <v>ml</v>
      </c>
      <c r="E110" s="77" t="n">
        <f aca="false">IF(B110="","",IFERROR(INDEX(식자재단가!$L$4:$L$203,MATCH(B110,식자재단가!$C$4:$C$203,0)),"품목없음"))</f>
        <v>3.05555555555556</v>
      </c>
      <c r="F110" s="28" t="n">
        <f aca="false">IF(OR(B110="",C110=""),"",IF(ISNUMBER(E110),C110*E110,0))</f>
        <v>244.444444444444</v>
      </c>
      <c r="G110" s="14"/>
    </row>
    <row r="111" customFormat="false" ht="15" hidden="false" customHeight="false" outlineLevel="0" collapsed="false">
      <c r="A111" s="14" t="s">
        <v>637</v>
      </c>
      <c r="B111" s="14" t="s">
        <v>483</v>
      </c>
      <c r="C111" s="76" t="n">
        <v>250</v>
      </c>
      <c r="D111" s="59" t="str">
        <f aca="false">IF(B111="","",IFERROR(INDEX(식자재단가!$I$4:$I$203,MATCH(B111,식자재단가!$C$4:$C$203,0)),"?"))</f>
        <v>g</v>
      </c>
      <c r="E111" s="77" t="n">
        <f aca="false">IF(B111="","",IFERROR(INDEX(식자재단가!$L$4:$L$203,MATCH(B111,식자재단가!$C$4:$C$203,0)),"품목없음"))</f>
        <v>9</v>
      </c>
      <c r="F111" s="28" t="n">
        <f aca="false">IF(OR(B111="",C111=""),"",IF(ISNUMBER(E111),C111*E111,0))</f>
        <v>2250</v>
      </c>
      <c r="G111" s="14"/>
    </row>
    <row r="112" customFormat="false" ht="15" hidden="false" customHeight="false" outlineLevel="0" collapsed="false">
      <c r="A112" s="14" t="s">
        <v>637</v>
      </c>
      <c r="B112" s="14" t="s">
        <v>460</v>
      </c>
      <c r="C112" s="76" t="n">
        <v>80</v>
      </c>
      <c r="D112" s="59" t="str">
        <f aca="false">IF(B112="","",IFERROR(INDEX(식자재단가!$I$4:$I$203,MATCH(B112,식자재단가!$C$4:$C$203,0)),"?"))</f>
        <v>g</v>
      </c>
      <c r="E112" s="77" t="n">
        <f aca="false">IF(B112="","",IFERROR(INDEX(식자재단가!$L$4:$L$203,MATCH(B112,식자재단가!$C$4:$C$203,0)),"품목없음"))</f>
        <v>3.68421052631579</v>
      </c>
      <c r="F112" s="28" t="n">
        <f aca="false">IF(OR(B112="",C112=""),"",IF(ISNUMBER(E112),C112*E112,0))</f>
        <v>294.736842105263</v>
      </c>
      <c r="G112" s="14"/>
    </row>
    <row r="113" customFormat="false" ht="15" hidden="false" customHeight="false" outlineLevel="0" collapsed="false">
      <c r="A113" s="14" t="s">
        <v>637</v>
      </c>
      <c r="B113" s="14" t="s">
        <v>470</v>
      </c>
      <c r="C113" s="76" t="n">
        <v>15</v>
      </c>
      <c r="D113" s="59" t="str">
        <f aca="false">IF(B113="","",IFERROR(INDEX(식자재단가!$I$4:$I$203,MATCH(B113,식자재단가!$C$4:$C$203,0)),"?"))</f>
        <v>g</v>
      </c>
      <c r="E113" s="77" t="n">
        <f aca="false">IF(B113="","",IFERROR(INDEX(식자재단가!$L$4:$L$203,MATCH(B113,식자재단가!$C$4:$C$203,0)),"품목없음"))</f>
        <v>15</v>
      </c>
      <c r="F113" s="28" t="n">
        <f aca="false">IF(OR(B113="",C113=""),"",IF(ISNUMBER(E113),C113*E113,0))</f>
        <v>225</v>
      </c>
      <c r="G113" s="14"/>
    </row>
    <row r="114" customFormat="false" ht="15" hidden="false" customHeight="false" outlineLevel="0" collapsed="false">
      <c r="A114" s="14" t="s">
        <v>637</v>
      </c>
      <c r="B114" s="14" t="s">
        <v>527</v>
      </c>
      <c r="C114" s="76" t="n">
        <v>20</v>
      </c>
      <c r="D114" s="59" t="str">
        <f aca="false">IF(B114="","",IFERROR(INDEX(식자재단가!$I$4:$I$203,MATCH(B114,식자재단가!$C$4:$C$203,0)),"?"))</f>
        <v>ml</v>
      </c>
      <c r="E114" s="77" t="n">
        <f aca="false">IF(B114="","",IFERROR(INDEX(식자재단가!$L$4:$L$203,MATCH(B114,식자재단가!$C$4:$C$203,0)),"품목없음"))</f>
        <v>1.66666666666667</v>
      </c>
      <c r="F114" s="28" t="n">
        <f aca="false">IF(OR(B114="",C114=""),"",IF(ISNUMBER(E114),C114*E114,0))</f>
        <v>33.3333333333333</v>
      </c>
      <c r="G114" s="14"/>
    </row>
    <row r="115" customFormat="false" ht="15" hidden="false" customHeight="false" outlineLevel="0" collapsed="false">
      <c r="A115" s="14" t="s">
        <v>637</v>
      </c>
      <c r="B115" s="14" t="s">
        <v>544</v>
      </c>
      <c r="C115" s="76" t="n">
        <v>10</v>
      </c>
      <c r="D115" s="59" t="str">
        <f aca="false">IF(B115="","",IFERROR(INDEX(식자재단가!$I$4:$I$203,MATCH(B115,식자재단가!$C$4:$C$203,0)),"?"))</f>
        <v>ml</v>
      </c>
      <c r="E115" s="77" t="n">
        <f aca="false">IF(B115="","",IFERROR(INDEX(식자재단가!$L$4:$L$203,MATCH(B115,식자재단가!$C$4:$C$203,0)),"품목없음"))</f>
        <v>13.8888888888889</v>
      </c>
      <c r="F115" s="28" t="n">
        <f aca="false">IF(OR(B115="",C115=""),"",IF(ISNUMBER(E115),C115*E115,0))</f>
        <v>138.888888888889</v>
      </c>
      <c r="G115" s="14"/>
    </row>
    <row r="116" customFormat="false" ht="15" hidden="false" customHeight="false" outlineLevel="0" collapsed="false">
      <c r="A116" s="14" t="s">
        <v>637</v>
      </c>
      <c r="B116" s="14" t="s">
        <v>532</v>
      </c>
      <c r="C116" s="76" t="n">
        <v>5</v>
      </c>
      <c r="D116" s="59" t="str">
        <f aca="false">IF(B116="","",IFERROR(INDEX(식자재단가!$I$4:$I$203,MATCH(B116,식자재단가!$C$4:$C$203,0)),"?"))</f>
        <v>g</v>
      </c>
      <c r="E116" s="77" t="n">
        <f aca="false">IF(B116="","",IFERROR(INDEX(식자재단가!$L$4:$L$203,MATCH(B116,식자재단가!$C$4:$C$203,0)),"품목없음"))</f>
        <v>18</v>
      </c>
      <c r="F116" s="28" t="n">
        <f aca="false">IF(OR(B116="",C116=""),"",IF(ISNUMBER(E116),C116*E116,0))</f>
        <v>90</v>
      </c>
      <c r="G116" s="14"/>
    </row>
    <row r="117" customFormat="false" ht="15" hidden="false" customHeight="false" outlineLevel="0" collapsed="false">
      <c r="A117" s="14" t="s">
        <v>638</v>
      </c>
      <c r="B117" s="14" t="s">
        <v>433</v>
      </c>
      <c r="C117" s="76" t="n">
        <v>180</v>
      </c>
      <c r="D117" s="59" t="str">
        <f aca="false">IF(B117="","",IFERROR(INDEX(식자재단가!$I$4:$I$203,MATCH(B117,식자재단가!$C$4:$C$203,0)),"?"))</f>
        <v>g</v>
      </c>
      <c r="E117" s="77" t="n">
        <f aca="false">IF(B117="","",IFERROR(INDEX(식자재단가!$L$4:$L$203,MATCH(B117,식자재단가!$C$4:$C$203,0)),"품목없음"))</f>
        <v>20</v>
      </c>
      <c r="F117" s="28" t="n">
        <f aca="false">IF(OR(B117="",C117=""),"",IF(ISNUMBER(E117),C117*E117,0))</f>
        <v>3600</v>
      </c>
      <c r="G117" s="14"/>
    </row>
    <row r="118" customFormat="false" ht="15" hidden="false" customHeight="false" outlineLevel="0" collapsed="false">
      <c r="A118" s="14" t="s">
        <v>638</v>
      </c>
      <c r="B118" s="14" t="s">
        <v>464</v>
      </c>
      <c r="C118" s="76" t="n">
        <v>30</v>
      </c>
      <c r="D118" s="59" t="str">
        <f aca="false">IF(B118="","",IFERROR(INDEX(식자재단가!$I$4:$I$203,MATCH(B118,식자재단가!$C$4:$C$203,0)),"?"))</f>
        <v>g</v>
      </c>
      <c r="E118" s="77" t="n">
        <f aca="false">IF(B118="","",IFERROR(INDEX(식자재단가!$L$4:$L$203,MATCH(B118,식자재단가!$C$4:$C$203,0)),"품목없음"))</f>
        <v>4.11764705882353</v>
      </c>
      <c r="F118" s="28" t="n">
        <f aca="false">IF(OR(B118="",C118=""),"",IF(ISNUMBER(E118),C118*E118,0))</f>
        <v>123.529411764706</v>
      </c>
      <c r="G118" s="14"/>
    </row>
    <row r="119" customFormat="false" ht="15" hidden="false" customHeight="false" outlineLevel="0" collapsed="false">
      <c r="A119" s="14" t="s">
        <v>638</v>
      </c>
      <c r="B119" s="14" t="s">
        <v>470</v>
      </c>
      <c r="C119" s="76" t="n">
        <v>10</v>
      </c>
      <c r="D119" s="59" t="str">
        <f aca="false">IF(B119="","",IFERROR(INDEX(식자재단가!$I$4:$I$203,MATCH(B119,식자재단가!$C$4:$C$203,0)),"?"))</f>
        <v>g</v>
      </c>
      <c r="E119" s="77" t="n">
        <f aca="false">IF(B119="","",IFERROR(INDEX(식자재단가!$L$4:$L$203,MATCH(B119,식자재단가!$C$4:$C$203,0)),"품목없음"))</f>
        <v>15</v>
      </c>
      <c r="F119" s="28" t="n">
        <f aca="false">IF(OR(B119="",C119=""),"",IF(ISNUMBER(E119),C119*E119,0))</f>
        <v>150</v>
      </c>
      <c r="G119" s="14"/>
    </row>
    <row r="120" customFormat="false" ht="15" hidden="false" customHeight="false" outlineLevel="0" collapsed="false">
      <c r="A120" s="14" t="s">
        <v>638</v>
      </c>
      <c r="B120" s="14" t="s">
        <v>468</v>
      </c>
      <c r="C120" s="76" t="n">
        <v>5</v>
      </c>
      <c r="D120" s="59" t="str">
        <f aca="false">IF(B120="","",IFERROR(INDEX(식자재단가!$I$4:$I$203,MATCH(B120,식자재단가!$C$4:$C$203,0)),"?"))</f>
        <v>g</v>
      </c>
      <c r="E120" s="77" t="n">
        <f aca="false">IF(B120="","",IFERROR(INDEX(식자재단가!$L$4:$L$203,MATCH(B120,식자재단가!$C$4:$C$203,0)),"품목없음"))</f>
        <v>9.41176470588235</v>
      </c>
      <c r="F120" s="28" t="n">
        <f aca="false">IF(OR(B120="",C120=""),"",IF(ISNUMBER(E120),C120*E120,0))</f>
        <v>47.0588235294118</v>
      </c>
      <c r="G120" s="14"/>
    </row>
    <row r="121" customFormat="false" ht="15" hidden="false" customHeight="false" outlineLevel="0" collapsed="false">
      <c r="A121" s="14" t="s">
        <v>639</v>
      </c>
      <c r="B121" s="14" t="s">
        <v>490</v>
      </c>
      <c r="C121" s="76" t="n">
        <v>200</v>
      </c>
      <c r="D121" s="59" t="str">
        <f aca="false">IF(B121="","",IFERROR(INDEX(식자재단가!$I$4:$I$203,MATCH(B121,식자재단가!$C$4:$C$203,0)),"?"))</f>
        <v>g</v>
      </c>
      <c r="E121" s="77" t="n">
        <f aca="false">IF(B121="","",IFERROR(INDEX(식자재단가!$L$4:$L$203,MATCH(B121,식자재단가!$C$4:$C$203,0)),"품목없음"))</f>
        <v>3</v>
      </c>
      <c r="F121" s="28" t="n">
        <f aca="false">IF(OR(B121="",C121=""),"",IF(ISNUMBER(E121),C121*E121,0))</f>
        <v>600</v>
      </c>
      <c r="G121" s="14"/>
    </row>
    <row r="122" customFormat="false" ht="15" hidden="false" customHeight="false" outlineLevel="0" collapsed="false">
      <c r="A122" s="14" t="s">
        <v>639</v>
      </c>
      <c r="B122" s="14" t="s">
        <v>486</v>
      </c>
      <c r="C122" s="76" t="n">
        <v>2</v>
      </c>
      <c r="D122" s="59" t="str">
        <f aca="false">IF(B122="","",IFERROR(INDEX(식자재단가!$I$4:$I$203,MATCH(B122,식자재단가!$C$4:$C$203,0)),"?"))</f>
        <v>개</v>
      </c>
      <c r="E122" s="77" t="n">
        <f aca="false">IF(B122="","",IFERROR(INDEX(식자재단가!$L$4:$L$203,MATCH(B122,식자재단가!$C$4:$C$203,0)),"품목없음"))</f>
        <v>266.666666666667</v>
      </c>
      <c r="F122" s="28" t="n">
        <f aca="false">IF(OR(B122="",C122=""),"",IF(ISNUMBER(E122),C122*E122,0))</f>
        <v>533.333333333333</v>
      </c>
      <c r="G122" s="14"/>
    </row>
    <row r="123" customFormat="false" ht="15" hidden="false" customHeight="false" outlineLevel="0" collapsed="false">
      <c r="A123" s="14" t="s">
        <v>639</v>
      </c>
      <c r="B123" s="14" t="s">
        <v>464</v>
      </c>
      <c r="C123" s="76" t="n">
        <v>15</v>
      </c>
      <c r="D123" s="59" t="str">
        <f aca="false">IF(B123="","",IFERROR(INDEX(식자재단가!$I$4:$I$203,MATCH(B123,식자재단가!$C$4:$C$203,0)),"?"))</f>
        <v>g</v>
      </c>
      <c r="E123" s="77" t="n">
        <f aca="false">IF(B123="","",IFERROR(INDEX(식자재단가!$L$4:$L$203,MATCH(B123,식자재단가!$C$4:$C$203,0)),"품목없음"))</f>
        <v>4.11764705882353</v>
      </c>
      <c r="F123" s="28" t="n">
        <f aca="false">IF(OR(B123="",C123=""),"",IF(ISNUMBER(E123),C123*E123,0))</f>
        <v>61.764705882353</v>
      </c>
      <c r="G123" s="14"/>
    </row>
    <row r="124" customFormat="false" ht="15" hidden="false" customHeight="false" outlineLevel="0" collapsed="false">
      <c r="A124" s="14" t="s">
        <v>639</v>
      </c>
      <c r="B124" s="14" t="s">
        <v>540</v>
      </c>
      <c r="C124" s="76" t="n">
        <v>20</v>
      </c>
      <c r="D124" s="59" t="str">
        <f aca="false">IF(B124="","",IFERROR(INDEX(식자재단가!$I$4:$I$203,MATCH(B124,식자재단가!$C$4:$C$203,0)),"?"))</f>
        <v>ml</v>
      </c>
      <c r="E124" s="77" t="n">
        <f aca="false">IF(B124="","",IFERROR(INDEX(식자재단가!$L$4:$L$203,MATCH(B124,식자재단가!$C$4:$C$203,0)),"품목없음"))</f>
        <v>3.05555555555556</v>
      </c>
      <c r="F124" s="28" t="n">
        <f aca="false">IF(OR(B124="",C124=""),"",IF(ISNUMBER(E124),C124*E124,0))</f>
        <v>61.1111111111111</v>
      </c>
      <c r="G124" s="14"/>
    </row>
    <row r="125" customFormat="false" ht="15" hidden="false" customHeight="false" outlineLevel="0" collapsed="false">
      <c r="A125" s="14" t="s">
        <v>640</v>
      </c>
      <c r="B125" s="14" t="s">
        <v>490</v>
      </c>
      <c r="C125" s="76" t="n">
        <v>200</v>
      </c>
      <c r="D125" s="59" t="str">
        <f aca="false">IF(B125="","",IFERROR(INDEX(식자재단가!$I$4:$I$203,MATCH(B125,식자재단가!$C$4:$C$203,0)),"?"))</f>
        <v>g</v>
      </c>
      <c r="E125" s="77" t="n">
        <f aca="false">IF(B125="","",IFERROR(INDEX(식자재단가!$L$4:$L$203,MATCH(B125,식자재단가!$C$4:$C$203,0)),"품목없음"))</f>
        <v>3</v>
      </c>
      <c r="F125" s="28" t="n">
        <f aca="false">IF(OR(B125="",C125=""),"",IF(ISNUMBER(E125),C125*E125,0))</f>
        <v>600</v>
      </c>
      <c r="G125" s="14"/>
    </row>
    <row r="126" customFormat="false" ht="15" hidden="false" customHeight="false" outlineLevel="0" collapsed="false">
      <c r="A126" s="14" t="s">
        <v>640</v>
      </c>
      <c r="B126" s="14" t="s">
        <v>451</v>
      </c>
      <c r="C126" s="76" t="n">
        <v>80</v>
      </c>
      <c r="D126" s="59" t="str">
        <f aca="false">IF(B126="","",IFERROR(INDEX(식자재단가!$I$4:$I$203,MATCH(B126,식자재단가!$C$4:$C$203,0)),"?"))</f>
        <v>g</v>
      </c>
      <c r="E126" s="77" t="n">
        <f aca="false">IF(B126="","",IFERROR(INDEX(식자재단가!$L$4:$L$203,MATCH(B126,식자재단가!$C$4:$C$203,0)),"품목없음"))</f>
        <v>5</v>
      </c>
      <c r="F126" s="28" t="n">
        <f aca="false">IF(OR(B126="",C126=""),"",IF(ISNUMBER(E126),C126*E126,0))</f>
        <v>400</v>
      </c>
      <c r="G126" s="14"/>
    </row>
    <row r="127" customFormat="false" ht="15" hidden="false" customHeight="false" outlineLevel="0" collapsed="false">
      <c r="A127" s="14" t="s">
        <v>640</v>
      </c>
      <c r="B127" s="14" t="s">
        <v>486</v>
      </c>
      <c r="C127" s="76" t="n">
        <v>1</v>
      </c>
      <c r="D127" s="59" t="str">
        <f aca="false">IF(B127="","",IFERROR(INDEX(식자재단가!$I$4:$I$203,MATCH(B127,식자재단가!$C$4:$C$203,0)),"?"))</f>
        <v>개</v>
      </c>
      <c r="E127" s="77" t="n">
        <f aca="false">IF(B127="","",IFERROR(INDEX(식자재단가!$L$4:$L$203,MATCH(B127,식자재단가!$C$4:$C$203,0)),"품목없음"))</f>
        <v>266.666666666667</v>
      </c>
      <c r="F127" s="28" t="n">
        <f aca="false">IF(OR(B127="",C127=""),"",IF(ISNUMBER(E127),C127*E127,0))</f>
        <v>266.666666666667</v>
      </c>
      <c r="G127" s="14"/>
    </row>
    <row r="128" customFormat="false" ht="15" hidden="false" customHeight="false" outlineLevel="0" collapsed="false">
      <c r="A128" s="14" t="s">
        <v>640</v>
      </c>
      <c r="B128" s="14" t="s">
        <v>540</v>
      </c>
      <c r="C128" s="76" t="n">
        <v>25</v>
      </c>
      <c r="D128" s="59" t="str">
        <f aca="false">IF(B128="","",IFERROR(INDEX(식자재단가!$I$4:$I$203,MATCH(B128,식자재단가!$C$4:$C$203,0)),"?"))</f>
        <v>ml</v>
      </c>
      <c r="E128" s="77" t="n">
        <f aca="false">IF(B128="","",IFERROR(INDEX(식자재단가!$L$4:$L$203,MATCH(B128,식자재단가!$C$4:$C$203,0)),"품목없음"))</f>
        <v>3.05555555555556</v>
      </c>
      <c r="F128" s="28" t="n">
        <f aca="false">IF(OR(B128="",C128=""),"",IF(ISNUMBER(E128),C128*E128,0))</f>
        <v>76.3888888888889</v>
      </c>
      <c r="G128" s="14"/>
    </row>
    <row r="129" customFormat="false" ht="15" hidden="false" customHeight="false" outlineLevel="0" collapsed="false">
      <c r="A129" s="14" t="s">
        <v>640</v>
      </c>
      <c r="B129" s="14" t="s">
        <v>522</v>
      </c>
      <c r="C129" s="76" t="n">
        <v>10</v>
      </c>
      <c r="D129" s="59" t="str">
        <f aca="false">IF(B129="","",IFERROR(INDEX(식자재단가!$I$4:$I$203,MATCH(B129,식자재단가!$C$4:$C$203,0)),"?"))</f>
        <v>ml</v>
      </c>
      <c r="E129" s="77" t="n">
        <f aca="false">IF(B129="","",IFERROR(INDEX(식자재단가!$L$4:$L$203,MATCH(B129,식자재단가!$C$4:$C$203,0)),"품목없음"))</f>
        <v>3.33333333333333</v>
      </c>
      <c r="F129" s="28" t="n">
        <f aca="false">IF(OR(B129="",C129=""),"",IF(ISNUMBER(E129),C129*E129,0))</f>
        <v>33.3333333333333</v>
      </c>
      <c r="G129" s="14"/>
    </row>
    <row r="130" customFormat="false" ht="15" hidden="false" customHeight="false" outlineLevel="0" collapsed="false">
      <c r="A130" s="14" t="s">
        <v>641</v>
      </c>
      <c r="B130" s="14" t="s">
        <v>498</v>
      </c>
      <c r="C130" s="76" t="n">
        <v>200</v>
      </c>
      <c r="D130" s="59" t="str">
        <f aca="false">IF(B130="","",IFERROR(INDEX(식자재단가!$I$4:$I$203,MATCH(B130,식자재단가!$C$4:$C$203,0)),"?"))</f>
        <v>g</v>
      </c>
      <c r="E130" s="77" t="n">
        <f aca="false">IF(B130="","",IFERROR(INDEX(식자재단가!$L$4:$L$203,MATCH(B130,식자재단가!$C$4:$C$203,0)),"품목없음"))</f>
        <v>5</v>
      </c>
      <c r="F130" s="28" t="n">
        <f aca="false">IF(OR(B130="",C130=""),"",IF(ISNUMBER(E130),C130*E130,0))</f>
        <v>1000</v>
      </c>
      <c r="G130" s="14"/>
    </row>
    <row r="131" customFormat="false" ht="15" hidden="false" customHeight="false" outlineLevel="0" collapsed="false">
      <c r="A131" s="14" t="s">
        <v>641</v>
      </c>
      <c r="B131" s="14" t="s">
        <v>472</v>
      </c>
      <c r="C131" s="76" t="n">
        <v>30</v>
      </c>
      <c r="D131" s="59" t="str">
        <f aca="false">IF(B131="","",IFERROR(INDEX(식자재단가!$I$4:$I$203,MATCH(B131,식자재단가!$C$4:$C$203,0)),"?"))</f>
        <v>g</v>
      </c>
      <c r="E131" s="77" t="n">
        <f aca="false">IF(B131="","",IFERROR(INDEX(식자재단가!$L$4:$L$203,MATCH(B131,식자재단가!$C$4:$C$203,0)),"품목없음"))</f>
        <v>5.88235294117647</v>
      </c>
      <c r="F131" s="28" t="n">
        <f aca="false">IF(OR(B131="",C131=""),"",IF(ISNUMBER(E131),C131*E131,0))</f>
        <v>176.470588235294</v>
      </c>
      <c r="G131" s="14"/>
    </row>
    <row r="132" customFormat="false" ht="15" hidden="false" customHeight="false" outlineLevel="0" collapsed="false">
      <c r="A132" s="14" t="s">
        <v>641</v>
      </c>
      <c r="B132" s="14" t="s">
        <v>464</v>
      </c>
      <c r="C132" s="76" t="n">
        <v>10</v>
      </c>
      <c r="D132" s="59" t="str">
        <f aca="false">IF(B132="","",IFERROR(INDEX(식자재단가!$I$4:$I$203,MATCH(B132,식자재단가!$C$4:$C$203,0)),"?"))</f>
        <v>g</v>
      </c>
      <c r="E132" s="77" t="n">
        <f aca="false">IF(B132="","",IFERROR(INDEX(식자재단가!$L$4:$L$203,MATCH(B132,식자재단가!$C$4:$C$203,0)),"품목없음"))</f>
        <v>4.11764705882353</v>
      </c>
      <c r="F132" s="28" t="n">
        <f aca="false">IF(OR(B132="",C132=""),"",IF(ISNUMBER(E132),C132*E132,0))</f>
        <v>41.1764705882353</v>
      </c>
      <c r="G132" s="14"/>
    </row>
    <row r="133" customFormat="false" ht="15" hidden="false" customHeight="false" outlineLevel="0" collapsed="false">
      <c r="A133" s="14" t="s">
        <v>641</v>
      </c>
      <c r="B133" s="14" t="s">
        <v>522</v>
      </c>
      <c r="C133" s="76" t="n">
        <v>15</v>
      </c>
      <c r="D133" s="59" t="str">
        <f aca="false">IF(B133="","",IFERROR(INDEX(식자재단가!$I$4:$I$203,MATCH(B133,식자재단가!$C$4:$C$203,0)),"?"))</f>
        <v>ml</v>
      </c>
      <c r="E133" s="77" t="n">
        <f aca="false">IF(B133="","",IFERROR(INDEX(식자재단가!$L$4:$L$203,MATCH(B133,식자재단가!$C$4:$C$203,0)),"품목없음"))</f>
        <v>3.33333333333333</v>
      </c>
      <c r="F133" s="28" t="n">
        <f aca="false">IF(OR(B133="",C133=""),"",IF(ISNUMBER(E133),C133*E133,0))</f>
        <v>50</v>
      </c>
      <c r="G133" s="14"/>
    </row>
    <row r="134" customFormat="false" ht="15" hidden="false" customHeight="false" outlineLevel="0" collapsed="false">
      <c r="A134" s="14" t="s">
        <v>642</v>
      </c>
      <c r="B134" s="14" t="s">
        <v>494</v>
      </c>
      <c r="C134" s="76" t="n">
        <v>200</v>
      </c>
      <c r="D134" s="59" t="str">
        <f aca="false">IF(B134="","",IFERROR(INDEX(식자재단가!$I$4:$I$203,MATCH(B134,식자재단가!$C$4:$C$203,0)),"?"))</f>
        <v>g</v>
      </c>
      <c r="E134" s="77" t="n">
        <f aca="false">IF(B134="","",IFERROR(INDEX(식자재단가!$L$4:$L$203,MATCH(B134,식자재단가!$C$4:$C$203,0)),"품목없음"))</f>
        <v>3</v>
      </c>
      <c r="F134" s="28" t="n">
        <f aca="false">IF(OR(B134="",C134=""),"",IF(ISNUMBER(E134),C134*E134,0))</f>
        <v>600</v>
      </c>
      <c r="G134" s="14"/>
    </row>
    <row r="135" customFormat="false" ht="15" hidden="false" customHeight="false" outlineLevel="0" collapsed="false">
      <c r="A135" s="14" t="s">
        <v>642</v>
      </c>
      <c r="B135" s="14" t="s">
        <v>460</v>
      </c>
      <c r="C135" s="76" t="n">
        <v>30</v>
      </c>
      <c r="D135" s="59" t="str">
        <f aca="false">IF(B135="","",IFERROR(INDEX(식자재단가!$I$4:$I$203,MATCH(B135,식자재단가!$C$4:$C$203,0)),"?"))</f>
        <v>g</v>
      </c>
      <c r="E135" s="77" t="n">
        <f aca="false">IF(B135="","",IFERROR(INDEX(식자재단가!$L$4:$L$203,MATCH(B135,식자재단가!$C$4:$C$203,0)),"품목없음"))</f>
        <v>3.68421052631579</v>
      </c>
      <c r="F135" s="28" t="n">
        <f aca="false">IF(OR(B135="",C135=""),"",IF(ISNUMBER(E135),C135*E135,0))</f>
        <v>110.526315789474</v>
      </c>
      <c r="G135" s="14"/>
    </row>
    <row r="136" customFormat="false" ht="15" hidden="false" customHeight="false" outlineLevel="0" collapsed="false">
      <c r="A136" s="14" t="s">
        <v>642</v>
      </c>
      <c r="B136" s="14" t="s">
        <v>486</v>
      </c>
      <c r="C136" s="76" t="n">
        <v>0.5</v>
      </c>
      <c r="D136" s="59" t="str">
        <f aca="false">IF(B136="","",IFERROR(INDEX(식자재단가!$I$4:$I$203,MATCH(B136,식자재단가!$C$4:$C$203,0)),"?"))</f>
        <v>개</v>
      </c>
      <c r="E136" s="77" t="n">
        <f aca="false">IF(B136="","",IFERROR(INDEX(식자재단가!$L$4:$L$203,MATCH(B136,식자재단가!$C$4:$C$203,0)),"품목없음"))</f>
        <v>266.666666666667</v>
      </c>
      <c r="F136" s="28" t="n">
        <f aca="false">IF(OR(B136="",C136=""),"",IF(ISNUMBER(E136),C136*E136,0))</f>
        <v>133.333333333333</v>
      </c>
      <c r="G136" s="14"/>
    </row>
    <row r="137" customFormat="false" ht="15" hidden="false" customHeight="false" outlineLevel="0" collapsed="false">
      <c r="A137" s="14" t="s">
        <v>642</v>
      </c>
      <c r="B137" s="14" t="s">
        <v>527</v>
      </c>
      <c r="C137" s="76" t="n">
        <v>15</v>
      </c>
      <c r="D137" s="59" t="str">
        <f aca="false">IF(B137="","",IFERROR(INDEX(식자재단가!$I$4:$I$203,MATCH(B137,식자재단가!$C$4:$C$203,0)),"?"))</f>
        <v>ml</v>
      </c>
      <c r="E137" s="77" t="n">
        <f aca="false">IF(B137="","",IFERROR(INDEX(식자재단가!$L$4:$L$203,MATCH(B137,식자재단가!$C$4:$C$203,0)),"품목없음"))</f>
        <v>1.66666666666667</v>
      </c>
      <c r="F137" s="28" t="n">
        <f aca="false">IF(OR(B137="",C137=""),"",IF(ISNUMBER(E137),C137*E137,0))</f>
        <v>25</v>
      </c>
      <c r="G137" s="14"/>
    </row>
    <row r="138" customFormat="false" ht="15" hidden="false" customHeight="false" outlineLevel="0" collapsed="false">
      <c r="A138" s="14" t="s">
        <v>642</v>
      </c>
      <c r="B138" s="14" t="s">
        <v>529</v>
      </c>
      <c r="C138" s="76" t="n">
        <v>15</v>
      </c>
      <c r="D138" s="59" t="str">
        <f aca="false">IF(B138="","",IFERROR(INDEX(식자재단가!$I$4:$I$203,MATCH(B138,식자재단가!$C$4:$C$203,0)),"?"))</f>
        <v>g</v>
      </c>
      <c r="E138" s="77" t="n">
        <f aca="false">IF(B138="","",IFERROR(INDEX(식자재단가!$L$4:$L$203,MATCH(B138,식자재단가!$C$4:$C$203,0)),"품목없음"))</f>
        <v>1.66666666666667</v>
      </c>
      <c r="F138" s="28" t="n">
        <f aca="false">IF(OR(B138="",C138=""),"",IF(ISNUMBER(E138),C138*E138,0))</f>
        <v>25</v>
      </c>
      <c r="G138" s="14"/>
    </row>
    <row r="139" customFormat="false" ht="15" hidden="false" customHeight="false" outlineLevel="0" collapsed="false">
      <c r="A139" s="14" t="s">
        <v>643</v>
      </c>
      <c r="B139" s="14" t="s">
        <v>503</v>
      </c>
      <c r="C139" s="76" t="n">
        <v>300</v>
      </c>
      <c r="D139" s="59" t="str">
        <f aca="false">IF(B139="","",IFERROR(INDEX(식자재단가!$I$4:$I$203,MATCH(B139,식자재단가!$C$4:$C$203,0)),"?"))</f>
        <v>g</v>
      </c>
      <c r="E139" s="77" t="n">
        <f aca="false">IF(B139="","",IFERROR(INDEX(식자재단가!$L$4:$L$203,MATCH(B139,식자재단가!$C$4:$C$203,0)),"품목없음"))</f>
        <v>7</v>
      </c>
      <c r="F139" s="28" t="n">
        <f aca="false">IF(OR(B139="",C139=""),"",IF(ISNUMBER(E139),C139*E139,0))</f>
        <v>2100</v>
      </c>
      <c r="G139" s="14"/>
    </row>
    <row r="140" customFormat="false" ht="15" hidden="false" customHeight="false" outlineLevel="0" collapsed="false">
      <c r="A140" s="14" t="s">
        <v>643</v>
      </c>
      <c r="B140" s="14" t="s">
        <v>522</v>
      </c>
      <c r="C140" s="76" t="n">
        <v>10</v>
      </c>
      <c r="D140" s="59" t="str">
        <f aca="false">IF(B140="","",IFERROR(INDEX(식자재단가!$I$4:$I$203,MATCH(B140,식자재단가!$C$4:$C$203,0)),"?"))</f>
        <v>ml</v>
      </c>
      <c r="E140" s="77" t="n">
        <f aca="false">IF(B140="","",IFERROR(INDEX(식자재단가!$L$4:$L$203,MATCH(B140,식자재단가!$C$4:$C$203,0)),"품목없음"))</f>
        <v>3.33333333333333</v>
      </c>
      <c r="F140" s="28" t="n">
        <f aca="false">IF(OR(B140="",C140=""),"",IF(ISNUMBER(E140),C140*E140,0))</f>
        <v>33.3333333333333</v>
      </c>
      <c r="G140" s="14"/>
    </row>
    <row r="141" customFormat="false" ht="15" hidden="false" customHeight="false" outlineLevel="0" collapsed="false">
      <c r="A141" s="14" t="s">
        <v>643</v>
      </c>
      <c r="B141" s="14" t="s">
        <v>527</v>
      </c>
      <c r="C141" s="76" t="n">
        <v>10</v>
      </c>
      <c r="D141" s="59" t="str">
        <f aca="false">IF(B141="","",IFERROR(INDEX(식자재단가!$I$4:$I$203,MATCH(B141,식자재단가!$C$4:$C$203,0)),"?"))</f>
        <v>ml</v>
      </c>
      <c r="E141" s="77" t="n">
        <f aca="false">IF(B141="","",IFERROR(INDEX(식자재단가!$L$4:$L$203,MATCH(B141,식자재단가!$C$4:$C$203,0)),"품목없음"))</f>
        <v>1.66666666666667</v>
      </c>
      <c r="F141" s="28" t="n">
        <f aca="false">IF(OR(B141="",C141=""),"",IF(ISNUMBER(E141),C141*E141,0))</f>
        <v>16.6666666666667</v>
      </c>
      <c r="G141" s="14"/>
    </row>
    <row r="142" customFormat="false" ht="15" hidden="false" customHeight="false" outlineLevel="0" collapsed="false">
      <c r="A142" s="14" t="s">
        <v>644</v>
      </c>
      <c r="B142" s="14" t="s">
        <v>505</v>
      </c>
      <c r="C142" s="76" t="n">
        <v>8</v>
      </c>
      <c r="D142" s="59" t="str">
        <f aca="false">IF(B142="","",IFERROR(INDEX(식자재단가!$I$4:$I$203,MATCH(B142,식자재단가!$C$4:$C$203,0)),"?"))</f>
        <v>개</v>
      </c>
      <c r="E142" s="77" t="n">
        <f aca="false">IF(B142="","",IFERROR(INDEX(식자재단가!$L$4:$L$203,MATCH(B142,식자재단가!$C$4:$C$203,0)),"품목없음"))</f>
        <v>250</v>
      </c>
      <c r="F142" s="28" t="n">
        <f aca="false">IF(OR(B142="",C142=""),"",IF(ISNUMBER(E142),C142*E142,0))</f>
        <v>2000</v>
      </c>
      <c r="G142" s="14"/>
    </row>
    <row r="143" customFormat="false" ht="15" hidden="false" customHeight="false" outlineLevel="0" collapsed="false">
      <c r="A143" s="14" t="s">
        <v>644</v>
      </c>
      <c r="B143" s="14" t="s">
        <v>540</v>
      </c>
      <c r="C143" s="76" t="n">
        <v>100</v>
      </c>
      <c r="D143" s="59" t="str">
        <f aca="false">IF(B143="","",IFERROR(INDEX(식자재단가!$I$4:$I$203,MATCH(B143,식자재단가!$C$4:$C$203,0)),"?"))</f>
        <v>ml</v>
      </c>
      <c r="E143" s="77" t="n">
        <f aca="false">IF(B143="","",IFERROR(INDEX(식자재단가!$L$4:$L$203,MATCH(B143,식자재단가!$C$4:$C$203,0)),"품목없음"))</f>
        <v>3.05555555555556</v>
      </c>
      <c r="F143" s="28" t="n">
        <f aca="false">IF(OR(B143="",C143=""),"",IF(ISNUMBER(E143),C143*E143,0))</f>
        <v>305.555555555556</v>
      </c>
      <c r="G143" s="14"/>
    </row>
    <row r="144" customFormat="false" ht="15" hidden="false" customHeight="false" outlineLevel="0" collapsed="false">
      <c r="A144" s="14" t="s">
        <v>644</v>
      </c>
      <c r="B144" s="14" t="s">
        <v>529</v>
      </c>
      <c r="C144" s="76" t="n">
        <v>10</v>
      </c>
      <c r="D144" s="59" t="str">
        <f aca="false">IF(B144="","",IFERROR(INDEX(식자재단가!$I$4:$I$203,MATCH(B144,식자재단가!$C$4:$C$203,0)),"?"))</f>
        <v>g</v>
      </c>
      <c r="E144" s="77" t="n">
        <f aca="false">IF(B144="","",IFERROR(INDEX(식자재단가!$L$4:$L$203,MATCH(B144,식자재단가!$C$4:$C$203,0)),"품목없음"))</f>
        <v>1.66666666666667</v>
      </c>
      <c r="F144" s="28" t="n">
        <f aca="false">IF(OR(B144="",C144=""),"",IF(ISNUMBER(E144),C144*E144,0))</f>
        <v>16.6666666666667</v>
      </c>
      <c r="G144" s="14"/>
    </row>
    <row r="145" customFormat="false" ht="15" hidden="false" customHeight="false" outlineLevel="0" collapsed="false">
      <c r="A145" s="14" t="s">
        <v>548</v>
      </c>
      <c r="B145" s="14" t="s">
        <v>548</v>
      </c>
      <c r="C145" s="76" t="n">
        <v>1</v>
      </c>
      <c r="D145" s="59" t="str">
        <f aca="false">IF(B145="","",IFERROR(INDEX(식자재단가!$I$4:$I$203,MATCH(B145,식자재단가!$C$4:$C$203,0)),"?"))</f>
        <v>개</v>
      </c>
      <c r="E145" s="77" t="n">
        <f aca="false">IF(B145="","",IFERROR(INDEX(식자재단가!$L$4:$L$203,MATCH(B145,식자재단가!$C$4:$C$203,0)),"품목없음"))</f>
        <v>12000</v>
      </c>
      <c r="F145" s="28" t="n">
        <f aca="false">IF(OR(B145="",C145=""),"",IF(ISNUMBER(E145),C145*E145,0))</f>
        <v>12000</v>
      </c>
      <c r="G145" s="14"/>
    </row>
    <row r="146" customFormat="false" ht="15" hidden="false" customHeight="false" outlineLevel="0" collapsed="false">
      <c r="A146" s="14" t="s">
        <v>552</v>
      </c>
      <c r="B146" s="14" t="s">
        <v>552</v>
      </c>
      <c r="C146" s="76" t="n">
        <v>1</v>
      </c>
      <c r="D146" s="59" t="str">
        <f aca="false">IF(B146="","",IFERROR(INDEX(식자재단가!$I$4:$I$203,MATCH(B146,식자재단가!$C$4:$C$203,0)),"?"))</f>
        <v>개</v>
      </c>
      <c r="E146" s="77" t="n">
        <f aca="false">IF(B146="","",IFERROR(INDEX(식자재단가!$L$4:$L$203,MATCH(B146,식자재단가!$C$4:$C$203,0)),"품목없음"))</f>
        <v>6500</v>
      </c>
      <c r="F146" s="28" t="n">
        <f aca="false">IF(OR(B146="",C146=""),"",IF(ISNUMBER(E146),C146*E146,0))</f>
        <v>6500</v>
      </c>
      <c r="G146" s="14"/>
    </row>
    <row r="147" customFormat="false" ht="15" hidden="false" customHeight="false" outlineLevel="0" collapsed="false">
      <c r="A147" s="14" t="s">
        <v>554</v>
      </c>
      <c r="B147" s="14" t="s">
        <v>554</v>
      </c>
      <c r="C147" s="76" t="n">
        <v>1</v>
      </c>
      <c r="D147" s="59" t="str">
        <f aca="false">IF(B147="","",IFERROR(INDEX(식자재단가!$I$4:$I$203,MATCH(B147,식자재단가!$C$4:$C$203,0)),"?"))</f>
        <v>개</v>
      </c>
      <c r="E147" s="77" t="n">
        <f aca="false">IF(B147="","",IFERROR(INDEX(식자재단가!$L$4:$L$203,MATCH(B147,식자재단가!$C$4:$C$203,0)),"품목없음"))</f>
        <v>3800</v>
      </c>
      <c r="F147" s="28" t="n">
        <f aca="false">IF(OR(B147="",C147=""),"",IF(ISNUMBER(E147),C147*E147,0))</f>
        <v>3800</v>
      </c>
      <c r="G147" s="14"/>
    </row>
    <row r="148" customFormat="false" ht="15" hidden="false" customHeight="false" outlineLevel="0" collapsed="false">
      <c r="A148" s="14" t="s">
        <v>556</v>
      </c>
      <c r="B148" s="14" t="s">
        <v>556</v>
      </c>
      <c r="C148" s="76" t="n">
        <v>1</v>
      </c>
      <c r="D148" s="59" t="str">
        <f aca="false">IF(B148="","",IFERROR(INDEX(식자재단가!$I$4:$I$203,MATCH(B148,식자재단가!$C$4:$C$203,0)),"?"))</f>
        <v>개</v>
      </c>
      <c r="E148" s="77" t="n">
        <f aca="false">IF(B148="","",IFERROR(INDEX(식자재단가!$L$4:$L$203,MATCH(B148,식자재단가!$C$4:$C$203,0)),"품목없음"))</f>
        <v>8000</v>
      </c>
      <c r="F148" s="28" t="n">
        <f aca="false">IF(OR(B148="",C148=""),"",IF(ISNUMBER(E148),C148*E148,0))</f>
        <v>8000</v>
      </c>
      <c r="G148" s="14"/>
    </row>
    <row r="149" customFormat="false" ht="15" hidden="false" customHeight="false" outlineLevel="0" collapsed="false">
      <c r="A149" s="14" t="s">
        <v>559</v>
      </c>
      <c r="B149" s="14" t="s">
        <v>559</v>
      </c>
      <c r="C149" s="76" t="n">
        <v>1</v>
      </c>
      <c r="D149" s="59" t="str">
        <f aca="false">IF(B149="","",IFERROR(INDEX(식자재단가!$I$4:$I$203,MATCH(B149,식자재단가!$C$4:$C$203,0)),"?"))</f>
        <v>개</v>
      </c>
      <c r="E149" s="77" t="n">
        <f aca="false">IF(B149="","",IFERROR(INDEX(식자재단가!$L$4:$L$203,MATCH(B149,식자재단가!$C$4:$C$203,0)),"품목없음"))</f>
        <v>4800</v>
      </c>
      <c r="F149" s="28" t="n">
        <f aca="false">IF(OR(B149="",C149=""),"",IF(ISNUMBER(E149),C149*E149,0))</f>
        <v>4800</v>
      </c>
      <c r="G149" s="14"/>
    </row>
    <row r="150" customFormat="false" ht="15" hidden="false" customHeight="false" outlineLevel="0" collapsed="false">
      <c r="A150" s="14" t="s">
        <v>561</v>
      </c>
      <c r="B150" s="14" t="s">
        <v>561</v>
      </c>
      <c r="C150" s="76" t="n">
        <v>1</v>
      </c>
      <c r="D150" s="59" t="str">
        <f aca="false">IF(B150="","",IFERROR(INDEX(식자재단가!$I$4:$I$203,MATCH(B150,식자재단가!$C$4:$C$203,0)),"?"))</f>
        <v>개</v>
      </c>
      <c r="E150" s="77" t="n">
        <f aca="false">IF(B150="","",IFERROR(INDEX(식자재단가!$L$4:$L$203,MATCH(B150,식자재단가!$C$4:$C$203,0)),"품목없음"))</f>
        <v>17000</v>
      </c>
      <c r="F150" s="28" t="n">
        <f aca="false">IF(OR(B150="",C150=""),"",IF(ISNUMBER(E150),C150*E150,0))</f>
        <v>17000</v>
      </c>
      <c r="G150" s="14"/>
    </row>
    <row r="151" customFormat="false" ht="15" hidden="false" customHeight="false" outlineLevel="0" collapsed="false">
      <c r="A151" s="14" t="s">
        <v>564</v>
      </c>
      <c r="B151" s="14" t="s">
        <v>564</v>
      </c>
      <c r="C151" s="76" t="n">
        <v>1</v>
      </c>
      <c r="D151" s="59" t="str">
        <f aca="false">IF(B151="","",IFERROR(INDEX(식자재단가!$I$4:$I$203,MATCH(B151,식자재단가!$C$4:$C$203,0)),"?"))</f>
        <v>개</v>
      </c>
      <c r="E151" s="77" t="n">
        <f aca="false">IF(B151="","",IFERROR(INDEX(식자재단가!$L$4:$L$203,MATCH(B151,식자재단가!$C$4:$C$203,0)),"품목없음"))</f>
        <v>9500</v>
      </c>
      <c r="F151" s="28" t="n">
        <f aca="false">IF(OR(B151="",C151=""),"",IF(ISNUMBER(E151),C151*E151,0))</f>
        <v>9500</v>
      </c>
      <c r="G151" s="14"/>
    </row>
    <row r="152" customFormat="false" ht="15" hidden="false" customHeight="false" outlineLevel="0" collapsed="false">
      <c r="A152" s="14" t="s">
        <v>645</v>
      </c>
      <c r="B152" s="14" t="s">
        <v>566</v>
      </c>
      <c r="C152" s="76" t="n">
        <v>1</v>
      </c>
      <c r="D152" s="59" t="str">
        <f aca="false">IF(B152="","",IFERROR(INDEX(식자재단가!$I$4:$I$203,MATCH(B152,식자재단가!$C$4:$C$203,0)),"?"))</f>
        <v>개</v>
      </c>
      <c r="E152" s="77" t="n">
        <f aca="false">IF(B152="","",IFERROR(INDEX(식자재단가!$L$4:$L$203,MATCH(B152,식자재단가!$C$4:$C$203,0)),"품목없음"))</f>
        <v>2600</v>
      </c>
      <c r="F152" s="28" t="n">
        <f aca="false">IF(OR(B152="",C152=""),"",IF(ISNUMBER(E152),C152*E152,0))</f>
        <v>2600</v>
      </c>
      <c r="G152" s="14"/>
    </row>
    <row r="153" customFormat="false" ht="15" hidden="false" customHeight="false" outlineLevel="0" collapsed="false">
      <c r="A153" s="14" t="s">
        <v>646</v>
      </c>
      <c r="B153" s="14" t="s">
        <v>569</v>
      </c>
      <c r="C153" s="76" t="n">
        <v>1</v>
      </c>
      <c r="D153" s="59" t="str">
        <f aca="false">IF(B153="","",IFERROR(INDEX(식자재단가!$I$4:$I$203,MATCH(B153,식자재단가!$C$4:$C$203,0)),"?"))</f>
        <v>개</v>
      </c>
      <c r="E153" s="77" t="n">
        <f aca="false">IF(B153="","",IFERROR(INDEX(식자재단가!$L$4:$L$203,MATCH(B153,식자재단가!$C$4:$C$203,0)),"품목없음"))</f>
        <v>2000</v>
      </c>
      <c r="F153" s="28" t="n">
        <f aca="false">IF(OR(B153="",C153=""),"",IF(ISNUMBER(E153),C153*E153,0))</f>
        <v>2000</v>
      </c>
      <c r="G153" s="14"/>
    </row>
    <row r="154" customFormat="false" ht="15" hidden="false" customHeight="false" outlineLevel="0" collapsed="false">
      <c r="A154" s="14" t="s">
        <v>647</v>
      </c>
      <c r="B154" s="14" t="s">
        <v>572</v>
      </c>
      <c r="C154" s="76" t="n">
        <v>45</v>
      </c>
      <c r="D154" s="59" t="str">
        <f aca="false">IF(B154="","",IFERROR(INDEX(식자재단가!$I$4:$I$203,MATCH(B154,식자재단가!$C$4:$C$203,0)),"?"))</f>
        <v>ml</v>
      </c>
      <c r="E154" s="77" t="n">
        <f aca="false">IF(B154="","",IFERROR(INDEX(식자재단가!$L$4:$L$203,MATCH(B154,식자재단가!$C$4:$C$203,0)),"품목없음"))</f>
        <v>37.1428571428571</v>
      </c>
      <c r="F154" s="28" t="n">
        <f aca="false">IF(OR(B154="",C154=""),"",IF(ISNUMBER(E154),C154*E154,0))</f>
        <v>1671.42857142857</v>
      </c>
      <c r="G154" s="14"/>
    </row>
    <row r="155" customFormat="false" ht="15" hidden="false" customHeight="false" outlineLevel="0" collapsed="false">
      <c r="A155" s="14" t="s">
        <v>647</v>
      </c>
      <c r="B155" s="14" t="s">
        <v>586</v>
      </c>
      <c r="C155" s="76" t="n">
        <v>150</v>
      </c>
      <c r="D155" s="59" t="str">
        <f aca="false">IF(B155="","",IFERROR(INDEX(식자재단가!$I$4:$I$203,MATCH(B155,식자재단가!$C$4:$C$203,0)),"?"))</f>
        <v>ml</v>
      </c>
      <c r="E155" s="77" t="n">
        <f aca="false">IF(B155="","",IFERROR(INDEX(식자재단가!$L$4:$L$203,MATCH(B155,식자재단가!$C$4:$C$203,0)),"품목없음"))</f>
        <v>1</v>
      </c>
      <c r="F155" s="28" t="n">
        <f aca="false">IF(OR(B155="",C155=""),"",IF(ISNUMBER(E155),C155*E155,0))</f>
        <v>150</v>
      </c>
      <c r="G155" s="14"/>
    </row>
    <row r="156" customFormat="false" ht="15" hidden="false" customHeight="false" outlineLevel="0" collapsed="false">
      <c r="A156" s="14" t="s">
        <v>647</v>
      </c>
      <c r="B156" s="14" t="s">
        <v>593</v>
      </c>
      <c r="C156" s="76" t="n">
        <v>150</v>
      </c>
      <c r="D156" s="59" t="str">
        <f aca="false">IF(B156="","",IFERROR(INDEX(식자재단가!$I$4:$I$203,MATCH(B156,식자재단가!$C$4:$C$203,0)),"?"))</f>
        <v>g</v>
      </c>
      <c r="E156" s="77" t="n">
        <f aca="false">IF(B156="","",IFERROR(INDEX(식자재단가!$L$4:$L$203,MATCH(B156,식자재단가!$C$4:$C$203,0)),"품목없음"))</f>
        <v>1</v>
      </c>
      <c r="F156" s="28" t="n">
        <f aca="false">IF(OR(B156="",C156=""),"",IF(ISNUMBER(E156),C156*E156,0))</f>
        <v>150</v>
      </c>
      <c r="G156" s="14"/>
    </row>
    <row r="157" customFormat="false" ht="15" hidden="false" customHeight="false" outlineLevel="0" collapsed="false">
      <c r="A157" s="14" t="s">
        <v>647</v>
      </c>
      <c r="B157" s="14" t="s">
        <v>478</v>
      </c>
      <c r="C157" s="76" t="n">
        <v>0.125</v>
      </c>
      <c r="D157" s="59" t="str">
        <f aca="false">IF(B157="","",IFERROR(INDEX(식자재단가!$I$4:$I$203,MATCH(B157,식자재단가!$C$4:$C$203,0)),"?"))</f>
        <v>개</v>
      </c>
      <c r="E157" s="77" t="n">
        <f aca="false">IF(B157="","",IFERROR(INDEX(식자재단가!$L$4:$L$203,MATCH(B157,식자재단가!$C$4:$C$203,0)),"품목없음"))</f>
        <v>600</v>
      </c>
      <c r="F157" s="28" t="n">
        <f aca="false">IF(OR(B157="",C157=""),"",IF(ISNUMBER(E157),C157*E157,0))</f>
        <v>75</v>
      </c>
      <c r="G157" s="14"/>
    </row>
    <row r="158" customFormat="false" ht="15" hidden="false" customHeight="false" outlineLevel="0" collapsed="false">
      <c r="A158" s="14" t="s">
        <v>648</v>
      </c>
      <c r="B158" s="14" t="s">
        <v>575</v>
      </c>
      <c r="C158" s="76" t="n">
        <v>45</v>
      </c>
      <c r="D158" s="59" t="str">
        <f aca="false">IF(B158="","",IFERROR(INDEX(식자재단가!$I$4:$I$203,MATCH(B158,식자재단가!$C$4:$C$203,0)),"?"))</f>
        <v>ml</v>
      </c>
      <c r="E158" s="77" t="n">
        <f aca="false">IF(B158="","",IFERROR(INDEX(식자재단가!$L$4:$L$203,MATCH(B158,식자재단가!$C$4:$C$203,0)),"품목없음"))</f>
        <v>40</v>
      </c>
      <c r="F158" s="28" t="n">
        <f aca="false">IF(OR(B158="",C158=""),"",IF(ISNUMBER(E158),C158*E158,0))</f>
        <v>1800</v>
      </c>
      <c r="G158" s="14"/>
    </row>
    <row r="159" customFormat="false" ht="15" hidden="false" customHeight="false" outlineLevel="0" collapsed="false">
      <c r="A159" s="14" t="s">
        <v>648</v>
      </c>
      <c r="B159" s="14" t="s">
        <v>586</v>
      </c>
      <c r="C159" s="76" t="n">
        <v>150</v>
      </c>
      <c r="D159" s="59" t="str">
        <f aca="false">IF(B159="","",IFERROR(INDEX(식자재단가!$I$4:$I$203,MATCH(B159,식자재단가!$C$4:$C$203,0)),"?"))</f>
        <v>ml</v>
      </c>
      <c r="E159" s="77" t="n">
        <f aca="false">IF(B159="","",IFERROR(INDEX(식자재단가!$L$4:$L$203,MATCH(B159,식자재단가!$C$4:$C$203,0)),"품목없음"))</f>
        <v>1</v>
      </c>
      <c r="F159" s="28" t="n">
        <f aca="false">IF(OR(B159="",C159=""),"",IF(ISNUMBER(E159),C159*E159,0))</f>
        <v>150</v>
      </c>
      <c r="G159" s="14"/>
    </row>
    <row r="160" customFormat="false" ht="15" hidden="false" customHeight="false" outlineLevel="0" collapsed="false">
      <c r="A160" s="14" t="s">
        <v>648</v>
      </c>
      <c r="B160" s="14" t="s">
        <v>593</v>
      </c>
      <c r="C160" s="76" t="n">
        <v>150</v>
      </c>
      <c r="D160" s="59" t="str">
        <f aca="false">IF(B160="","",IFERROR(INDEX(식자재단가!$I$4:$I$203,MATCH(B160,식자재단가!$C$4:$C$203,0)),"?"))</f>
        <v>g</v>
      </c>
      <c r="E160" s="77" t="n">
        <f aca="false">IF(B160="","",IFERROR(INDEX(식자재단가!$L$4:$L$203,MATCH(B160,식자재단가!$C$4:$C$203,0)),"품목없음"))</f>
        <v>1</v>
      </c>
      <c r="F160" s="28" t="n">
        <f aca="false">IF(OR(B160="",C160=""),"",IF(ISNUMBER(E160),C160*E160,0))</f>
        <v>150</v>
      </c>
      <c r="G160" s="14"/>
    </row>
    <row r="161" customFormat="false" ht="15" hidden="false" customHeight="false" outlineLevel="0" collapsed="false">
      <c r="A161" s="14" t="s">
        <v>648</v>
      </c>
      <c r="B161" s="14" t="s">
        <v>478</v>
      </c>
      <c r="C161" s="76" t="n">
        <v>0.125</v>
      </c>
      <c r="D161" s="59" t="str">
        <f aca="false">IF(B161="","",IFERROR(INDEX(식자재단가!$I$4:$I$203,MATCH(B161,식자재단가!$C$4:$C$203,0)),"?"))</f>
        <v>개</v>
      </c>
      <c r="E161" s="77" t="n">
        <f aca="false">IF(B161="","",IFERROR(INDEX(식자재단가!$L$4:$L$203,MATCH(B161,식자재단가!$C$4:$C$203,0)),"품목없음"))</f>
        <v>600</v>
      </c>
      <c r="F161" s="28" t="n">
        <f aca="false">IF(OR(B161="",C161=""),"",IF(ISNUMBER(E161),C161*E161,0))</f>
        <v>75</v>
      </c>
      <c r="G161" s="14"/>
    </row>
    <row r="162" customFormat="false" ht="15" hidden="false" customHeight="false" outlineLevel="0" collapsed="false">
      <c r="A162" s="14" t="s">
        <v>649</v>
      </c>
      <c r="B162" s="14" t="s">
        <v>577</v>
      </c>
      <c r="C162" s="76" t="n">
        <v>45</v>
      </c>
      <c r="D162" s="59" t="str">
        <f aca="false">IF(B162="","",IFERROR(INDEX(식자재단가!$I$4:$I$203,MATCH(B162,식자재단가!$C$4:$C$203,0)),"?"))</f>
        <v>ml</v>
      </c>
      <c r="E162" s="77" t="n">
        <f aca="false">IF(B162="","",IFERROR(INDEX(식자재단가!$L$4:$L$203,MATCH(B162,식자재단가!$C$4:$C$203,0)),"품목없음"))</f>
        <v>31.4285714285714</v>
      </c>
      <c r="F162" s="28" t="n">
        <f aca="false">IF(OR(B162="",C162=""),"",IF(ISNUMBER(E162),C162*E162,0))</f>
        <v>1414.28571428571</v>
      </c>
      <c r="G162" s="14"/>
    </row>
    <row r="163" customFormat="false" ht="15" hidden="false" customHeight="false" outlineLevel="0" collapsed="false">
      <c r="A163" s="14" t="s">
        <v>649</v>
      </c>
      <c r="B163" s="14" t="s">
        <v>586</v>
      </c>
      <c r="C163" s="76" t="n">
        <v>150</v>
      </c>
      <c r="D163" s="59" t="str">
        <f aca="false">IF(B163="","",IFERROR(INDEX(식자재단가!$I$4:$I$203,MATCH(B163,식자재단가!$C$4:$C$203,0)),"?"))</f>
        <v>ml</v>
      </c>
      <c r="E163" s="77" t="n">
        <f aca="false">IF(B163="","",IFERROR(INDEX(식자재단가!$L$4:$L$203,MATCH(B163,식자재단가!$C$4:$C$203,0)),"품목없음"))</f>
        <v>1</v>
      </c>
      <c r="F163" s="28" t="n">
        <f aca="false">IF(OR(B163="",C163=""),"",IF(ISNUMBER(E163),C163*E163,0))</f>
        <v>150</v>
      </c>
      <c r="G163" s="14"/>
    </row>
    <row r="164" customFormat="false" ht="15" hidden="false" customHeight="false" outlineLevel="0" collapsed="false">
      <c r="A164" s="14" t="s">
        <v>649</v>
      </c>
      <c r="B164" s="14" t="s">
        <v>593</v>
      </c>
      <c r="C164" s="76" t="n">
        <v>150</v>
      </c>
      <c r="D164" s="59" t="str">
        <f aca="false">IF(B164="","",IFERROR(INDEX(식자재단가!$I$4:$I$203,MATCH(B164,식자재단가!$C$4:$C$203,0)),"?"))</f>
        <v>g</v>
      </c>
      <c r="E164" s="77" t="n">
        <f aca="false">IF(B164="","",IFERROR(INDEX(식자재단가!$L$4:$L$203,MATCH(B164,식자재단가!$C$4:$C$203,0)),"품목없음"))</f>
        <v>1</v>
      </c>
      <c r="F164" s="28" t="n">
        <f aca="false">IF(OR(B164="",C164=""),"",IF(ISNUMBER(E164),C164*E164,0))</f>
        <v>150</v>
      </c>
      <c r="G164" s="14"/>
    </row>
    <row r="165" customFormat="false" ht="15" hidden="false" customHeight="false" outlineLevel="0" collapsed="false">
      <c r="A165" s="14" t="s">
        <v>649</v>
      </c>
      <c r="B165" s="14" t="s">
        <v>478</v>
      </c>
      <c r="C165" s="76" t="n">
        <v>0.125</v>
      </c>
      <c r="D165" s="59" t="str">
        <f aca="false">IF(B165="","",IFERROR(INDEX(식자재단가!$I$4:$I$203,MATCH(B165,식자재단가!$C$4:$C$203,0)),"?"))</f>
        <v>개</v>
      </c>
      <c r="E165" s="77" t="n">
        <f aca="false">IF(B165="","",IFERROR(INDEX(식자재단가!$L$4:$L$203,MATCH(B165,식자재단가!$C$4:$C$203,0)),"품목없음"))</f>
        <v>600</v>
      </c>
      <c r="F165" s="28" t="n">
        <f aca="false">IF(OR(B165="",C165=""),"",IF(ISNUMBER(E165),C165*E165,0))</f>
        <v>75</v>
      </c>
      <c r="G165" s="14"/>
    </row>
    <row r="166" customFormat="false" ht="15" hidden="false" customHeight="false" outlineLevel="0" collapsed="false">
      <c r="A166" s="14" t="s">
        <v>650</v>
      </c>
      <c r="B166" s="14" t="s">
        <v>579</v>
      </c>
      <c r="C166" s="76" t="n">
        <v>45</v>
      </c>
      <c r="D166" s="59" t="str">
        <f aca="false">IF(B166="","",IFERROR(INDEX(식자재단가!$I$4:$I$203,MATCH(B166,식자재단가!$C$4:$C$203,0)),"?"))</f>
        <v>ml</v>
      </c>
      <c r="E166" s="77" t="n">
        <f aca="false">IF(B166="","",IFERROR(INDEX(식자재단가!$L$4:$L$203,MATCH(B166,식자재단가!$C$4:$C$203,0)),"품목없음"))</f>
        <v>22.8571428571429</v>
      </c>
      <c r="F166" s="28" t="n">
        <f aca="false">IF(OR(B166="",C166=""),"",IF(ISNUMBER(E166),C166*E166,0))</f>
        <v>1028.57142857143</v>
      </c>
      <c r="G166" s="14"/>
    </row>
    <row r="167" customFormat="false" ht="15" hidden="false" customHeight="false" outlineLevel="0" collapsed="false">
      <c r="A167" s="14" t="s">
        <v>650</v>
      </c>
      <c r="B167" s="14" t="s">
        <v>586</v>
      </c>
      <c r="C167" s="76" t="n">
        <v>150</v>
      </c>
      <c r="D167" s="59" t="str">
        <f aca="false">IF(B167="","",IFERROR(INDEX(식자재단가!$I$4:$I$203,MATCH(B167,식자재단가!$C$4:$C$203,0)),"?"))</f>
        <v>ml</v>
      </c>
      <c r="E167" s="77" t="n">
        <f aca="false">IF(B167="","",IFERROR(INDEX(식자재단가!$L$4:$L$203,MATCH(B167,식자재단가!$C$4:$C$203,0)),"품목없음"))</f>
        <v>1</v>
      </c>
      <c r="F167" s="28" t="n">
        <f aca="false">IF(OR(B167="",C167=""),"",IF(ISNUMBER(E167),C167*E167,0))</f>
        <v>150</v>
      </c>
      <c r="G167" s="14"/>
    </row>
    <row r="168" customFormat="false" ht="15" hidden="false" customHeight="false" outlineLevel="0" collapsed="false">
      <c r="A168" s="14" t="s">
        <v>650</v>
      </c>
      <c r="B168" s="14" t="s">
        <v>593</v>
      </c>
      <c r="C168" s="76" t="n">
        <v>150</v>
      </c>
      <c r="D168" s="59" t="str">
        <f aca="false">IF(B168="","",IFERROR(INDEX(식자재단가!$I$4:$I$203,MATCH(B168,식자재단가!$C$4:$C$203,0)),"?"))</f>
        <v>g</v>
      </c>
      <c r="E168" s="77" t="n">
        <f aca="false">IF(B168="","",IFERROR(INDEX(식자재단가!$L$4:$L$203,MATCH(B168,식자재단가!$C$4:$C$203,0)),"품목없음"))</f>
        <v>1</v>
      </c>
      <c r="F168" s="28" t="n">
        <f aca="false">IF(OR(B168="",C168=""),"",IF(ISNUMBER(E168),C168*E168,0))</f>
        <v>150</v>
      </c>
      <c r="G168" s="14"/>
    </row>
    <row r="169" customFormat="false" ht="15" hidden="false" customHeight="false" outlineLevel="0" collapsed="false">
      <c r="A169" s="14" t="s">
        <v>650</v>
      </c>
      <c r="B169" s="14" t="s">
        <v>478</v>
      </c>
      <c r="C169" s="76" t="n">
        <v>0.125</v>
      </c>
      <c r="D169" s="59" t="str">
        <f aca="false">IF(B169="","",IFERROR(INDEX(식자재단가!$I$4:$I$203,MATCH(B169,식자재단가!$C$4:$C$203,0)),"?"))</f>
        <v>개</v>
      </c>
      <c r="E169" s="77" t="n">
        <f aca="false">IF(B169="","",IFERROR(INDEX(식자재단가!$L$4:$L$203,MATCH(B169,식자재단가!$C$4:$C$203,0)),"품목없음"))</f>
        <v>600</v>
      </c>
      <c r="F169" s="28" t="n">
        <f aca="false">IF(OR(B169="",C169=""),"",IF(ISNUMBER(E169),C169*E169,0))</f>
        <v>75</v>
      </c>
      <c r="G169" s="14"/>
    </row>
    <row r="170" customFormat="false" ht="15" hidden="false" customHeight="false" outlineLevel="0" collapsed="false">
      <c r="A170" s="14" t="s">
        <v>651</v>
      </c>
      <c r="B170" s="14" t="s">
        <v>581</v>
      </c>
      <c r="C170" s="76" t="n">
        <v>45</v>
      </c>
      <c r="D170" s="59" t="str">
        <f aca="false">IF(B170="","",IFERROR(INDEX(식자재단가!$I$4:$I$203,MATCH(B170,식자재단가!$C$4:$C$203,0)),"?"))</f>
        <v>ml</v>
      </c>
      <c r="E170" s="77" t="n">
        <f aca="false">IF(B170="","",IFERROR(INDEX(식자재단가!$L$4:$L$203,MATCH(B170,식자재단가!$C$4:$C$203,0)),"품목없음"))</f>
        <v>40</v>
      </c>
      <c r="F170" s="28" t="n">
        <f aca="false">IF(OR(B170="",C170=""),"",IF(ISNUMBER(E170),C170*E170,0))</f>
        <v>1800</v>
      </c>
      <c r="G170" s="14"/>
    </row>
    <row r="171" customFormat="false" ht="15" hidden="false" customHeight="false" outlineLevel="0" collapsed="false">
      <c r="A171" s="14" t="s">
        <v>651</v>
      </c>
      <c r="B171" s="14" t="s">
        <v>586</v>
      </c>
      <c r="C171" s="76" t="n">
        <v>150</v>
      </c>
      <c r="D171" s="59" t="str">
        <f aca="false">IF(B171="","",IFERROR(INDEX(식자재단가!$I$4:$I$203,MATCH(B171,식자재단가!$C$4:$C$203,0)),"?"))</f>
        <v>ml</v>
      </c>
      <c r="E171" s="77" t="n">
        <f aca="false">IF(B171="","",IFERROR(INDEX(식자재단가!$L$4:$L$203,MATCH(B171,식자재단가!$C$4:$C$203,0)),"품목없음"))</f>
        <v>1</v>
      </c>
      <c r="F171" s="28" t="n">
        <f aca="false">IF(OR(B171="",C171=""),"",IF(ISNUMBER(E171),C171*E171,0))</f>
        <v>150</v>
      </c>
      <c r="G171" s="14"/>
    </row>
    <row r="172" customFormat="false" ht="15" hidden="false" customHeight="false" outlineLevel="0" collapsed="false">
      <c r="A172" s="14" t="s">
        <v>651</v>
      </c>
      <c r="B172" s="14" t="s">
        <v>593</v>
      </c>
      <c r="C172" s="76" t="n">
        <v>150</v>
      </c>
      <c r="D172" s="59" t="str">
        <f aca="false">IF(B172="","",IFERROR(INDEX(식자재단가!$I$4:$I$203,MATCH(B172,식자재단가!$C$4:$C$203,0)),"?"))</f>
        <v>g</v>
      </c>
      <c r="E172" s="77" t="n">
        <f aca="false">IF(B172="","",IFERROR(INDEX(식자재단가!$L$4:$L$203,MATCH(B172,식자재단가!$C$4:$C$203,0)),"품목없음"))</f>
        <v>1</v>
      </c>
      <c r="F172" s="28" t="n">
        <f aca="false">IF(OR(B172="",C172=""),"",IF(ISNUMBER(E172),C172*E172,0))</f>
        <v>150</v>
      </c>
      <c r="G172" s="14"/>
    </row>
    <row r="173" customFormat="false" ht="15" hidden="false" customHeight="false" outlineLevel="0" collapsed="false">
      <c r="A173" s="14" t="s">
        <v>651</v>
      </c>
      <c r="B173" s="14" t="s">
        <v>478</v>
      </c>
      <c r="C173" s="76" t="n">
        <v>0.125</v>
      </c>
      <c r="D173" s="59" t="str">
        <f aca="false">IF(B173="","",IFERROR(INDEX(식자재단가!$I$4:$I$203,MATCH(B173,식자재단가!$C$4:$C$203,0)),"?"))</f>
        <v>개</v>
      </c>
      <c r="E173" s="77" t="n">
        <f aca="false">IF(B173="","",IFERROR(INDEX(식자재단가!$L$4:$L$203,MATCH(B173,식자재단가!$C$4:$C$203,0)),"품목없음"))</f>
        <v>600</v>
      </c>
      <c r="F173" s="28" t="n">
        <f aca="false">IF(OR(B173="",C173=""),"",IF(ISNUMBER(E173),C173*E173,0))</f>
        <v>75</v>
      </c>
      <c r="G173" s="14"/>
    </row>
    <row r="174" customFormat="false" ht="15" hidden="false" customHeight="false" outlineLevel="0" collapsed="false">
      <c r="A174" s="14" t="s">
        <v>652</v>
      </c>
      <c r="B174" s="14" t="s">
        <v>583</v>
      </c>
      <c r="C174" s="76" t="n">
        <v>30</v>
      </c>
      <c r="D174" s="59" t="str">
        <f aca="false">IF(B174="","",IFERROR(INDEX(식자재단가!$I$4:$I$203,MATCH(B174,식자재단가!$C$4:$C$203,0)),"?"))</f>
        <v>ml</v>
      </c>
      <c r="E174" s="77" t="n">
        <f aca="false">IF(B174="","",IFERROR(INDEX(식자재단가!$L$4:$L$203,MATCH(B174,식자재단가!$C$4:$C$203,0)),"품목없음"))</f>
        <v>24</v>
      </c>
      <c r="F174" s="28" t="n">
        <f aca="false">IF(OR(B174="",C174=""),"",IF(ISNUMBER(E174),C174*E174,0))</f>
        <v>720</v>
      </c>
      <c r="G174" s="14"/>
    </row>
    <row r="175" customFormat="false" ht="15" hidden="false" customHeight="false" outlineLevel="0" collapsed="false">
      <c r="A175" s="14" t="s">
        <v>652</v>
      </c>
      <c r="B175" s="14" t="s">
        <v>586</v>
      </c>
      <c r="C175" s="76" t="n">
        <v>150</v>
      </c>
      <c r="D175" s="59" t="str">
        <f aca="false">IF(B175="","",IFERROR(INDEX(식자재단가!$I$4:$I$203,MATCH(B175,식자재단가!$C$4:$C$203,0)),"?"))</f>
        <v>ml</v>
      </c>
      <c r="E175" s="77" t="n">
        <f aca="false">IF(B175="","",IFERROR(INDEX(식자재단가!$L$4:$L$203,MATCH(B175,식자재단가!$C$4:$C$203,0)),"품목없음"))</f>
        <v>1</v>
      </c>
      <c r="F175" s="28" t="n">
        <f aca="false">IF(OR(B175="",C175=""),"",IF(ISNUMBER(E175),C175*E175,0))</f>
        <v>150</v>
      </c>
      <c r="G175" s="14"/>
    </row>
    <row r="176" customFormat="false" ht="15" hidden="false" customHeight="false" outlineLevel="0" collapsed="false">
      <c r="A176" s="14" t="s">
        <v>652</v>
      </c>
      <c r="B176" s="14" t="s">
        <v>593</v>
      </c>
      <c r="C176" s="76" t="n">
        <v>150</v>
      </c>
      <c r="D176" s="59" t="str">
        <f aca="false">IF(B176="","",IFERROR(INDEX(식자재단가!$I$4:$I$203,MATCH(B176,식자재단가!$C$4:$C$203,0)),"?"))</f>
        <v>g</v>
      </c>
      <c r="E176" s="77" t="n">
        <f aca="false">IF(B176="","",IFERROR(INDEX(식자재단가!$L$4:$L$203,MATCH(B176,식자재단가!$C$4:$C$203,0)),"품목없음"))</f>
        <v>1</v>
      </c>
      <c r="F176" s="28" t="n">
        <f aca="false">IF(OR(B176="",C176=""),"",IF(ISNUMBER(E176),C176*E176,0))</f>
        <v>150</v>
      </c>
      <c r="G176" s="14"/>
    </row>
    <row r="177" customFormat="false" ht="15" hidden="false" customHeight="false" outlineLevel="0" collapsed="false">
      <c r="A177" s="14" t="s">
        <v>652</v>
      </c>
      <c r="B177" s="14" t="s">
        <v>478</v>
      </c>
      <c r="C177" s="76" t="n">
        <v>0.125</v>
      </c>
      <c r="D177" s="59" t="str">
        <f aca="false">IF(B177="","",IFERROR(INDEX(식자재단가!$I$4:$I$203,MATCH(B177,식자재단가!$C$4:$C$203,0)),"?"))</f>
        <v>개</v>
      </c>
      <c r="E177" s="77" t="n">
        <f aca="false">IF(B177="","",IFERROR(INDEX(식자재단가!$L$4:$L$203,MATCH(B177,식자재단가!$C$4:$C$203,0)),"품목없음"))</f>
        <v>600</v>
      </c>
      <c r="F177" s="28" t="n">
        <f aca="false">IF(OR(B177="",C177=""),"",IF(ISNUMBER(E177),C177*E177,0))</f>
        <v>75</v>
      </c>
      <c r="G177" s="14"/>
    </row>
    <row r="178" customFormat="false" ht="15" hidden="false" customHeight="false" outlineLevel="0" collapsed="false">
      <c r="A178" s="14"/>
      <c r="B178" s="14"/>
      <c r="C178" s="76"/>
      <c r="D178" s="59" t="str">
        <f aca="false">IF(B178="","",IFERROR(INDEX(식자재단가!$I$4:$I$203,MATCH(B178,식자재단가!$C$4:$C$203,0)),"?"))</f>
        <v/>
      </c>
      <c r="E178" s="77" t="str">
        <f aca="false">IF(B178="","",IFERROR(INDEX(식자재단가!$L$4:$L$203,MATCH(B178,식자재단가!$C$4:$C$203,0)),"품목없음"))</f>
        <v/>
      </c>
      <c r="F178" s="28" t="str">
        <f aca="false">IF(OR(B178="",C178=""),"",IF(ISNUMBER(E178),C178*E178,0))</f>
        <v/>
      </c>
      <c r="G178" s="14"/>
    </row>
    <row r="179" customFormat="false" ht="15" hidden="false" customHeight="false" outlineLevel="0" collapsed="false">
      <c r="A179" s="14"/>
      <c r="B179" s="14"/>
      <c r="C179" s="76"/>
      <c r="D179" s="59" t="str">
        <f aca="false">IF(B179="","",IFERROR(INDEX(식자재단가!$I$4:$I$203,MATCH(B179,식자재단가!$C$4:$C$203,0)),"?"))</f>
        <v/>
      </c>
      <c r="E179" s="77" t="str">
        <f aca="false">IF(B179="","",IFERROR(INDEX(식자재단가!$L$4:$L$203,MATCH(B179,식자재단가!$C$4:$C$203,0)),"품목없음"))</f>
        <v/>
      </c>
      <c r="F179" s="28" t="str">
        <f aca="false">IF(OR(B179="",C179=""),"",IF(ISNUMBER(E179),C179*E179,0))</f>
        <v/>
      </c>
      <c r="G179" s="14"/>
    </row>
    <row r="180" customFormat="false" ht="15" hidden="false" customHeight="false" outlineLevel="0" collapsed="false">
      <c r="A180" s="14"/>
      <c r="B180" s="14"/>
      <c r="C180" s="76"/>
      <c r="D180" s="59" t="str">
        <f aca="false">IF(B180="","",IFERROR(INDEX(식자재단가!$I$4:$I$203,MATCH(B180,식자재단가!$C$4:$C$203,0)),"?"))</f>
        <v/>
      </c>
      <c r="E180" s="77" t="str">
        <f aca="false">IF(B180="","",IFERROR(INDEX(식자재단가!$L$4:$L$203,MATCH(B180,식자재단가!$C$4:$C$203,0)),"품목없음"))</f>
        <v/>
      </c>
      <c r="F180" s="28" t="str">
        <f aca="false">IF(OR(B180="",C180=""),"",IF(ISNUMBER(E180),C180*E180,0))</f>
        <v/>
      </c>
      <c r="G180" s="14"/>
    </row>
    <row r="181" customFormat="false" ht="15" hidden="false" customHeight="false" outlineLevel="0" collapsed="false">
      <c r="A181" s="14"/>
      <c r="B181" s="14"/>
      <c r="C181" s="76"/>
      <c r="D181" s="59" t="str">
        <f aca="false">IF(B181="","",IFERROR(INDEX(식자재단가!$I$4:$I$203,MATCH(B181,식자재단가!$C$4:$C$203,0)),"?"))</f>
        <v/>
      </c>
      <c r="E181" s="77" t="str">
        <f aca="false">IF(B181="","",IFERROR(INDEX(식자재단가!$L$4:$L$203,MATCH(B181,식자재단가!$C$4:$C$203,0)),"품목없음"))</f>
        <v/>
      </c>
      <c r="F181" s="28" t="str">
        <f aca="false">IF(OR(B181="",C181=""),"",IF(ISNUMBER(E181),C181*E181,0))</f>
        <v/>
      </c>
      <c r="G181" s="14"/>
    </row>
    <row r="182" customFormat="false" ht="15" hidden="false" customHeight="false" outlineLevel="0" collapsed="false">
      <c r="A182" s="14"/>
      <c r="B182" s="14"/>
      <c r="C182" s="76"/>
      <c r="D182" s="59" t="str">
        <f aca="false">IF(B182="","",IFERROR(INDEX(식자재단가!$I$4:$I$203,MATCH(B182,식자재단가!$C$4:$C$203,0)),"?"))</f>
        <v/>
      </c>
      <c r="E182" s="77" t="str">
        <f aca="false">IF(B182="","",IFERROR(INDEX(식자재단가!$L$4:$L$203,MATCH(B182,식자재단가!$C$4:$C$203,0)),"품목없음"))</f>
        <v/>
      </c>
      <c r="F182" s="28" t="str">
        <f aca="false">IF(OR(B182="",C182=""),"",IF(ISNUMBER(E182),C182*E182,0))</f>
        <v/>
      </c>
      <c r="G182" s="14"/>
    </row>
    <row r="183" customFormat="false" ht="15" hidden="false" customHeight="false" outlineLevel="0" collapsed="false">
      <c r="A183" s="14"/>
      <c r="B183" s="14"/>
      <c r="C183" s="76"/>
      <c r="D183" s="59" t="str">
        <f aca="false">IF(B183="","",IFERROR(INDEX(식자재단가!$I$4:$I$203,MATCH(B183,식자재단가!$C$4:$C$203,0)),"?"))</f>
        <v/>
      </c>
      <c r="E183" s="77" t="str">
        <f aca="false">IF(B183="","",IFERROR(INDEX(식자재단가!$L$4:$L$203,MATCH(B183,식자재단가!$C$4:$C$203,0)),"품목없음"))</f>
        <v/>
      </c>
      <c r="F183" s="28" t="str">
        <f aca="false">IF(OR(B183="",C183=""),"",IF(ISNUMBER(E183),C183*E183,0))</f>
        <v/>
      </c>
      <c r="G183" s="14"/>
    </row>
    <row r="184" customFormat="false" ht="15" hidden="false" customHeight="false" outlineLevel="0" collapsed="false">
      <c r="A184" s="14"/>
      <c r="B184" s="14"/>
      <c r="C184" s="76"/>
      <c r="D184" s="59" t="str">
        <f aca="false">IF(B184="","",IFERROR(INDEX(식자재단가!$I$4:$I$203,MATCH(B184,식자재단가!$C$4:$C$203,0)),"?"))</f>
        <v/>
      </c>
      <c r="E184" s="77" t="str">
        <f aca="false">IF(B184="","",IFERROR(INDEX(식자재단가!$L$4:$L$203,MATCH(B184,식자재단가!$C$4:$C$203,0)),"품목없음"))</f>
        <v/>
      </c>
      <c r="F184" s="28" t="str">
        <f aca="false">IF(OR(B184="",C184=""),"",IF(ISNUMBER(E184),C184*E184,0))</f>
        <v/>
      </c>
      <c r="G184" s="14"/>
    </row>
    <row r="185" customFormat="false" ht="15" hidden="false" customHeight="false" outlineLevel="0" collapsed="false">
      <c r="A185" s="14"/>
      <c r="B185" s="14"/>
      <c r="C185" s="76"/>
      <c r="D185" s="59" t="str">
        <f aca="false">IF(B185="","",IFERROR(INDEX(식자재단가!$I$4:$I$203,MATCH(B185,식자재단가!$C$4:$C$203,0)),"?"))</f>
        <v/>
      </c>
      <c r="E185" s="77" t="str">
        <f aca="false">IF(B185="","",IFERROR(INDEX(식자재단가!$L$4:$L$203,MATCH(B185,식자재단가!$C$4:$C$203,0)),"품목없음"))</f>
        <v/>
      </c>
      <c r="F185" s="28" t="str">
        <f aca="false">IF(OR(B185="",C185=""),"",IF(ISNUMBER(E185),C185*E185,0))</f>
        <v/>
      </c>
      <c r="G185" s="14"/>
    </row>
    <row r="186" customFormat="false" ht="15" hidden="false" customHeight="false" outlineLevel="0" collapsed="false">
      <c r="A186" s="14"/>
      <c r="B186" s="14"/>
      <c r="C186" s="76"/>
      <c r="D186" s="59" t="str">
        <f aca="false">IF(B186="","",IFERROR(INDEX(식자재단가!$I$4:$I$203,MATCH(B186,식자재단가!$C$4:$C$203,0)),"?"))</f>
        <v/>
      </c>
      <c r="E186" s="77" t="str">
        <f aca="false">IF(B186="","",IFERROR(INDEX(식자재단가!$L$4:$L$203,MATCH(B186,식자재단가!$C$4:$C$203,0)),"품목없음"))</f>
        <v/>
      </c>
      <c r="F186" s="28" t="str">
        <f aca="false">IF(OR(B186="",C186=""),"",IF(ISNUMBER(E186),C186*E186,0))</f>
        <v/>
      </c>
      <c r="G186" s="14"/>
    </row>
    <row r="187" customFormat="false" ht="15" hidden="false" customHeight="false" outlineLevel="0" collapsed="false">
      <c r="A187" s="14"/>
      <c r="B187" s="14"/>
      <c r="C187" s="76"/>
      <c r="D187" s="59" t="str">
        <f aca="false">IF(B187="","",IFERROR(INDEX(식자재단가!$I$4:$I$203,MATCH(B187,식자재단가!$C$4:$C$203,0)),"?"))</f>
        <v/>
      </c>
      <c r="E187" s="77" t="str">
        <f aca="false">IF(B187="","",IFERROR(INDEX(식자재단가!$L$4:$L$203,MATCH(B187,식자재단가!$C$4:$C$203,0)),"품목없음"))</f>
        <v/>
      </c>
      <c r="F187" s="28" t="str">
        <f aca="false">IF(OR(B187="",C187=""),"",IF(ISNUMBER(E187),C187*E187,0))</f>
        <v/>
      </c>
      <c r="G187" s="14"/>
    </row>
    <row r="188" customFormat="false" ht="15" hidden="false" customHeight="false" outlineLevel="0" collapsed="false">
      <c r="A188" s="14"/>
      <c r="B188" s="14"/>
      <c r="C188" s="76"/>
      <c r="D188" s="59" t="str">
        <f aca="false">IF(B188="","",IFERROR(INDEX(식자재단가!$I$4:$I$203,MATCH(B188,식자재단가!$C$4:$C$203,0)),"?"))</f>
        <v/>
      </c>
      <c r="E188" s="77" t="str">
        <f aca="false">IF(B188="","",IFERROR(INDEX(식자재단가!$L$4:$L$203,MATCH(B188,식자재단가!$C$4:$C$203,0)),"품목없음"))</f>
        <v/>
      </c>
      <c r="F188" s="28" t="str">
        <f aca="false">IF(OR(B188="",C188=""),"",IF(ISNUMBER(E188),C188*E188,0))</f>
        <v/>
      </c>
      <c r="G188" s="14"/>
    </row>
    <row r="189" customFormat="false" ht="15" hidden="false" customHeight="false" outlineLevel="0" collapsed="false">
      <c r="A189" s="14"/>
      <c r="B189" s="14"/>
      <c r="C189" s="76"/>
      <c r="D189" s="59" t="str">
        <f aca="false">IF(B189="","",IFERROR(INDEX(식자재단가!$I$4:$I$203,MATCH(B189,식자재단가!$C$4:$C$203,0)),"?"))</f>
        <v/>
      </c>
      <c r="E189" s="77" t="str">
        <f aca="false">IF(B189="","",IFERROR(INDEX(식자재단가!$L$4:$L$203,MATCH(B189,식자재단가!$C$4:$C$203,0)),"품목없음"))</f>
        <v/>
      </c>
      <c r="F189" s="28" t="str">
        <f aca="false">IF(OR(B189="",C189=""),"",IF(ISNUMBER(E189),C189*E189,0))</f>
        <v/>
      </c>
      <c r="G189" s="14"/>
    </row>
    <row r="190" customFormat="false" ht="15" hidden="false" customHeight="false" outlineLevel="0" collapsed="false">
      <c r="A190" s="14"/>
      <c r="B190" s="14"/>
      <c r="C190" s="76"/>
      <c r="D190" s="59" t="str">
        <f aca="false">IF(B190="","",IFERROR(INDEX(식자재단가!$I$4:$I$203,MATCH(B190,식자재단가!$C$4:$C$203,0)),"?"))</f>
        <v/>
      </c>
      <c r="E190" s="77" t="str">
        <f aca="false">IF(B190="","",IFERROR(INDEX(식자재단가!$L$4:$L$203,MATCH(B190,식자재단가!$C$4:$C$203,0)),"품목없음"))</f>
        <v/>
      </c>
      <c r="F190" s="28" t="str">
        <f aca="false">IF(OR(B190="",C190=""),"",IF(ISNUMBER(E190),C190*E190,0))</f>
        <v/>
      </c>
      <c r="G190" s="14"/>
    </row>
    <row r="191" customFormat="false" ht="15" hidden="false" customHeight="false" outlineLevel="0" collapsed="false">
      <c r="A191" s="14"/>
      <c r="B191" s="14"/>
      <c r="C191" s="76"/>
      <c r="D191" s="59" t="str">
        <f aca="false">IF(B191="","",IFERROR(INDEX(식자재단가!$I$4:$I$203,MATCH(B191,식자재단가!$C$4:$C$203,0)),"?"))</f>
        <v/>
      </c>
      <c r="E191" s="77" t="str">
        <f aca="false">IF(B191="","",IFERROR(INDEX(식자재단가!$L$4:$L$203,MATCH(B191,식자재단가!$C$4:$C$203,0)),"품목없음"))</f>
        <v/>
      </c>
      <c r="F191" s="28" t="str">
        <f aca="false">IF(OR(B191="",C191=""),"",IF(ISNUMBER(E191),C191*E191,0))</f>
        <v/>
      </c>
      <c r="G191" s="14"/>
    </row>
    <row r="192" customFormat="false" ht="15" hidden="false" customHeight="false" outlineLevel="0" collapsed="false">
      <c r="A192" s="14"/>
      <c r="B192" s="14"/>
      <c r="C192" s="76"/>
      <c r="D192" s="59" t="str">
        <f aca="false">IF(B192="","",IFERROR(INDEX(식자재단가!$I$4:$I$203,MATCH(B192,식자재단가!$C$4:$C$203,0)),"?"))</f>
        <v/>
      </c>
      <c r="E192" s="77" t="str">
        <f aca="false">IF(B192="","",IFERROR(INDEX(식자재단가!$L$4:$L$203,MATCH(B192,식자재단가!$C$4:$C$203,0)),"품목없음"))</f>
        <v/>
      </c>
      <c r="F192" s="28" t="str">
        <f aca="false">IF(OR(B192="",C192=""),"",IF(ISNUMBER(E192),C192*E192,0))</f>
        <v/>
      </c>
      <c r="G192" s="14"/>
    </row>
    <row r="193" customFormat="false" ht="15" hidden="false" customHeight="false" outlineLevel="0" collapsed="false">
      <c r="A193" s="14"/>
      <c r="B193" s="14"/>
      <c r="C193" s="76"/>
      <c r="D193" s="59" t="str">
        <f aca="false">IF(B193="","",IFERROR(INDEX(식자재단가!$I$4:$I$203,MATCH(B193,식자재단가!$C$4:$C$203,0)),"?"))</f>
        <v/>
      </c>
      <c r="E193" s="77" t="str">
        <f aca="false">IF(B193="","",IFERROR(INDEX(식자재단가!$L$4:$L$203,MATCH(B193,식자재단가!$C$4:$C$203,0)),"품목없음"))</f>
        <v/>
      </c>
      <c r="F193" s="28" t="str">
        <f aca="false">IF(OR(B193="",C193=""),"",IF(ISNUMBER(E193),C193*E193,0))</f>
        <v/>
      </c>
      <c r="G193" s="14"/>
    </row>
    <row r="194" customFormat="false" ht="15" hidden="false" customHeight="false" outlineLevel="0" collapsed="false">
      <c r="A194" s="14"/>
      <c r="B194" s="14"/>
      <c r="C194" s="76"/>
      <c r="D194" s="59" t="str">
        <f aca="false">IF(B194="","",IFERROR(INDEX(식자재단가!$I$4:$I$203,MATCH(B194,식자재단가!$C$4:$C$203,0)),"?"))</f>
        <v/>
      </c>
      <c r="E194" s="77" t="str">
        <f aca="false">IF(B194="","",IFERROR(INDEX(식자재단가!$L$4:$L$203,MATCH(B194,식자재단가!$C$4:$C$203,0)),"품목없음"))</f>
        <v/>
      </c>
      <c r="F194" s="28" t="str">
        <f aca="false">IF(OR(B194="",C194=""),"",IF(ISNUMBER(E194),C194*E194,0))</f>
        <v/>
      </c>
      <c r="G194" s="14"/>
    </row>
    <row r="195" customFormat="false" ht="15" hidden="false" customHeight="false" outlineLevel="0" collapsed="false">
      <c r="A195" s="14"/>
      <c r="B195" s="14"/>
      <c r="C195" s="76"/>
      <c r="D195" s="59" t="str">
        <f aca="false">IF(B195="","",IFERROR(INDEX(식자재단가!$I$4:$I$203,MATCH(B195,식자재단가!$C$4:$C$203,0)),"?"))</f>
        <v/>
      </c>
      <c r="E195" s="77" t="str">
        <f aca="false">IF(B195="","",IFERROR(INDEX(식자재단가!$L$4:$L$203,MATCH(B195,식자재단가!$C$4:$C$203,0)),"품목없음"))</f>
        <v/>
      </c>
      <c r="F195" s="28" t="str">
        <f aca="false">IF(OR(B195="",C195=""),"",IF(ISNUMBER(E195),C195*E195,0))</f>
        <v/>
      </c>
      <c r="G195" s="14"/>
    </row>
    <row r="196" customFormat="false" ht="15" hidden="false" customHeight="false" outlineLevel="0" collapsed="false">
      <c r="A196" s="14"/>
      <c r="B196" s="14"/>
      <c r="C196" s="76"/>
      <c r="D196" s="59" t="str">
        <f aca="false">IF(B196="","",IFERROR(INDEX(식자재단가!$I$4:$I$203,MATCH(B196,식자재단가!$C$4:$C$203,0)),"?"))</f>
        <v/>
      </c>
      <c r="E196" s="77" t="str">
        <f aca="false">IF(B196="","",IFERROR(INDEX(식자재단가!$L$4:$L$203,MATCH(B196,식자재단가!$C$4:$C$203,0)),"품목없음"))</f>
        <v/>
      </c>
      <c r="F196" s="28" t="str">
        <f aca="false">IF(OR(B196="",C196=""),"",IF(ISNUMBER(E196),C196*E196,0))</f>
        <v/>
      </c>
      <c r="G196" s="14"/>
    </row>
    <row r="197" customFormat="false" ht="15" hidden="false" customHeight="false" outlineLevel="0" collapsed="false">
      <c r="A197" s="14"/>
      <c r="B197" s="14"/>
      <c r="C197" s="76"/>
      <c r="D197" s="59" t="str">
        <f aca="false">IF(B197="","",IFERROR(INDEX(식자재단가!$I$4:$I$203,MATCH(B197,식자재단가!$C$4:$C$203,0)),"?"))</f>
        <v/>
      </c>
      <c r="E197" s="77" t="str">
        <f aca="false">IF(B197="","",IFERROR(INDEX(식자재단가!$L$4:$L$203,MATCH(B197,식자재단가!$C$4:$C$203,0)),"품목없음"))</f>
        <v/>
      </c>
      <c r="F197" s="28" t="str">
        <f aca="false">IF(OR(B197="",C197=""),"",IF(ISNUMBER(E197),C197*E197,0))</f>
        <v/>
      </c>
      <c r="G197" s="14"/>
    </row>
    <row r="198" customFormat="false" ht="15" hidden="false" customHeight="false" outlineLevel="0" collapsed="false">
      <c r="A198" s="14"/>
      <c r="B198" s="14"/>
      <c r="C198" s="76"/>
      <c r="D198" s="59" t="str">
        <f aca="false">IF(B198="","",IFERROR(INDEX(식자재단가!$I$4:$I$203,MATCH(B198,식자재단가!$C$4:$C$203,0)),"?"))</f>
        <v/>
      </c>
      <c r="E198" s="77" t="str">
        <f aca="false">IF(B198="","",IFERROR(INDEX(식자재단가!$L$4:$L$203,MATCH(B198,식자재단가!$C$4:$C$203,0)),"품목없음"))</f>
        <v/>
      </c>
      <c r="F198" s="28" t="str">
        <f aca="false">IF(OR(B198="",C198=""),"",IF(ISNUMBER(E198),C198*E198,0))</f>
        <v/>
      </c>
      <c r="G198" s="14"/>
    </row>
    <row r="199" customFormat="false" ht="15" hidden="false" customHeight="false" outlineLevel="0" collapsed="false">
      <c r="A199" s="14"/>
      <c r="B199" s="14"/>
      <c r="C199" s="76"/>
      <c r="D199" s="59" t="str">
        <f aca="false">IF(B199="","",IFERROR(INDEX(식자재단가!$I$4:$I$203,MATCH(B199,식자재단가!$C$4:$C$203,0)),"?"))</f>
        <v/>
      </c>
      <c r="E199" s="77" t="str">
        <f aca="false">IF(B199="","",IFERROR(INDEX(식자재단가!$L$4:$L$203,MATCH(B199,식자재단가!$C$4:$C$203,0)),"품목없음"))</f>
        <v/>
      </c>
      <c r="F199" s="28" t="str">
        <f aca="false">IF(OR(B199="",C199=""),"",IF(ISNUMBER(E199),C199*E199,0))</f>
        <v/>
      </c>
      <c r="G199" s="14"/>
    </row>
    <row r="200" customFormat="false" ht="15" hidden="false" customHeight="false" outlineLevel="0" collapsed="false">
      <c r="A200" s="14"/>
      <c r="B200" s="14"/>
      <c r="C200" s="76"/>
      <c r="D200" s="59" t="str">
        <f aca="false">IF(B200="","",IFERROR(INDEX(식자재단가!$I$4:$I$203,MATCH(B200,식자재단가!$C$4:$C$203,0)),"?"))</f>
        <v/>
      </c>
      <c r="E200" s="77" t="str">
        <f aca="false">IF(B200="","",IFERROR(INDEX(식자재단가!$L$4:$L$203,MATCH(B200,식자재단가!$C$4:$C$203,0)),"품목없음"))</f>
        <v/>
      </c>
      <c r="F200" s="28" t="str">
        <f aca="false">IF(OR(B200="",C200=""),"",IF(ISNUMBER(E200),C200*E200,0))</f>
        <v/>
      </c>
      <c r="G200" s="14"/>
    </row>
    <row r="201" customFormat="false" ht="15" hidden="false" customHeight="false" outlineLevel="0" collapsed="false">
      <c r="A201" s="14"/>
      <c r="B201" s="14"/>
      <c r="C201" s="76"/>
      <c r="D201" s="59" t="str">
        <f aca="false">IF(B201="","",IFERROR(INDEX(식자재단가!$I$4:$I$203,MATCH(B201,식자재단가!$C$4:$C$203,0)),"?"))</f>
        <v/>
      </c>
      <c r="E201" s="77" t="str">
        <f aca="false">IF(B201="","",IFERROR(INDEX(식자재단가!$L$4:$L$203,MATCH(B201,식자재단가!$C$4:$C$203,0)),"품목없음"))</f>
        <v/>
      </c>
      <c r="F201" s="28" t="str">
        <f aca="false">IF(OR(B201="",C201=""),"",IF(ISNUMBER(E201),C201*E201,0))</f>
        <v/>
      </c>
      <c r="G201" s="14"/>
    </row>
    <row r="202" customFormat="false" ht="15" hidden="false" customHeight="false" outlineLevel="0" collapsed="false">
      <c r="A202" s="14"/>
      <c r="B202" s="14"/>
      <c r="C202" s="76"/>
      <c r="D202" s="59" t="str">
        <f aca="false">IF(B202="","",IFERROR(INDEX(식자재단가!$I$4:$I$203,MATCH(B202,식자재단가!$C$4:$C$203,0)),"?"))</f>
        <v/>
      </c>
      <c r="E202" s="77" t="str">
        <f aca="false">IF(B202="","",IFERROR(INDEX(식자재단가!$L$4:$L$203,MATCH(B202,식자재단가!$C$4:$C$203,0)),"품목없음"))</f>
        <v/>
      </c>
      <c r="F202" s="28" t="str">
        <f aca="false">IF(OR(B202="",C202=""),"",IF(ISNUMBER(E202),C202*E202,0))</f>
        <v/>
      </c>
      <c r="G202" s="14"/>
    </row>
    <row r="203" customFormat="false" ht="15" hidden="false" customHeight="false" outlineLevel="0" collapsed="false">
      <c r="A203" s="14"/>
      <c r="B203" s="14"/>
      <c r="C203" s="76"/>
      <c r="D203" s="59" t="str">
        <f aca="false">IF(B203="","",IFERROR(INDEX(식자재단가!$I$4:$I$203,MATCH(B203,식자재단가!$C$4:$C$203,0)),"?"))</f>
        <v/>
      </c>
      <c r="E203" s="77" t="str">
        <f aca="false">IF(B203="","",IFERROR(INDEX(식자재단가!$L$4:$L$203,MATCH(B203,식자재단가!$C$4:$C$203,0)),"품목없음"))</f>
        <v/>
      </c>
      <c r="F203" s="28" t="str">
        <f aca="false">IF(OR(B203="",C203=""),"",IF(ISNUMBER(E203),C203*E203,0))</f>
        <v/>
      </c>
      <c r="G203" s="14"/>
    </row>
    <row r="204" customFormat="false" ht="15" hidden="false" customHeight="false" outlineLevel="0" collapsed="false">
      <c r="A204" s="14"/>
      <c r="B204" s="14"/>
      <c r="C204" s="76"/>
      <c r="D204" s="59" t="str">
        <f aca="false">IF(B204="","",IFERROR(INDEX(식자재단가!$I$4:$I$203,MATCH(B204,식자재단가!$C$4:$C$203,0)),"?"))</f>
        <v/>
      </c>
      <c r="E204" s="77" t="str">
        <f aca="false">IF(B204="","",IFERROR(INDEX(식자재단가!$L$4:$L$203,MATCH(B204,식자재단가!$C$4:$C$203,0)),"품목없음"))</f>
        <v/>
      </c>
      <c r="F204" s="28" t="str">
        <f aca="false">IF(OR(B204="",C204=""),"",IF(ISNUMBER(E204),C204*E204,0))</f>
        <v/>
      </c>
      <c r="G204" s="14"/>
    </row>
    <row r="205" customFormat="false" ht="15" hidden="false" customHeight="false" outlineLevel="0" collapsed="false">
      <c r="A205" s="14"/>
      <c r="B205" s="14"/>
      <c r="C205" s="76"/>
      <c r="D205" s="59" t="str">
        <f aca="false">IF(B205="","",IFERROR(INDEX(식자재단가!$I$4:$I$203,MATCH(B205,식자재단가!$C$4:$C$203,0)),"?"))</f>
        <v/>
      </c>
      <c r="E205" s="77" t="str">
        <f aca="false">IF(B205="","",IFERROR(INDEX(식자재단가!$L$4:$L$203,MATCH(B205,식자재단가!$C$4:$C$203,0)),"품목없음"))</f>
        <v/>
      </c>
      <c r="F205" s="28" t="str">
        <f aca="false">IF(OR(B205="",C205=""),"",IF(ISNUMBER(E205),C205*E205,0))</f>
        <v/>
      </c>
      <c r="G205" s="14"/>
    </row>
    <row r="206" customFormat="false" ht="15" hidden="false" customHeight="false" outlineLevel="0" collapsed="false">
      <c r="A206" s="14"/>
      <c r="B206" s="14"/>
      <c r="C206" s="76"/>
      <c r="D206" s="59" t="str">
        <f aca="false">IF(B206="","",IFERROR(INDEX(식자재단가!$I$4:$I$203,MATCH(B206,식자재단가!$C$4:$C$203,0)),"?"))</f>
        <v/>
      </c>
      <c r="E206" s="77" t="str">
        <f aca="false">IF(B206="","",IFERROR(INDEX(식자재단가!$L$4:$L$203,MATCH(B206,식자재단가!$C$4:$C$203,0)),"품목없음"))</f>
        <v/>
      </c>
      <c r="F206" s="28" t="str">
        <f aca="false">IF(OR(B206="",C206=""),"",IF(ISNUMBER(E206),C206*E206,0))</f>
        <v/>
      </c>
      <c r="G206" s="14"/>
    </row>
    <row r="207" customFormat="false" ht="15" hidden="false" customHeight="false" outlineLevel="0" collapsed="false">
      <c r="A207" s="14"/>
      <c r="B207" s="14"/>
      <c r="C207" s="76"/>
      <c r="D207" s="59" t="str">
        <f aca="false">IF(B207="","",IFERROR(INDEX(식자재단가!$I$4:$I$203,MATCH(B207,식자재단가!$C$4:$C$203,0)),"?"))</f>
        <v/>
      </c>
      <c r="E207" s="77" t="str">
        <f aca="false">IF(B207="","",IFERROR(INDEX(식자재단가!$L$4:$L$203,MATCH(B207,식자재단가!$C$4:$C$203,0)),"품목없음"))</f>
        <v/>
      </c>
      <c r="F207" s="28" t="str">
        <f aca="false">IF(OR(B207="",C207=""),"",IF(ISNUMBER(E207),C207*E207,0))</f>
        <v/>
      </c>
      <c r="G207" s="14"/>
    </row>
    <row r="208" customFormat="false" ht="15" hidden="false" customHeight="false" outlineLevel="0" collapsed="false">
      <c r="A208" s="14"/>
      <c r="B208" s="14"/>
      <c r="C208" s="76"/>
      <c r="D208" s="59" t="str">
        <f aca="false">IF(B208="","",IFERROR(INDEX(식자재단가!$I$4:$I$203,MATCH(B208,식자재단가!$C$4:$C$203,0)),"?"))</f>
        <v/>
      </c>
      <c r="E208" s="77" t="str">
        <f aca="false">IF(B208="","",IFERROR(INDEX(식자재단가!$L$4:$L$203,MATCH(B208,식자재단가!$C$4:$C$203,0)),"품목없음"))</f>
        <v/>
      </c>
      <c r="F208" s="28" t="str">
        <f aca="false">IF(OR(B208="",C208=""),"",IF(ISNUMBER(E208),C208*E208,0))</f>
        <v/>
      </c>
      <c r="G208" s="14"/>
    </row>
    <row r="209" customFormat="false" ht="15" hidden="false" customHeight="false" outlineLevel="0" collapsed="false">
      <c r="A209" s="14"/>
      <c r="B209" s="14"/>
      <c r="C209" s="76"/>
      <c r="D209" s="59" t="str">
        <f aca="false">IF(B209="","",IFERROR(INDEX(식자재단가!$I$4:$I$203,MATCH(B209,식자재단가!$C$4:$C$203,0)),"?"))</f>
        <v/>
      </c>
      <c r="E209" s="77" t="str">
        <f aca="false">IF(B209="","",IFERROR(INDEX(식자재단가!$L$4:$L$203,MATCH(B209,식자재단가!$C$4:$C$203,0)),"품목없음"))</f>
        <v/>
      </c>
      <c r="F209" s="28" t="str">
        <f aca="false">IF(OR(B209="",C209=""),"",IF(ISNUMBER(E209),C209*E209,0))</f>
        <v/>
      </c>
      <c r="G209" s="14"/>
    </row>
    <row r="210" customFormat="false" ht="15" hidden="false" customHeight="false" outlineLevel="0" collapsed="false">
      <c r="A210" s="14"/>
      <c r="B210" s="14"/>
      <c r="C210" s="76"/>
      <c r="D210" s="59" t="str">
        <f aca="false">IF(B210="","",IFERROR(INDEX(식자재단가!$I$4:$I$203,MATCH(B210,식자재단가!$C$4:$C$203,0)),"?"))</f>
        <v/>
      </c>
      <c r="E210" s="77" t="str">
        <f aca="false">IF(B210="","",IFERROR(INDEX(식자재단가!$L$4:$L$203,MATCH(B210,식자재단가!$C$4:$C$203,0)),"품목없음"))</f>
        <v/>
      </c>
      <c r="F210" s="28" t="str">
        <f aca="false">IF(OR(B210="",C210=""),"",IF(ISNUMBER(E210),C210*E210,0))</f>
        <v/>
      </c>
      <c r="G210" s="14"/>
    </row>
    <row r="211" customFormat="false" ht="15" hidden="false" customHeight="false" outlineLevel="0" collapsed="false">
      <c r="A211" s="14"/>
      <c r="B211" s="14"/>
      <c r="C211" s="76"/>
      <c r="D211" s="59" t="str">
        <f aca="false">IF(B211="","",IFERROR(INDEX(식자재단가!$I$4:$I$203,MATCH(B211,식자재단가!$C$4:$C$203,0)),"?"))</f>
        <v/>
      </c>
      <c r="E211" s="77" t="str">
        <f aca="false">IF(B211="","",IFERROR(INDEX(식자재단가!$L$4:$L$203,MATCH(B211,식자재단가!$C$4:$C$203,0)),"품목없음"))</f>
        <v/>
      </c>
      <c r="F211" s="28" t="str">
        <f aca="false">IF(OR(B211="",C211=""),"",IF(ISNUMBER(E211),C211*E211,0))</f>
        <v/>
      </c>
      <c r="G211" s="14"/>
    </row>
    <row r="212" customFormat="false" ht="15" hidden="false" customHeight="false" outlineLevel="0" collapsed="false">
      <c r="A212" s="14"/>
      <c r="B212" s="14"/>
      <c r="C212" s="76"/>
      <c r="D212" s="59" t="str">
        <f aca="false">IF(B212="","",IFERROR(INDEX(식자재단가!$I$4:$I$203,MATCH(B212,식자재단가!$C$4:$C$203,0)),"?"))</f>
        <v/>
      </c>
      <c r="E212" s="77" t="str">
        <f aca="false">IF(B212="","",IFERROR(INDEX(식자재단가!$L$4:$L$203,MATCH(B212,식자재단가!$C$4:$C$203,0)),"품목없음"))</f>
        <v/>
      </c>
      <c r="F212" s="28" t="str">
        <f aca="false">IF(OR(B212="",C212=""),"",IF(ISNUMBER(E212),C212*E212,0))</f>
        <v/>
      </c>
      <c r="G212" s="14"/>
    </row>
    <row r="213" customFormat="false" ht="15" hidden="false" customHeight="false" outlineLevel="0" collapsed="false">
      <c r="A213" s="14"/>
      <c r="B213" s="14"/>
      <c r="C213" s="76"/>
      <c r="D213" s="59" t="str">
        <f aca="false">IF(B213="","",IFERROR(INDEX(식자재단가!$I$4:$I$203,MATCH(B213,식자재단가!$C$4:$C$203,0)),"?"))</f>
        <v/>
      </c>
      <c r="E213" s="77" t="str">
        <f aca="false">IF(B213="","",IFERROR(INDEX(식자재단가!$L$4:$L$203,MATCH(B213,식자재단가!$C$4:$C$203,0)),"품목없음"))</f>
        <v/>
      </c>
      <c r="F213" s="28" t="str">
        <f aca="false">IF(OR(B213="",C213=""),"",IF(ISNUMBER(E213),C213*E213,0))</f>
        <v/>
      </c>
      <c r="G213" s="14"/>
    </row>
    <row r="214" customFormat="false" ht="15" hidden="false" customHeight="false" outlineLevel="0" collapsed="false">
      <c r="A214" s="14"/>
      <c r="B214" s="14"/>
      <c r="C214" s="76"/>
      <c r="D214" s="59" t="str">
        <f aca="false">IF(B214="","",IFERROR(INDEX(식자재단가!$I$4:$I$203,MATCH(B214,식자재단가!$C$4:$C$203,0)),"?"))</f>
        <v/>
      </c>
      <c r="E214" s="77" t="str">
        <f aca="false">IF(B214="","",IFERROR(INDEX(식자재단가!$L$4:$L$203,MATCH(B214,식자재단가!$C$4:$C$203,0)),"품목없음"))</f>
        <v/>
      </c>
      <c r="F214" s="28" t="str">
        <f aca="false">IF(OR(B214="",C214=""),"",IF(ISNUMBER(E214),C214*E214,0))</f>
        <v/>
      </c>
      <c r="G214" s="14"/>
    </row>
    <row r="215" customFormat="false" ht="15" hidden="false" customHeight="false" outlineLevel="0" collapsed="false">
      <c r="A215" s="14"/>
      <c r="B215" s="14"/>
      <c r="C215" s="76"/>
      <c r="D215" s="59" t="str">
        <f aca="false">IF(B215="","",IFERROR(INDEX(식자재단가!$I$4:$I$203,MATCH(B215,식자재단가!$C$4:$C$203,0)),"?"))</f>
        <v/>
      </c>
      <c r="E215" s="77" t="str">
        <f aca="false">IF(B215="","",IFERROR(INDEX(식자재단가!$L$4:$L$203,MATCH(B215,식자재단가!$C$4:$C$203,0)),"품목없음"))</f>
        <v/>
      </c>
      <c r="F215" s="28" t="str">
        <f aca="false">IF(OR(B215="",C215=""),"",IF(ISNUMBER(E215),C215*E215,0))</f>
        <v/>
      </c>
      <c r="G215" s="14"/>
    </row>
    <row r="216" customFormat="false" ht="15" hidden="false" customHeight="false" outlineLevel="0" collapsed="false">
      <c r="A216" s="14"/>
      <c r="B216" s="14"/>
      <c r="C216" s="76"/>
      <c r="D216" s="59" t="str">
        <f aca="false">IF(B216="","",IFERROR(INDEX(식자재단가!$I$4:$I$203,MATCH(B216,식자재단가!$C$4:$C$203,0)),"?"))</f>
        <v/>
      </c>
      <c r="E216" s="77" t="str">
        <f aca="false">IF(B216="","",IFERROR(INDEX(식자재단가!$L$4:$L$203,MATCH(B216,식자재단가!$C$4:$C$203,0)),"품목없음"))</f>
        <v/>
      </c>
      <c r="F216" s="28" t="str">
        <f aca="false">IF(OR(B216="",C216=""),"",IF(ISNUMBER(E216),C216*E216,0))</f>
        <v/>
      </c>
      <c r="G216" s="14"/>
    </row>
    <row r="217" customFormat="false" ht="15" hidden="false" customHeight="false" outlineLevel="0" collapsed="false">
      <c r="A217" s="14"/>
      <c r="B217" s="14"/>
      <c r="C217" s="76"/>
      <c r="D217" s="59" t="str">
        <f aca="false">IF(B217="","",IFERROR(INDEX(식자재단가!$I$4:$I$203,MATCH(B217,식자재단가!$C$4:$C$203,0)),"?"))</f>
        <v/>
      </c>
      <c r="E217" s="77" t="str">
        <f aca="false">IF(B217="","",IFERROR(INDEX(식자재단가!$L$4:$L$203,MATCH(B217,식자재단가!$C$4:$C$203,0)),"품목없음"))</f>
        <v/>
      </c>
      <c r="F217" s="28" t="str">
        <f aca="false">IF(OR(B217="",C217=""),"",IF(ISNUMBER(E217),C217*E217,0))</f>
        <v/>
      </c>
      <c r="G217" s="14"/>
    </row>
    <row r="218" customFormat="false" ht="15" hidden="false" customHeight="false" outlineLevel="0" collapsed="false">
      <c r="A218" s="14"/>
      <c r="B218" s="14"/>
      <c r="C218" s="76"/>
      <c r="D218" s="59" t="str">
        <f aca="false">IF(B218="","",IFERROR(INDEX(식자재단가!$I$4:$I$203,MATCH(B218,식자재단가!$C$4:$C$203,0)),"?"))</f>
        <v/>
      </c>
      <c r="E218" s="77" t="str">
        <f aca="false">IF(B218="","",IFERROR(INDEX(식자재단가!$L$4:$L$203,MATCH(B218,식자재단가!$C$4:$C$203,0)),"품목없음"))</f>
        <v/>
      </c>
      <c r="F218" s="28" t="str">
        <f aca="false">IF(OR(B218="",C218=""),"",IF(ISNUMBER(E218),C218*E218,0))</f>
        <v/>
      </c>
      <c r="G218" s="14"/>
    </row>
    <row r="219" customFormat="false" ht="15" hidden="false" customHeight="false" outlineLevel="0" collapsed="false">
      <c r="A219" s="14"/>
      <c r="B219" s="14"/>
      <c r="C219" s="76"/>
      <c r="D219" s="59" t="str">
        <f aca="false">IF(B219="","",IFERROR(INDEX(식자재단가!$I$4:$I$203,MATCH(B219,식자재단가!$C$4:$C$203,0)),"?"))</f>
        <v/>
      </c>
      <c r="E219" s="77" t="str">
        <f aca="false">IF(B219="","",IFERROR(INDEX(식자재단가!$L$4:$L$203,MATCH(B219,식자재단가!$C$4:$C$203,0)),"품목없음"))</f>
        <v/>
      </c>
      <c r="F219" s="28" t="str">
        <f aca="false">IF(OR(B219="",C219=""),"",IF(ISNUMBER(E219),C219*E219,0))</f>
        <v/>
      </c>
      <c r="G219" s="14"/>
    </row>
    <row r="220" customFormat="false" ht="15" hidden="false" customHeight="false" outlineLevel="0" collapsed="false">
      <c r="A220" s="14"/>
      <c r="B220" s="14"/>
      <c r="C220" s="76"/>
      <c r="D220" s="59" t="str">
        <f aca="false">IF(B220="","",IFERROR(INDEX(식자재단가!$I$4:$I$203,MATCH(B220,식자재단가!$C$4:$C$203,0)),"?"))</f>
        <v/>
      </c>
      <c r="E220" s="77" t="str">
        <f aca="false">IF(B220="","",IFERROR(INDEX(식자재단가!$L$4:$L$203,MATCH(B220,식자재단가!$C$4:$C$203,0)),"품목없음"))</f>
        <v/>
      </c>
      <c r="F220" s="28" t="str">
        <f aca="false">IF(OR(B220="",C220=""),"",IF(ISNUMBER(E220),C220*E220,0))</f>
        <v/>
      </c>
      <c r="G220" s="14"/>
    </row>
    <row r="221" customFormat="false" ht="15" hidden="false" customHeight="false" outlineLevel="0" collapsed="false">
      <c r="A221" s="14"/>
      <c r="B221" s="14"/>
      <c r="C221" s="76"/>
      <c r="D221" s="59" t="str">
        <f aca="false">IF(B221="","",IFERROR(INDEX(식자재단가!$I$4:$I$203,MATCH(B221,식자재단가!$C$4:$C$203,0)),"?"))</f>
        <v/>
      </c>
      <c r="E221" s="77" t="str">
        <f aca="false">IF(B221="","",IFERROR(INDEX(식자재단가!$L$4:$L$203,MATCH(B221,식자재단가!$C$4:$C$203,0)),"품목없음"))</f>
        <v/>
      </c>
      <c r="F221" s="28" t="str">
        <f aca="false">IF(OR(B221="",C221=""),"",IF(ISNUMBER(E221),C221*E221,0))</f>
        <v/>
      </c>
      <c r="G221" s="14"/>
    </row>
    <row r="222" customFormat="false" ht="15" hidden="false" customHeight="false" outlineLevel="0" collapsed="false">
      <c r="A222" s="14"/>
      <c r="B222" s="14"/>
      <c r="C222" s="76"/>
      <c r="D222" s="59" t="str">
        <f aca="false">IF(B222="","",IFERROR(INDEX(식자재단가!$I$4:$I$203,MATCH(B222,식자재단가!$C$4:$C$203,0)),"?"))</f>
        <v/>
      </c>
      <c r="E222" s="77" t="str">
        <f aca="false">IF(B222="","",IFERROR(INDEX(식자재단가!$L$4:$L$203,MATCH(B222,식자재단가!$C$4:$C$203,0)),"품목없음"))</f>
        <v/>
      </c>
      <c r="F222" s="28" t="str">
        <f aca="false">IF(OR(B222="",C222=""),"",IF(ISNUMBER(E222),C222*E222,0))</f>
        <v/>
      </c>
      <c r="G222" s="14"/>
    </row>
    <row r="223" customFormat="false" ht="15" hidden="false" customHeight="false" outlineLevel="0" collapsed="false">
      <c r="A223" s="14"/>
      <c r="B223" s="14"/>
      <c r="C223" s="76"/>
      <c r="D223" s="59" t="str">
        <f aca="false">IF(B223="","",IFERROR(INDEX(식자재단가!$I$4:$I$203,MATCH(B223,식자재단가!$C$4:$C$203,0)),"?"))</f>
        <v/>
      </c>
      <c r="E223" s="77" t="str">
        <f aca="false">IF(B223="","",IFERROR(INDEX(식자재단가!$L$4:$L$203,MATCH(B223,식자재단가!$C$4:$C$203,0)),"품목없음"))</f>
        <v/>
      </c>
      <c r="F223" s="28" t="str">
        <f aca="false">IF(OR(B223="",C223=""),"",IF(ISNUMBER(E223),C223*E223,0))</f>
        <v/>
      </c>
      <c r="G223" s="14"/>
    </row>
    <row r="224" customFormat="false" ht="15" hidden="false" customHeight="false" outlineLevel="0" collapsed="false">
      <c r="A224" s="14"/>
      <c r="B224" s="14"/>
      <c r="C224" s="76"/>
      <c r="D224" s="59" t="str">
        <f aca="false">IF(B224="","",IFERROR(INDEX(식자재단가!$I$4:$I$203,MATCH(B224,식자재단가!$C$4:$C$203,0)),"?"))</f>
        <v/>
      </c>
      <c r="E224" s="77" t="str">
        <f aca="false">IF(B224="","",IFERROR(INDEX(식자재단가!$L$4:$L$203,MATCH(B224,식자재단가!$C$4:$C$203,0)),"품목없음"))</f>
        <v/>
      </c>
      <c r="F224" s="28" t="str">
        <f aca="false">IF(OR(B224="",C224=""),"",IF(ISNUMBER(E224),C224*E224,0))</f>
        <v/>
      </c>
      <c r="G224" s="14"/>
    </row>
    <row r="225" customFormat="false" ht="15" hidden="false" customHeight="false" outlineLevel="0" collapsed="false">
      <c r="A225" s="14"/>
      <c r="B225" s="14"/>
      <c r="C225" s="76"/>
      <c r="D225" s="59" t="str">
        <f aca="false">IF(B225="","",IFERROR(INDEX(식자재단가!$I$4:$I$203,MATCH(B225,식자재단가!$C$4:$C$203,0)),"?"))</f>
        <v/>
      </c>
      <c r="E225" s="77" t="str">
        <f aca="false">IF(B225="","",IFERROR(INDEX(식자재단가!$L$4:$L$203,MATCH(B225,식자재단가!$C$4:$C$203,0)),"품목없음"))</f>
        <v/>
      </c>
      <c r="F225" s="28" t="str">
        <f aca="false">IF(OR(B225="",C225=""),"",IF(ISNUMBER(E225),C225*E225,0))</f>
        <v/>
      </c>
      <c r="G225" s="14"/>
    </row>
    <row r="226" customFormat="false" ht="15" hidden="false" customHeight="false" outlineLevel="0" collapsed="false">
      <c r="A226" s="14"/>
      <c r="B226" s="14"/>
      <c r="C226" s="76"/>
      <c r="D226" s="59" t="str">
        <f aca="false">IF(B226="","",IFERROR(INDEX(식자재단가!$I$4:$I$203,MATCH(B226,식자재단가!$C$4:$C$203,0)),"?"))</f>
        <v/>
      </c>
      <c r="E226" s="77" t="str">
        <f aca="false">IF(B226="","",IFERROR(INDEX(식자재단가!$L$4:$L$203,MATCH(B226,식자재단가!$C$4:$C$203,0)),"품목없음"))</f>
        <v/>
      </c>
      <c r="F226" s="28" t="str">
        <f aca="false">IF(OR(B226="",C226=""),"",IF(ISNUMBER(E226),C226*E226,0))</f>
        <v/>
      </c>
      <c r="G226" s="14"/>
    </row>
    <row r="227" customFormat="false" ht="15" hidden="false" customHeight="false" outlineLevel="0" collapsed="false">
      <c r="A227" s="14"/>
      <c r="B227" s="14"/>
      <c r="C227" s="76"/>
      <c r="D227" s="59" t="str">
        <f aca="false">IF(B227="","",IFERROR(INDEX(식자재단가!$I$4:$I$203,MATCH(B227,식자재단가!$C$4:$C$203,0)),"?"))</f>
        <v/>
      </c>
      <c r="E227" s="77" t="str">
        <f aca="false">IF(B227="","",IFERROR(INDEX(식자재단가!$L$4:$L$203,MATCH(B227,식자재단가!$C$4:$C$203,0)),"품목없음"))</f>
        <v/>
      </c>
      <c r="F227" s="28" t="str">
        <f aca="false">IF(OR(B227="",C227=""),"",IF(ISNUMBER(E227),C227*E227,0))</f>
        <v/>
      </c>
      <c r="G227" s="14"/>
    </row>
    <row r="228" customFormat="false" ht="15" hidden="false" customHeight="false" outlineLevel="0" collapsed="false">
      <c r="A228" s="14"/>
      <c r="B228" s="14"/>
      <c r="C228" s="76"/>
      <c r="D228" s="59" t="str">
        <f aca="false">IF(B228="","",IFERROR(INDEX(식자재단가!$I$4:$I$203,MATCH(B228,식자재단가!$C$4:$C$203,0)),"?"))</f>
        <v/>
      </c>
      <c r="E228" s="77" t="str">
        <f aca="false">IF(B228="","",IFERROR(INDEX(식자재단가!$L$4:$L$203,MATCH(B228,식자재단가!$C$4:$C$203,0)),"품목없음"))</f>
        <v/>
      </c>
      <c r="F228" s="28" t="str">
        <f aca="false">IF(OR(B228="",C228=""),"",IF(ISNUMBER(E228),C228*E228,0))</f>
        <v/>
      </c>
      <c r="G228" s="14"/>
    </row>
    <row r="229" customFormat="false" ht="15" hidden="false" customHeight="false" outlineLevel="0" collapsed="false">
      <c r="A229" s="14"/>
      <c r="B229" s="14"/>
      <c r="C229" s="76"/>
      <c r="D229" s="59" t="str">
        <f aca="false">IF(B229="","",IFERROR(INDEX(식자재단가!$I$4:$I$203,MATCH(B229,식자재단가!$C$4:$C$203,0)),"?"))</f>
        <v/>
      </c>
      <c r="E229" s="77" t="str">
        <f aca="false">IF(B229="","",IFERROR(INDEX(식자재단가!$L$4:$L$203,MATCH(B229,식자재단가!$C$4:$C$203,0)),"품목없음"))</f>
        <v/>
      </c>
      <c r="F229" s="28" t="str">
        <f aca="false">IF(OR(B229="",C229=""),"",IF(ISNUMBER(E229),C229*E229,0))</f>
        <v/>
      </c>
      <c r="G229" s="14"/>
    </row>
    <row r="230" customFormat="false" ht="15" hidden="false" customHeight="false" outlineLevel="0" collapsed="false">
      <c r="A230" s="14"/>
      <c r="B230" s="14"/>
      <c r="C230" s="76"/>
      <c r="D230" s="59" t="str">
        <f aca="false">IF(B230="","",IFERROR(INDEX(식자재단가!$I$4:$I$203,MATCH(B230,식자재단가!$C$4:$C$203,0)),"?"))</f>
        <v/>
      </c>
      <c r="E230" s="77" t="str">
        <f aca="false">IF(B230="","",IFERROR(INDEX(식자재단가!$L$4:$L$203,MATCH(B230,식자재단가!$C$4:$C$203,0)),"품목없음"))</f>
        <v/>
      </c>
      <c r="F230" s="28" t="str">
        <f aca="false">IF(OR(B230="",C230=""),"",IF(ISNUMBER(E230),C230*E230,0))</f>
        <v/>
      </c>
      <c r="G230" s="14"/>
    </row>
    <row r="231" customFormat="false" ht="15" hidden="false" customHeight="false" outlineLevel="0" collapsed="false">
      <c r="A231" s="14"/>
      <c r="B231" s="14"/>
      <c r="C231" s="76"/>
      <c r="D231" s="59" t="str">
        <f aca="false">IF(B231="","",IFERROR(INDEX(식자재단가!$I$4:$I$203,MATCH(B231,식자재단가!$C$4:$C$203,0)),"?"))</f>
        <v/>
      </c>
      <c r="E231" s="77" t="str">
        <f aca="false">IF(B231="","",IFERROR(INDEX(식자재단가!$L$4:$L$203,MATCH(B231,식자재단가!$C$4:$C$203,0)),"품목없음"))</f>
        <v/>
      </c>
      <c r="F231" s="28" t="str">
        <f aca="false">IF(OR(B231="",C231=""),"",IF(ISNUMBER(E231),C231*E231,0))</f>
        <v/>
      </c>
      <c r="G231" s="14"/>
    </row>
    <row r="232" customFormat="false" ht="15" hidden="false" customHeight="false" outlineLevel="0" collapsed="false">
      <c r="A232" s="14"/>
      <c r="B232" s="14"/>
      <c r="C232" s="76"/>
      <c r="D232" s="59" t="str">
        <f aca="false">IF(B232="","",IFERROR(INDEX(식자재단가!$I$4:$I$203,MATCH(B232,식자재단가!$C$4:$C$203,0)),"?"))</f>
        <v/>
      </c>
      <c r="E232" s="77" t="str">
        <f aca="false">IF(B232="","",IFERROR(INDEX(식자재단가!$L$4:$L$203,MATCH(B232,식자재단가!$C$4:$C$203,0)),"품목없음"))</f>
        <v/>
      </c>
      <c r="F232" s="28" t="str">
        <f aca="false">IF(OR(B232="",C232=""),"",IF(ISNUMBER(E232),C232*E232,0))</f>
        <v/>
      </c>
      <c r="G232" s="14"/>
    </row>
    <row r="233" customFormat="false" ht="15" hidden="false" customHeight="false" outlineLevel="0" collapsed="false">
      <c r="A233" s="14"/>
      <c r="B233" s="14"/>
      <c r="C233" s="76"/>
      <c r="D233" s="59" t="str">
        <f aca="false">IF(B233="","",IFERROR(INDEX(식자재단가!$I$4:$I$203,MATCH(B233,식자재단가!$C$4:$C$203,0)),"?"))</f>
        <v/>
      </c>
      <c r="E233" s="77" t="str">
        <f aca="false">IF(B233="","",IFERROR(INDEX(식자재단가!$L$4:$L$203,MATCH(B233,식자재단가!$C$4:$C$203,0)),"품목없음"))</f>
        <v/>
      </c>
      <c r="F233" s="28" t="str">
        <f aca="false">IF(OR(B233="",C233=""),"",IF(ISNUMBER(E233),C233*E233,0))</f>
        <v/>
      </c>
      <c r="G233" s="14"/>
    </row>
    <row r="234" customFormat="false" ht="15" hidden="false" customHeight="false" outlineLevel="0" collapsed="false">
      <c r="A234" s="14"/>
      <c r="B234" s="14"/>
      <c r="C234" s="76"/>
      <c r="D234" s="59" t="str">
        <f aca="false">IF(B234="","",IFERROR(INDEX(식자재단가!$I$4:$I$203,MATCH(B234,식자재단가!$C$4:$C$203,0)),"?"))</f>
        <v/>
      </c>
      <c r="E234" s="77" t="str">
        <f aca="false">IF(B234="","",IFERROR(INDEX(식자재단가!$L$4:$L$203,MATCH(B234,식자재단가!$C$4:$C$203,0)),"품목없음"))</f>
        <v/>
      </c>
      <c r="F234" s="28" t="str">
        <f aca="false">IF(OR(B234="",C234=""),"",IF(ISNUMBER(E234),C234*E234,0))</f>
        <v/>
      </c>
      <c r="G234" s="14"/>
    </row>
    <row r="235" customFormat="false" ht="15" hidden="false" customHeight="false" outlineLevel="0" collapsed="false">
      <c r="A235" s="14"/>
      <c r="B235" s="14"/>
      <c r="C235" s="76"/>
      <c r="D235" s="59" t="str">
        <f aca="false">IF(B235="","",IFERROR(INDEX(식자재단가!$I$4:$I$203,MATCH(B235,식자재단가!$C$4:$C$203,0)),"?"))</f>
        <v/>
      </c>
      <c r="E235" s="77" t="str">
        <f aca="false">IF(B235="","",IFERROR(INDEX(식자재단가!$L$4:$L$203,MATCH(B235,식자재단가!$C$4:$C$203,0)),"품목없음"))</f>
        <v/>
      </c>
      <c r="F235" s="28" t="str">
        <f aca="false">IF(OR(B235="",C235=""),"",IF(ISNUMBER(E235),C235*E235,0))</f>
        <v/>
      </c>
      <c r="G235" s="14"/>
    </row>
    <row r="236" customFormat="false" ht="15" hidden="false" customHeight="false" outlineLevel="0" collapsed="false">
      <c r="A236" s="14"/>
      <c r="B236" s="14"/>
      <c r="C236" s="76"/>
      <c r="D236" s="59" t="str">
        <f aca="false">IF(B236="","",IFERROR(INDEX(식자재단가!$I$4:$I$203,MATCH(B236,식자재단가!$C$4:$C$203,0)),"?"))</f>
        <v/>
      </c>
      <c r="E236" s="77" t="str">
        <f aca="false">IF(B236="","",IFERROR(INDEX(식자재단가!$L$4:$L$203,MATCH(B236,식자재단가!$C$4:$C$203,0)),"품목없음"))</f>
        <v/>
      </c>
      <c r="F236" s="28" t="str">
        <f aca="false">IF(OR(B236="",C236=""),"",IF(ISNUMBER(E236),C236*E236,0))</f>
        <v/>
      </c>
      <c r="G236" s="14"/>
    </row>
    <row r="237" customFormat="false" ht="15" hidden="false" customHeight="false" outlineLevel="0" collapsed="false">
      <c r="A237" s="14"/>
      <c r="B237" s="14"/>
      <c r="C237" s="76"/>
      <c r="D237" s="59" t="str">
        <f aca="false">IF(B237="","",IFERROR(INDEX(식자재단가!$I$4:$I$203,MATCH(B237,식자재단가!$C$4:$C$203,0)),"?"))</f>
        <v/>
      </c>
      <c r="E237" s="77" t="str">
        <f aca="false">IF(B237="","",IFERROR(INDEX(식자재단가!$L$4:$L$203,MATCH(B237,식자재단가!$C$4:$C$203,0)),"품목없음"))</f>
        <v/>
      </c>
      <c r="F237" s="28" t="str">
        <f aca="false">IF(OR(B237="",C237=""),"",IF(ISNUMBER(E237),C237*E237,0))</f>
        <v/>
      </c>
      <c r="G237" s="14"/>
    </row>
    <row r="238" customFormat="false" ht="15" hidden="false" customHeight="false" outlineLevel="0" collapsed="false">
      <c r="A238" s="14"/>
      <c r="B238" s="14"/>
      <c r="C238" s="76"/>
      <c r="D238" s="59" t="str">
        <f aca="false">IF(B238="","",IFERROR(INDEX(식자재단가!$I$4:$I$203,MATCH(B238,식자재단가!$C$4:$C$203,0)),"?"))</f>
        <v/>
      </c>
      <c r="E238" s="77" t="str">
        <f aca="false">IF(B238="","",IFERROR(INDEX(식자재단가!$L$4:$L$203,MATCH(B238,식자재단가!$C$4:$C$203,0)),"품목없음"))</f>
        <v/>
      </c>
      <c r="F238" s="28" t="str">
        <f aca="false">IF(OR(B238="",C238=""),"",IF(ISNUMBER(E238),C238*E238,0))</f>
        <v/>
      </c>
      <c r="G238" s="14"/>
    </row>
    <row r="239" customFormat="false" ht="15" hidden="false" customHeight="false" outlineLevel="0" collapsed="false">
      <c r="A239" s="14"/>
      <c r="B239" s="14"/>
      <c r="C239" s="76"/>
      <c r="D239" s="59" t="str">
        <f aca="false">IF(B239="","",IFERROR(INDEX(식자재단가!$I$4:$I$203,MATCH(B239,식자재단가!$C$4:$C$203,0)),"?"))</f>
        <v/>
      </c>
      <c r="E239" s="77" t="str">
        <f aca="false">IF(B239="","",IFERROR(INDEX(식자재단가!$L$4:$L$203,MATCH(B239,식자재단가!$C$4:$C$203,0)),"품목없음"))</f>
        <v/>
      </c>
      <c r="F239" s="28" t="str">
        <f aca="false">IF(OR(B239="",C239=""),"",IF(ISNUMBER(E239),C239*E239,0))</f>
        <v/>
      </c>
      <c r="G239" s="14"/>
    </row>
    <row r="240" customFormat="false" ht="15" hidden="false" customHeight="false" outlineLevel="0" collapsed="false">
      <c r="A240" s="14"/>
      <c r="B240" s="14"/>
      <c r="C240" s="76"/>
      <c r="D240" s="59" t="str">
        <f aca="false">IF(B240="","",IFERROR(INDEX(식자재단가!$I$4:$I$203,MATCH(B240,식자재단가!$C$4:$C$203,0)),"?"))</f>
        <v/>
      </c>
      <c r="E240" s="77" t="str">
        <f aca="false">IF(B240="","",IFERROR(INDEX(식자재단가!$L$4:$L$203,MATCH(B240,식자재단가!$C$4:$C$203,0)),"품목없음"))</f>
        <v/>
      </c>
      <c r="F240" s="28" t="str">
        <f aca="false">IF(OR(B240="",C240=""),"",IF(ISNUMBER(E240),C240*E240,0))</f>
        <v/>
      </c>
      <c r="G240" s="14"/>
    </row>
    <row r="241" customFormat="false" ht="15" hidden="false" customHeight="false" outlineLevel="0" collapsed="false">
      <c r="A241" s="14"/>
      <c r="B241" s="14"/>
      <c r="C241" s="76"/>
      <c r="D241" s="59" t="str">
        <f aca="false">IF(B241="","",IFERROR(INDEX(식자재단가!$I$4:$I$203,MATCH(B241,식자재단가!$C$4:$C$203,0)),"?"))</f>
        <v/>
      </c>
      <c r="E241" s="77" t="str">
        <f aca="false">IF(B241="","",IFERROR(INDEX(식자재단가!$L$4:$L$203,MATCH(B241,식자재단가!$C$4:$C$203,0)),"품목없음"))</f>
        <v/>
      </c>
      <c r="F241" s="28" t="str">
        <f aca="false">IF(OR(B241="",C241=""),"",IF(ISNUMBER(E241),C241*E241,0))</f>
        <v/>
      </c>
      <c r="G241" s="14"/>
    </row>
    <row r="242" customFormat="false" ht="15" hidden="false" customHeight="false" outlineLevel="0" collapsed="false">
      <c r="A242" s="14"/>
      <c r="B242" s="14"/>
      <c r="C242" s="76"/>
      <c r="D242" s="59" t="str">
        <f aca="false">IF(B242="","",IFERROR(INDEX(식자재단가!$I$4:$I$203,MATCH(B242,식자재단가!$C$4:$C$203,0)),"?"))</f>
        <v/>
      </c>
      <c r="E242" s="77" t="str">
        <f aca="false">IF(B242="","",IFERROR(INDEX(식자재단가!$L$4:$L$203,MATCH(B242,식자재단가!$C$4:$C$203,0)),"품목없음"))</f>
        <v/>
      </c>
      <c r="F242" s="28" t="str">
        <f aca="false">IF(OR(B242="",C242=""),"",IF(ISNUMBER(E242),C242*E242,0))</f>
        <v/>
      </c>
      <c r="G242" s="14"/>
    </row>
    <row r="243" customFormat="false" ht="15" hidden="false" customHeight="false" outlineLevel="0" collapsed="false">
      <c r="A243" s="14"/>
      <c r="B243" s="14"/>
      <c r="C243" s="76"/>
      <c r="D243" s="59" t="str">
        <f aca="false">IF(B243="","",IFERROR(INDEX(식자재단가!$I$4:$I$203,MATCH(B243,식자재단가!$C$4:$C$203,0)),"?"))</f>
        <v/>
      </c>
      <c r="E243" s="77" t="str">
        <f aca="false">IF(B243="","",IFERROR(INDEX(식자재단가!$L$4:$L$203,MATCH(B243,식자재단가!$C$4:$C$203,0)),"품목없음"))</f>
        <v/>
      </c>
      <c r="F243" s="28" t="str">
        <f aca="false">IF(OR(B243="",C243=""),"",IF(ISNUMBER(E243),C243*E243,0))</f>
        <v/>
      </c>
      <c r="G243" s="14"/>
    </row>
    <row r="244" customFormat="false" ht="15" hidden="false" customHeight="false" outlineLevel="0" collapsed="false">
      <c r="A244" s="14"/>
      <c r="B244" s="14"/>
      <c r="C244" s="76"/>
      <c r="D244" s="59" t="str">
        <f aca="false">IF(B244="","",IFERROR(INDEX(식자재단가!$I$4:$I$203,MATCH(B244,식자재단가!$C$4:$C$203,0)),"?"))</f>
        <v/>
      </c>
      <c r="E244" s="77" t="str">
        <f aca="false">IF(B244="","",IFERROR(INDEX(식자재단가!$L$4:$L$203,MATCH(B244,식자재단가!$C$4:$C$203,0)),"품목없음"))</f>
        <v/>
      </c>
      <c r="F244" s="28" t="str">
        <f aca="false">IF(OR(B244="",C244=""),"",IF(ISNUMBER(E244),C244*E244,0))</f>
        <v/>
      </c>
      <c r="G244" s="14"/>
    </row>
    <row r="245" customFormat="false" ht="15" hidden="false" customHeight="false" outlineLevel="0" collapsed="false">
      <c r="A245" s="14"/>
      <c r="B245" s="14"/>
      <c r="C245" s="76"/>
      <c r="D245" s="59" t="str">
        <f aca="false">IF(B245="","",IFERROR(INDEX(식자재단가!$I$4:$I$203,MATCH(B245,식자재단가!$C$4:$C$203,0)),"?"))</f>
        <v/>
      </c>
      <c r="E245" s="77" t="str">
        <f aca="false">IF(B245="","",IFERROR(INDEX(식자재단가!$L$4:$L$203,MATCH(B245,식자재단가!$C$4:$C$203,0)),"품목없음"))</f>
        <v/>
      </c>
      <c r="F245" s="28" t="str">
        <f aca="false">IF(OR(B245="",C245=""),"",IF(ISNUMBER(E245),C245*E245,0))</f>
        <v/>
      </c>
      <c r="G245" s="14"/>
    </row>
    <row r="246" customFormat="false" ht="15" hidden="false" customHeight="false" outlineLevel="0" collapsed="false">
      <c r="A246" s="14"/>
      <c r="B246" s="14"/>
      <c r="C246" s="76"/>
      <c r="D246" s="59" t="str">
        <f aca="false">IF(B246="","",IFERROR(INDEX(식자재단가!$I$4:$I$203,MATCH(B246,식자재단가!$C$4:$C$203,0)),"?"))</f>
        <v/>
      </c>
      <c r="E246" s="77" t="str">
        <f aca="false">IF(B246="","",IFERROR(INDEX(식자재단가!$L$4:$L$203,MATCH(B246,식자재단가!$C$4:$C$203,0)),"품목없음"))</f>
        <v/>
      </c>
      <c r="F246" s="28" t="str">
        <f aca="false">IF(OR(B246="",C246=""),"",IF(ISNUMBER(E246),C246*E246,0))</f>
        <v/>
      </c>
      <c r="G246" s="14"/>
    </row>
    <row r="247" customFormat="false" ht="15" hidden="false" customHeight="false" outlineLevel="0" collapsed="false">
      <c r="A247" s="14"/>
      <c r="B247" s="14"/>
      <c r="C247" s="76"/>
      <c r="D247" s="59" t="str">
        <f aca="false">IF(B247="","",IFERROR(INDEX(식자재단가!$I$4:$I$203,MATCH(B247,식자재단가!$C$4:$C$203,0)),"?"))</f>
        <v/>
      </c>
      <c r="E247" s="77" t="str">
        <f aca="false">IF(B247="","",IFERROR(INDEX(식자재단가!$L$4:$L$203,MATCH(B247,식자재단가!$C$4:$C$203,0)),"품목없음"))</f>
        <v/>
      </c>
      <c r="F247" s="28" t="str">
        <f aca="false">IF(OR(B247="",C247=""),"",IF(ISNUMBER(E247),C247*E247,0))</f>
        <v/>
      </c>
      <c r="G247" s="14"/>
    </row>
    <row r="248" customFormat="false" ht="15" hidden="false" customHeight="false" outlineLevel="0" collapsed="false">
      <c r="A248" s="14"/>
      <c r="B248" s="14"/>
      <c r="C248" s="76"/>
      <c r="D248" s="59" t="str">
        <f aca="false">IF(B248="","",IFERROR(INDEX(식자재단가!$I$4:$I$203,MATCH(B248,식자재단가!$C$4:$C$203,0)),"?"))</f>
        <v/>
      </c>
      <c r="E248" s="77" t="str">
        <f aca="false">IF(B248="","",IFERROR(INDEX(식자재단가!$L$4:$L$203,MATCH(B248,식자재단가!$C$4:$C$203,0)),"품목없음"))</f>
        <v/>
      </c>
      <c r="F248" s="28" t="str">
        <f aca="false">IF(OR(B248="",C248=""),"",IF(ISNUMBER(E248),C248*E248,0))</f>
        <v/>
      </c>
      <c r="G248" s="14"/>
    </row>
    <row r="249" customFormat="false" ht="15" hidden="false" customHeight="false" outlineLevel="0" collapsed="false">
      <c r="A249" s="14"/>
      <c r="B249" s="14"/>
      <c r="C249" s="76"/>
      <c r="D249" s="59" t="str">
        <f aca="false">IF(B249="","",IFERROR(INDEX(식자재단가!$I$4:$I$203,MATCH(B249,식자재단가!$C$4:$C$203,0)),"?"))</f>
        <v/>
      </c>
      <c r="E249" s="77" t="str">
        <f aca="false">IF(B249="","",IFERROR(INDEX(식자재단가!$L$4:$L$203,MATCH(B249,식자재단가!$C$4:$C$203,0)),"품목없음"))</f>
        <v/>
      </c>
      <c r="F249" s="28" t="str">
        <f aca="false">IF(OR(B249="",C249=""),"",IF(ISNUMBER(E249),C249*E249,0))</f>
        <v/>
      </c>
      <c r="G249" s="14"/>
    </row>
    <row r="250" customFormat="false" ht="15" hidden="false" customHeight="false" outlineLevel="0" collapsed="false">
      <c r="A250" s="14"/>
      <c r="B250" s="14"/>
      <c r="C250" s="76"/>
      <c r="D250" s="59" t="str">
        <f aca="false">IF(B250="","",IFERROR(INDEX(식자재단가!$I$4:$I$203,MATCH(B250,식자재단가!$C$4:$C$203,0)),"?"))</f>
        <v/>
      </c>
      <c r="E250" s="77" t="str">
        <f aca="false">IF(B250="","",IFERROR(INDEX(식자재단가!$L$4:$L$203,MATCH(B250,식자재단가!$C$4:$C$203,0)),"품목없음"))</f>
        <v/>
      </c>
      <c r="F250" s="28" t="str">
        <f aca="false">IF(OR(B250="",C250=""),"",IF(ISNUMBER(E250),C250*E250,0))</f>
        <v/>
      </c>
      <c r="G250" s="14"/>
    </row>
    <row r="251" customFormat="false" ht="15" hidden="false" customHeight="false" outlineLevel="0" collapsed="false">
      <c r="A251" s="14"/>
      <c r="B251" s="14"/>
      <c r="C251" s="76"/>
      <c r="D251" s="59" t="str">
        <f aca="false">IF(B251="","",IFERROR(INDEX(식자재단가!$I$4:$I$203,MATCH(B251,식자재단가!$C$4:$C$203,0)),"?"))</f>
        <v/>
      </c>
      <c r="E251" s="77" t="str">
        <f aca="false">IF(B251="","",IFERROR(INDEX(식자재단가!$L$4:$L$203,MATCH(B251,식자재단가!$C$4:$C$203,0)),"품목없음"))</f>
        <v/>
      </c>
      <c r="F251" s="28" t="str">
        <f aca="false">IF(OR(B251="",C251=""),"",IF(ISNUMBER(E251),C251*E251,0))</f>
        <v/>
      </c>
      <c r="G251" s="14"/>
    </row>
    <row r="252" customFormat="false" ht="15" hidden="false" customHeight="false" outlineLevel="0" collapsed="false">
      <c r="A252" s="14"/>
      <c r="B252" s="14"/>
      <c r="C252" s="76"/>
      <c r="D252" s="59" t="str">
        <f aca="false">IF(B252="","",IFERROR(INDEX(식자재단가!$I$4:$I$203,MATCH(B252,식자재단가!$C$4:$C$203,0)),"?"))</f>
        <v/>
      </c>
      <c r="E252" s="77" t="str">
        <f aca="false">IF(B252="","",IFERROR(INDEX(식자재단가!$L$4:$L$203,MATCH(B252,식자재단가!$C$4:$C$203,0)),"품목없음"))</f>
        <v/>
      </c>
      <c r="F252" s="28" t="str">
        <f aca="false">IF(OR(B252="",C252=""),"",IF(ISNUMBER(E252),C252*E252,0))</f>
        <v/>
      </c>
      <c r="G252" s="14"/>
    </row>
    <row r="253" customFormat="false" ht="15" hidden="false" customHeight="false" outlineLevel="0" collapsed="false">
      <c r="A253" s="14"/>
      <c r="B253" s="14"/>
      <c r="C253" s="76"/>
      <c r="D253" s="59" t="str">
        <f aca="false">IF(B253="","",IFERROR(INDEX(식자재단가!$I$4:$I$203,MATCH(B253,식자재단가!$C$4:$C$203,0)),"?"))</f>
        <v/>
      </c>
      <c r="E253" s="77" t="str">
        <f aca="false">IF(B253="","",IFERROR(INDEX(식자재단가!$L$4:$L$203,MATCH(B253,식자재단가!$C$4:$C$203,0)),"품목없음"))</f>
        <v/>
      </c>
      <c r="F253" s="28" t="str">
        <f aca="false">IF(OR(B253="",C253=""),"",IF(ISNUMBER(E253),C253*E253,0))</f>
        <v/>
      </c>
      <c r="G253" s="14"/>
    </row>
    <row r="254" customFormat="false" ht="15" hidden="false" customHeight="false" outlineLevel="0" collapsed="false">
      <c r="A254" s="14"/>
      <c r="B254" s="14"/>
      <c r="C254" s="76"/>
      <c r="D254" s="59" t="str">
        <f aca="false">IF(B254="","",IFERROR(INDEX(식자재단가!$I$4:$I$203,MATCH(B254,식자재단가!$C$4:$C$203,0)),"?"))</f>
        <v/>
      </c>
      <c r="E254" s="77" t="str">
        <f aca="false">IF(B254="","",IFERROR(INDEX(식자재단가!$L$4:$L$203,MATCH(B254,식자재단가!$C$4:$C$203,0)),"품목없음"))</f>
        <v/>
      </c>
      <c r="F254" s="28" t="str">
        <f aca="false">IF(OR(B254="",C254=""),"",IF(ISNUMBER(E254),C254*E254,0))</f>
        <v/>
      </c>
      <c r="G254" s="14"/>
    </row>
    <row r="255" customFormat="false" ht="15" hidden="false" customHeight="false" outlineLevel="0" collapsed="false">
      <c r="A255" s="14"/>
      <c r="B255" s="14"/>
      <c r="C255" s="76"/>
      <c r="D255" s="59" t="str">
        <f aca="false">IF(B255="","",IFERROR(INDEX(식자재단가!$I$4:$I$203,MATCH(B255,식자재단가!$C$4:$C$203,0)),"?"))</f>
        <v/>
      </c>
      <c r="E255" s="77" t="str">
        <f aca="false">IF(B255="","",IFERROR(INDEX(식자재단가!$L$4:$L$203,MATCH(B255,식자재단가!$C$4:$C$203,0)),"품목없음"))</f>
        <v/>
      </c>
      <c r="F255" s="28" t="str">
        <f aca="false">IF(OR(B255="",C255=""),"",IF(ISNUMBER(E255),C255*E255,0))</f>
        <v/>
      </c>
      <c r="G255" s="14"/>
    </row>
    <row r="256" customFormat="false" ht="15" hidden="false" customHeight="false" outlineLevel="0" collapsed="false">
      <c r="A256" s="14"/>
      <c r="B256" s="14"/>
      <c r="C256" s="76"/>
      <c r="D256" s="59" t="str">
        <f aca="false">IF(B256="","",IFERROR(INDEX(식자재단가!$I$4:$I$203,MATCH(B256,식자재단가!$C$4:$C$203,0)),"?"))</f>
        <v/>
      </c>
      <c r="E256" s="77" t="str">
        <f aca="false">IF(B256="","",IFERROR(INDEX(식자재단가!$L$4:$L$203,MATCH(B256,식자재단가!$C$4:$C$203,0)),"품목없음"))</f>
        <v/>
      </c>
      <c r="F256" s="28" t="str">
        <f aca="false">IF(OR(B256="",C256=""),"",IF(ISNUMBER(E256),C256*E256,0))</f>
        <v/>
      </c>
      <c r="G256" s="14"/>
    </row>
    <row r="257" customFormat="false" ht="15" hidden="false" customHeight="false" outlineLevel="0" collapsed="false">
      <c r="A257" s="14"/>
      <c r="B257" s="14"/>
      <c r="C257" s="76"/>
      <c r="D257" s="59" t="str">
        <f aca="false">IF(B257="","",IFERROR(INDEX(식자재단가!$I$4:$I$203,MATCH(B257,식자재단가!$C$4:$C$203,0)),"?"))</f>
        <v/>
      </c>
      <c r="E257" s="77" t="str">
        <f aca="false">IF(B257="","",IFERROR(INDEX(식자재단가!$L$4:$L$203,MATCH(B257,식자재단가!$C$4:$C$203,0)),"품목없음"))</f>
        <v/>
      </c>
      <c r="F257" s="28" t="str">
        <f aca="false">IF(OR(B257="",C257=""),"",IF(ISNUMBER(E257),C257*E257,0))</f>
        <v/>
      </c>
      <c r="G257" s="14"/>
    </row>
    <row r="258" customFormat="false" ht="15" hidden="false" customHeight="false" outlineLevel="0" collapsed="false">
      <c r="A258" s="14"/>
      <c r="B258" s="14"/>
      <c r="C258" s="76"/>
      <c r="D258" s="59" t="str">
        <f aca="false">IF(B258="","",IFERROR(INDEX(식자재단가!$I$4:$I$203,MATCH(B258,식자재단가!$C$4:$C$203,0)),"?"))</f>
        <v/>
      </c>
      <c r="E258" s="77" t="str">
        <f aca="false">IF(B258="","",IFERROR(INDEX(식자재단가!$L$4:$L$203,MATCH(B258,식자재단가!$C$4:$C$203,0)),"품목없음"))</f>
        <v/>
      </c>
      <c r="F258" s="28" t="str">
        <f aca="false">IF(OR(B258="",C258=""),"",IF(ISNUMBER(E258),C258*E258,0))</f>
        <v/>
      </c>
      <c r="G258" s="14"/>
    </row>
    <row r="259" customFormat="false" ht="15" hidden="false" customHeight="false" outlineLevel="0" collapsed="false">
      <c r="A259" s="14"/>
      <c r="B259" s="14"/>
      <c r="C259" s="76"/>
      <c r="D259" s="59" t="str">
        <f aca="false">IF(B259="","",IFERROR(INDEX(식자재단가!$I$4:$I$203,MATCH(B259,식자재단가!$C$4:$C$203,0)),"?"))</f>
        <v/>
      </c>
      <c r="E259" s="77" t="str">
        <f aca="false">IF(B259="","",IFERROR(INDEX(식자재단가!$L$4:$L$203,MATCH(B259,식자재단가!$C$4:$C$203,0)),"품목없음"))</f>
        <v/>
      </c>
      <c r="F259" s="28" t="str">
        <f aca="false">IF(OR(B259="",C259=""),"",IF(ISNUMBER(E259),C259*E259,0))</f>
        <v/>
      </c>
      <c r="G259" s="14"/>
    </row>
    <row r="260" customFormat="false" ht="15" hidden="false" customHeight="false" outlineLevel="0" collapsed="false">
      <c r="A260" s="14"/>
      <c r="B260" s="14"/>
      <c r="C260" s="76"/>
      <c r="D260" s="59" t="str">
        <f aca="false">IF(B260="","",IFERROR(INDEX(식자재단가!$I$4:$I$203,MATCH(B260,식자재단가!$C$4:$C$203,0)),"?"))</f>
        <v/>
      </c>
      <c r="E260" s="77" t="str">
        <f aca="false">IF(B260="","",IFERROR(INDEX(식자재단가!$L$4:$L$203,MATCH(B260,식자재단가!$C$4:$C$203,0)),"품목없음"))</f>
        <v/>
      </c>
      <c r="F260" s="28" t="str">
        <f aca="false">IF(OR(B260="",C260=""),"",IF(ISNUMBER(E260),C260*E260,0))</f>
        <v/>
      </c>
      <c r="G260" s="14"/>
    </row>
    <row r="261" customFormat="false" ht="15" hidden="false" customHeight="false" outlineLevel="0" collapsed="false">
      <c r="A261" s="14"/>
      <c r="B261" s="14"/>
      <c r="C261" s="76"/>
      <c r="D261" s="59" t="str">
        <f aca="false">IF(B261="","",IFERROR(INDEX(식자재단가!$I$4:$I$203,MATCH(B261,식자재단가!$C$4:$C$203,0)),"?"))</f>
        <v/>
      </c>
      <c r="E261" s="77" t="str">
        <f aca="false">IF(B261="","",IFERROR(INDEX(식자재단가!$L$4:$L$203,MATCH(B261,식자재단가!$C$4:$C$203,0)),"품목없음"))</f>
        <v/>
      </c>
      <c r="F261" s="28" t="str">
        <f aca="false">IF(OR(B261="",C261=""),"",IF(ISNUMBER(E261),C261*E261,0))</f>
        <v/>
      </c>
      <c r="G261" s="14"/>
    </row>
    <row r="262" customFormat="false" ht="15" hidden="false" customHeight="false" outlineLevel="0" collapsed="false">
      <c r="A262" s="14"/>
      <c r="B262" s="14"/>
      <c r="C262" s="76"/>
      <c r="D262" s="59" t="str">
        <f aca="false">IF(B262="","",IFERROR(INDEX(식자재단가!$I$4:$I$203,MATCH(B262,식자재단가!$C$4:$C$203,0)),"?"))</f>
        <v/>
      </c>
      <c r="E262" s="77" t="str">
        <f aca="false">IF(B262="","",IFERROR(INDEX(식자재단가!$L$4:$L$203,MATCH(B262,식자재단가!$C$4:$C$203,0)),"품목없음"))</f>
        <v/>
      </c>
      <c r="F262" s="28" t="str">
        <f aca="false">IF(OR(B262="",C262=""),"",IF(ISNUMBER(E262),C262*E262,0))</f>
        <v/>
      </c>
      <c r="G262" s="14"/>
    </row>
    <row r="263" customFormat="false" ht="15" hidden="false" customHeight="false" outlineLevel="0" collapsed="false">
      <c r="A263" s="14"/>
      <c r="B263" s="14"/>
      <c r="C263" s="76"/>
      <c r="D263" s="59" t="str">
        <f aca="false">IF(B263="","",IFERROR(INDEX(식자재단가!$I$4:$I$203,MATCH(B263,식자재단가!$C$4:$C$203,0)),"?"))</f>
        <v/>
      </c>
      <c r="E263" s="77" t="str">
        <f aca="false">IF(B263="","",IFERROR(INDEX(식자재단가!$L$4:$L$203,MATCH(B263,식자재단가!$C$4:$C$203,0)),"품목없음"))</f>
        <v/>
      </c>
      <c r="F263" s="28" t="str">
        <f aca="false">IF(OR(B263="",C263=""),"",IF(ISNUMBER(E263),C263*E263,0))</f>
        <v/>
      </c>
      <c r="G263" s="14"/>
    </row>
    <row r="264" customFormat="false" ht="15" hidden="false" customHeight="false" outlineLevel="0" collapsed="false">
      <c r="A264" s="14"/>
      <c r="B264" s="14"/>
      <c r="C264" s="76"/>
      <c r="D264" s="59" t="str">
        <f aca="false">IF(B264="","",IFERROR(INDEX(식자재단가!$I$4:$I$203,MATCH(B264,식자재단가!$C$4:$C$203,0)),"?"))</f>
        <v/>
      </c>
      <c r="E264" s="77" t="str">
        <f aca="false">IF(B264="","",IFERROR(INDEX(식자재단가!$L$4:$L$203,MATCH(B264,식자재단가!$C$4:$C$203,0)),"품목없음"))</f>
        <v/>
      </c>
      <c r="F264" s="28" t="str">
        <f aca="false">IF(OR(B264="",C264=""),"",IF(ISNUMBER(E264),C264*E264,0))</f>
        <v/>
      </c>
      <c r="G264" s="14"/>
    </row>
    <row r="265" customFormat="false" ht="15" hidden="false" customHeight="false" outlineLevel="0" collapsed="false">
      <c r="A265" s="14"/>
      <c r="B265" s="14"/>
      <c r="C265" s="76"/>
      <c r="D265" s="59" t="str">
        <f aca="false">IF(B265="","",IFERROR(INDEX(식자재단가!$I$4:$I$203,MATCH(B265,식자재단가!$C$4:$C$203,0)),"?"))</f>
        <v/>
      </c>
      <c r="E265" s="77" t="str">
        <f aca="false">IF(B265="","",IFERROR(INDEX(식자재단가!$L$4:$L$203,MATCH(B265,식자재단가!$C$4:$C$203,0)),"품목없음"))</f>
        <v/>
      </c>
      <c r="F265" s="28" t="str">
        <f aca="false">IF(OR(B265="",C265=""),"",IF(ISNUMBER(E265),C265*E265,0))</f>
        <v/>
      </c>
      <c r="G265" s="14"/>
    </row>
    <row r="266" customFormat="false" ht="15" hidden="false" customHeight="false" outlineLevel="0" collapsed="false">
      <c r="A266" s="14"/>
      <c r="B266" s="14"/>
      <c r="C266" s="76"/>
      <c r="D266" s="59" t="str">
        <f aca="false">IF(B266="","",IFERROR(INDEX(식자재단가!$I$4:$I$203,MATCH(B266,식자재단가!$C$4:$C$203,0)),"?"))</f>
        <v/>
      </c>
      <c r="E266" s="77" t="str">
        <f aca="false">IF(B266="","",IFERROR(INDEX(식자재단가!$L$4:$L$203,MATCH(B266,식자재단가!$C$4:$C$203,0)),"품목없음"))</f>
        <v/>
      </c>
      <c r="F266" s="28" t="str">
        <f aca="false">IF(OR(B266="",C266=""),"",IF(ISNUMBER(E266),C266*E266,0))</f>
        <v/>
      </c>
      <c r="G266" s="14"/>
    </row>
    <row r="267" customFormat="false" ht="15" hidden="false" customHeight="false" outlineLevel="0" collapsed="false">
      <c r="A267" s="14"/>
      <c r="B267" s="14"/>
      <c r="C267" s="76"/>
      <c r="D267" s="59" t="str">
        <f aca="false">IF(B267="","",IFERROR(INDEX(식자재단가!$I$4:$I$203,MATCH(B267,식자재단가!$C$4:$C$203,0)),"?"))</f>
        <v/>
      </c>
      <c r="E267" s="77" t="str">
        <f aca="false">IF(B267="","",IFERROR(INDEX(식자재단가!$L$4:$L$203,MATCH(B267,식자재단가!$C$4:$C$203,0)),"품목없음"))</f>
        <v/>
      </c>
      <c r="F267" s="28" t="str">
        <f aca="false">IF(OR(B267="",C267=""),"",IF(ISNUMBER(E267),C267*E267,0))</f>
        <v/>
      </c>
      <c r="G267" s="14"/>
    </row>
    <row r="268" customFormat="false" ht="15" hidden="false" customHeight="false" outlineLevel="0" collapsed="false">
      <c r="A268" s="14"/>
      <c r="B268" s="14"/>
      <c r="C268" s="76"/>
      <c r="D268" s="59" t="str">
        <f aca="false">IF(B268="","",IFERROR(INDEX(식자재단가!$I$4:$I$203,MATCH(B268,식자재단가!$C$4:$C$203,0)),"?"))</f>
        <v/>
      </c>
      <c r="E268" s="77" t="str">
        <f aca="false">IF(B268="","",IFERROR(INDEX(식자재단가!$L$4:$L$203,MATCH(B268,식자재단가!$C$4:$C$203,0)),"품목없음"))</f>
        <v/>
      </c>
      <c r="F268" s="28" t="str">
        <f aca="false">IF(OR(B268="",C268=""),"",IF(ISNUMBER(E268),C268*E268,0))</f>
        <v/>
      </c>
      <c r="G268" s="14"/>
    </row>
    <row r="269" customFormat="false" ht="15" hidden="false" customHeight="false" outlineLevel="0" collapsed="false">
      <c r="A269" s="14"/>
      <c r="B269" s="14"/>
      <c r="C269" s="76"/>
      <c r="D269" s="59" t="str">
        <f aca="false">IF(B269="","",IFERROR(INDEX(식자재단가!$I$4:$I$203,MATCH(B269,식자재단가!$C$4:$C$203,0)),"?"))</f>
        <v/>
      </c>
      <c r="E269" s="77" t="str">
        <f aca="false">IF(B269="","",IFERROR(INDEX(식자재단가!$L$4:$L$203,MATCH(B269,식자재단가!$C$4:$C$203,0)),"품목없음"))</f>
        <v/>
      </c>
      <c r="F269" s="28" t="str">
        <f aca="false">IF(OR(B269="",C269=""),"",IF(ISNUMBER(E269),C269*E269,0))</f>
        <v/>
      </c>
      <c r="G269" s="14"/>
    </row>
    <row r="270" customFormat="false" ht="15" hidden="false" customHeight="false" outlineLevel="0" collapsed="false">
      <c r="A270" s="14"/>
      <c r="B270" s="14"/>
      <c r="C270" s="76"/>
      <c r="D270" s="59" t="str">
        <f aca="false">IF(B270="","",IFERROR(INDEX(식자재단가!$I$4:$I$203,MATCH(B270,식자재단가!$C$4:$C$203,0)),"?"))</f>
        <v/>
      </c>
      <c r="E270" s="77" t="str">
        <f aca="false">IF(B270="","",IFERROR(INDEX(식자재단가!$L$4:$L$203,MATCH(B270,식자재단가!$C$4:$C$203,0)),"품목없음"))</f>
        <v/>
      </c>
      <c r="F270" s="28" t="str">
        <f aca="false">IF(OR(B270="",C270=""),"",IF(ISNUMBER(E270),C270*E270,0))</f>
        <v/>
      </c>
      <c r="G270" s="14"/>
    </row>
    <row r="271" customFormat="false" ht="15" hidden="false" customHeight="false" outlineLevel="0" collapsed="false">
      <c r="A271" s="14"/>
      <c r="B271" s="14"/>
      <c r="C271" s="76"/>
      <c r="D271" s="59" t="str">
        <f aca="false">IF(B271="","",IFERROR(INDEX(식자재단가!$I$4:$I$203,MATCH(B271,식자재단가!$C$4:$C$203,0)),"?"))</f>
        <v/>
      </c>
      <c r="E271" s="77" t="str">
        <f aca="false">IF(B271="","",IFERROR(INDEX(식자재단가!$L$4:$L$203,MATCH(B271,식자재단가!$C$4:$C$203,0)),"품목없음"))</f>
        <v/>
      </c>
      <c r="F271" s="28" t="str">
        <f aca="false">IF(OR(B271="",C271=""),"",IF(ISNUMBER(E271),C271*E271,0))</f>
        <v/>
      </c>
      <c r="G271" s="14"/>
    </row>
    <row r="272" customFormat="false" ht="15" hidden="false" customHeight="false" outlineLevel="0" collapsed="false">
      <c r="A272" s="14"/>
      <c r="B272" s="14"/>
      <c r="C272" s="76"/>
      <c r="D272" s="59" t="str">
        <f aca="false">IF(B272="","",IFERROR(INDEX(식자재단가!$I$4:$I$203,MATCH(B272,식자재단가!$C$4:$C$203,0)),"?"))</f>
        <v/>
      </c>
      <c r="E272" s="77" t="str">
        <f aca="false">IF(B272="","",IFERROR(INDEX(식자재단가!$L$4:$L$203,MATCH(B272,식자재단가!$C$4:$C$203,0)),"품목없음"))</f>
        <v/>
      </c>
      <c r="F272" s="28" t="str">
        <f aca="false">IF(OR(B272="",C272=""),"",IF(ISNUMBER(E272),C272*E272,0))</f>
        <v/>
      </c>
      <c r="G272" s="14"/>
    </row>
    <row r="273" customFormat="false" ht="15" hidden="false" customHeight="false" outlineLevel="0" collapsed="false">
      <c r="A273" s="14"/>
      <c r="B273" s="14"/>
      <c r="C273" s="76"/>
      <c r="D273" s="59" t="str">
        <f aca="false">IF(B273="","",IFERROR(INDEX(식자재단가!$I$4:$I$203,MATCH(B273,식자재단가!$C$4:$C$203,0)),"?"))</f>
        <v/>
      </c>
      <c r="E273" s="77" t="str">
        <f aca="false">IF(B273="","",IFERROR(INDEX(식자재단가!$L$4:$L$203,MATCH(B273,식자재단가!$C$4:$C$203,0)),"품목없음"))</f>
        <v/>
      </c>
      <c r="F273" s="28" t="str">
        <f aca="false">IF(OR(B273="",C273=""),"",IF(ISNUMBER(E273),C273*E273,0))</f>
        <v/>
      </c>
      <c r="G273" s="14"/>
    </row>
    <row r="274" customFormat="false" ht="15" hidden="false" customHeight="false" outlineLevel="0" collapsed="false">
      <c r="A274" s="14"/>
      <c r="B274" s="14"/>
      <c r="C274" s="76"/>
      <c r="D274" s="59" t="str">
        <f aca="false">IF(B274="","",IFERROR(INDEX(식자재단가!$I$4:$I$203,MATCH(B274,식자재단가!$C$4:$C$203,0)),"?"))</f>
        <v/>
      </c>
      <c r="E274" s="77" t="str">
        <f aca="false">IF(B274="","",IFERROR(INDEX(식자재단가!$L$4:$L$203,MATCH(B274,식자재단가!$C$4:$C$203,0)),"품목없음"))</f>
        <v/>
      </c>
      <c r="F274" s="28" t="str">
        <f aca="false">IF(OR(B274="",C274=""),"",IF(ISNUMBER(E274),C274*E274,0))</f>
        <v/>
      </c>
      <c r="G274" s="14"/>
    </row>
    <row r="275" customFormat="false" ht="15" hidden="false" customHeight="false" outlineLevel="0" collapsed="false">
      <c r="A275" s="14"/>
      <c r="B275" s="14"/>
      <c r="C275" s="76"/>
      <c r="D275" s="59" t="str">
        <f aca="false">IF(B275="","",IFERROR(INDEX(식자재단가!$I$4:$I$203,MATCH(B275,식자재단가!$C$4:$C$203,0)),"?"))</f>
        <v/>
      </c>
      <c r="E275" s="77" t="str">
        <f aca="false">IF(B275="","",IFERROR(INDEX(식자재단가!$L$4:$L$203,MATCH(B275,식자재단가!$C$4:$C$203,0)),"품목없음"))</f>
        <v/>
      </c>
      <c r="F275" s="28" t="str">
        <f aca="false">IF(OR(B275="",C275=""),"",IF(ISNUMBER(E275),C275*E275,0))</f>
        <v/>
      </c>
      <c r="G275" s="14"/>
    </row>
    <row r="276" customFormat="false" ht="15" hidden="false" customHeight="false" outlineLevel="0" collapsed="false">
      <c r="A276" s="14"/>
      <c r="B276" s="14"/>
      <c r="C276" s="76"/>
      <c r="D276" s="59" t="str">
        <f aca="false">IF(B276="","",IFERROR(INDEX(식자재단가!$I$4:$I$203,MATCH(B276,식자재단가!$C$4:$C$203,0)),"?"))</f>
        <v/>
      </c>
      <c r="E276" s="77" t="str">
        <f aca="false">IF(B276="","",IFERROR(INDEX(식자재단가!$L$4:$L$203,MATCH(B276,식자재단가!$C$4:$C$203,0)),"품목없음"))</f>
        <v/>
      </c>
      <c r="F276" s="28" t="str">
        <f aca="false">IF(OR(B276="",C276=""),"",IF(ISNUMBER(E276),C276*E276,0))</f>
        <v/>
      </c>
      <c r="G276" s="14"/>
    </row>
    <row r="277" customFormat="false" ht="15" hidden="false" customHeight="false" outlineLevel="0" collapsed="false">
      <c r="A277" s="14"/>
      <c r="B277" s="14"/>
      <c r="C277" s="76"/>
      <c r="D277" s="59" t="str">
        <f aca="false">IF(B277="","",IFERROR(INDEX(식자재단가!$I$4:$I$203,MATCH(B277,식자재단가!$C$4:$C$203,0)),"?"))</f>
        <v/>
      </c>
      <c r="E277" s="77" t="str">
        <f aca="false">IF(B277="","",IFERROR(INDEX(식자재단가!$L$4:$L$203,MATCH(B277,식자재단가!$C$4:$C$203,0)),"품목없음"))</f>
        <v/>
      </c>
      <c r="F277" s="28" t="str">
        <f aca="false">IF(OR(B277="",C277=""),"",IF(ISNUMBER(E277),C277*E277,0))</f>
        <v/>
      </c>
      <c r="G277" s="14"/>
    </row>
    <row r="278" customFormat="false" ht="15" hidden="false" customHeight="false" outlineLevel="0" collapsed="false">
      <c r="A278" s="14"/>
      <c r="B278" s="14"/>
      <c r="C278" s="76"/>
      <c r="D278" s="59" t="str">
        <f aca="false">IF(B278="","",IFERROR(INDEX(식자재단가!$I$4:$I$203,MATCH(B278,식자재단가!$C$4:$C$203,0)),"?"))</f>
        <v/>
      </c>
      <c r="E278" s="77" t="str">
        <f aca="false">IF(B278="","",IFERROR(INDEX(식자재단가!$L$4:$L$203,MATCH(B278,식자재단가!$C$4:$C$203,0)),"품목없음"))</f>
        <v/>
      </c>
      <c r="F278" s="28" t="str">
        <f aca="false">IF(OR(B278="",C278=""),"",IF(ISNUMBER(E278),C278*E278,0))</f>
        <v/>
      </c>
      <c r="G278" s="14"/>
    </row>
    <row r="279" customFormat="false" ht="15" hidden="false" customHeight="false" outlineLevel="0" collapsed="false">
      <c r="A279" s="14"/>
      <c r="B279" s="14"/>
      <c r="C279" s="76"/>
      <c r="D279" s="59" t="str">
        <f aca="false">IF(B279="","",IFERROR(INDEX(식자재단가!$I$4:$I$203,MATCH(B279,식자재단가!$C$4:$C$203,0)),"?"))</f>
        <v/>
      </c>
      <c r="E279" s="77" t="str">
        <f aca="false">IF(B279="","",IFERROR(INDEX(식자재단가!$L$4:$L$203,MATCH(B279,식자재단가!$C$4:$C$203,0)),"품목없음"))</f>
        <v/>
      </c>
      <c r="F279" s="28" t="str">
        <f aca="false">IF(OR(B279="",C279=""),"",IF(ISNUMBER(E279),C279*E279,0))</f>
        <v/>
      </c>
      <c r="G279" s="14"/>
    </row>
    <row r="280" customFormat="false" ht="15" hidden="false" customHeight="false" outlineLevel="0" collapsed="false">
      <c r="A280" s="14"/>
      <c r="B280" s="14"/>
      <c r="C280" s="76"/>
      <c r="D280" s="59" t="str">
        <f aca="false">IF(B280="","",IFERROR(INDEX(식자재단가!$I$4:$I$203,MATCH(B280,식자재단가!$C$4:$C$203,0)),"?"))</f>
        <v/>
      </c>
      <c r="E280" s="77" t="str">
        <f aca="false">IF(B280="","",IFERROR(INDEX(식자재단가!$L$4:$L$203,MATCH(B280,식자재단가!$C$4:$C$203,0)),"품목없음"))</f>
        <v/>
      </c>
      <c r="F280" s="28" t="str">
        <f aca="false">IF(OR(B280="",C280=""),"",IF(ISNUMBER(E280),C280*E280,0))</f>
        <v/>
      </c>
      <c r="G280" s="14"/>
    </row>
    <row r="281" customFormat="false" ht="15" hidden="false" customHeight="false" outlineLevel="0" collapsed="false">
      <c r="A281" s="14"/>
      <c r="B281" s="14"/>
      <c r="C281" s="76"/>
      <c r="D281" s="59" t="str">
        <f aca="false">IF(B281="","",IFERROR(INDEX(식자재단가!$I$4:$I$203,MATCH(B281,식자재단가!$C$4:$C$203,0)),"?"))</f>
        <v/>
      </c>
      <c r="E281" s="77" t="str">
        <f aca="false">IF(B281="","",IFERROR(INDEX(식자재단가!$L$4:$L$203,MATCH(B281,식자재단가!$C$4:$C$203,0)),"품목없음"))</f>
        <v/>
      </c>
      <c r="F281" s="28" t="str">
        <f aca="false">IF(OR(B281="",C281=""),"",IF(ISNUMBER(E281),C281*E281,0))</f>
        <v/>
      </c>
      <c r="G281" s="14"/>
    </row>
    <row r="282" customFormat="false" ht="15" hidden="false" customHeight="false" outlineLevel="0" collapsed="false">
      <c r="A282" s="14"/>
      <c r="B282" s="14"/>
      <c r="C282" s="76"/>
      <c r="D282" s="59" t="str">
        <f aca="false">IF(B282="","",IFERROR(INDEX(식자재단가!$I$4:$I$203,MATCH(B282,식자재단가!$C$4:$C$203,0)),"?"))</f>
        <v/>
      </c>
      <c r="E282" s="77" t="str">
        <f aca="false">IF(B282="","",IFERROR(INDEX(식자재단가!$L$4:$L$203,MATCH(B282,식자재단가!$C$4:$C$203,0)),"품목없음"))</f>
        <v/>
      </c>
      <c r="F282" s="28" t="str">
        <f aca="false">IF(OR(B282="",C282=""),"",IF(ISNUMBER(E282),C282*E282,0))</f>
        <v/>
      </c>
      <c r="G282" s="14"/>
    </row>
    <row r="283" customFormat="false" ht="15" hidden="false" customHeight="false" outlineLevel="0" collapsed="false">
      <c r="A283" s="14"/>
      <c r="B283" s="14"/>
      <c r="C283" s="76"/>
      <c r="D283" s="59" t="str">
        <f aca="false">IF(B283="","",IFERROR(INDEX(식자재단가!$I$4:$I$203,MATCH(B283,식자재단가!$C$4:$C$203,0)),"?"))</f>
        <v/>
      </c>
      <c r="E283" s="77" t="str">
        <f aca="false">IF(B283="","",IFERROR(INDEX(식자재단가!$L$4:$L$203,MATCH(B283,식자재단가!$C$4:$C$203,0)),"품목없음"))</f>
        <v/>
      </c>
      <c r="F283" s="28" t="str">
        <f aca="false">IF(OR(B283="",C283=""),"",IF(ISNUMBER(E283),C283*E283,0))</f>
        <v/>
      </c>
      <c r="G283" s="14"/>
    </row>
    <row r="284" customFormat="false" ht="15" hidden="false" customHeight="false" outlineLevel="0" collapsed="false">
      <c r="A284" s="14"/>
      <c r="B284" s="14"/>
      <c r="C284" s="76"/>
      <c r="D284" s="59" t="str">
        <f aca="false">IF(B284="","",IFERROR(INDEX(식자재단가!$I$4:$I$203,MATCH(B284,식자재단가!$C$4:$C$203,0)),"?"))</f>
        <v/>
      </c>
      <c r="E284" s="77" t="str">
        <f aca="false">IF(B284="","",IFERROR(INDEX(식자재단가!$L$4:$L$203,MATCH(B284,식자재단가!$C$4:$C$203,0)),"품목없음"))</f>
        <v/>
      </c>
      <c r="F284" s="28" t="str">
        <f aca="false">IF(OR(B284="",C284=""),"",IF(ISNUMBER(E284),C284*E284,0))</f>
        <v/>
      </c>
      <c r="G284" s="14"/>
    </row>
    <row r="285" customFormat="false" ht="15" hidden="false" customHeight="false" outlineLevel="0" collapsed="false">
      <c r="A285" s="14"/>
      <c r="B285" s="14"/>
      <c r="C285" s="76"/>
      <c r="D285" s="59" t="str">
        <f aca="false">IF(B285="","",IFERROR(INDEX(식자재단가!$I$4:$I$203,MATCH(B285,식자재단가!$C$4:$C$203,0)),"?"))</f>
        <v/>
      </c>
      <c r="E285" s="77" t="str">
        <f aca="false">IF(B285="","",IFERROR(INDEX(식자재단가!$L$4:$L$203,MATCH(B285,식자재단가!$C$4:$C$203,0)),"품목없음"))</f>
        <v/>
      </c>
      <c r="F285" s="28" t="str">
        <f aca="false">IF(OR(B285="",C285=""),"",IF(ISNUMBER(E285),C285*E285,0))</f>
        <v/>
      </c>
      <c r="G285" s="14"/>
    </row>
    <row r="286" customFormat="false" ht="15" hidden="false" customHeight="false" outlineLevel="0" collapsed="false">
      <c r="A286" s="14"/>
      <c r="B286" s="14"/>
      <c r="C286" s="76"/>
      <c r="D286" s="59" t="str">
        <f aca="false">IF(B286="","",IFERROR(INDEX(식자재단가!$I$4:$I$203,MATCH(B286,식자재단가!$C$4:$C$203,0)),"?"))</f>
        <v/>
      </c>
      <c r="E286" s="77" t="str">
        <f aca="false">IF(B286="","",IFERROR(INDEX(식자재단가!$L$4:$L$203,MATCH(B286,식자재단가!$C$4:$C$203,0)),"품목없음"))</f>
        <v/>
      </c>
      <c r="F286" s="28" t="str">
        <f aca="false">IF(OR(B286="",C286=""),"",IF(ISNUMBER(E286),C286*E286,0))</f>
        <v/>
      </c>
      <c r="G286" s="14"/>
    </row>
    <row r="287" customFormat="false" ht="15" hidden="false" customHeight="false" outlineLevel="0" collapsed="false">
      <c r="A287" s="14"/>
      <c r="B287" s="14"/>
      <c r="C287" s="76"/>
      <c r="D287" s="59" t="str">
        <f aca="false">IF(B287="","",IFERROR(INDEX(식자재단가!$I$4:$I$203,MATCH(B287,식자재단가!$C$4:$C$203,0)),"?"))</f>
        <v/>
      </c>
      <c r="E287" s="77" t="str">
        <f aca="false">IF(B287="","",IFERROR(INDEX(식자재단가!$L$4:$L$203,MATCH(B287,식자재단가!$C$4:$C$203,0)),"품목없음"))</f>
        <v/>
      </c>
      <c r="F287" s="28" t="str">
        <f aca="false">IF(OR(B287="",C287=""),"",IF(ISNUMBER(E287),C287*E287,0))</f>
        <v/>
      </c>
      <c r="G287" s="14"/>
    </row>
    <row r="288" customFormat="false" ht="15" hidden="false" customHeight="false" outlineLevel="0" collapsed="false">
      <c r="A288" s="14"/>
      <c r="B288" s="14"/>
      <c r="C288" s="76"/>
      <c r="D288" s="59" t="str">
        <f aca="false">IF(B288="","",IFERROR(INDEX(식자재단가!$I$4:$I$203,MATCH(B288,식자재단가!$C$4:$C$203,0)),"?"))</f>
        <v/>
      </c>
      <c r="E288" s="77" t="str">
        <f aca="false">IF(B288="","",IFERROR(INDEX(식자재단가!$L$4:$L$203,MATCH(B288,식자재단가!$C$4:$C$203,0)),"품목없음"))</f>
        <v/>
      </c>
      <c r="F288" s="28" t="str">
        <f aca="false">IF(OR(B288="",C288=""),"",IF(ISNUMBER(E288),C288*E288,0))</f>
        <v/>
      </c>
      <c r="G288" s="14"/>
    </row>
    <row r="289" customFormat="false" ht="15" hidden="false" customHeight="false" outlineLevel="0" collapsed="false">
      <c r="A289" s="14"/>
      <c r="B289" s="14"/>
      <c r="C289" s="76"/>
      <c r="D289" s="59" t="str">
        <f aca="false">IF(B289="","",IFERROR(INDEX(식자재단가!$I$4:$I$203,MATCH(B289,식자재단가!$C$4:$C$203,0)),"?"))</f>
        <v/>
      </c>
      <c r="E289" s="77" t="str">
        <f aca="false">IF(B289="","",IFERROR(INDEX(식자재단가!$L$4:$L$203,MATCH(B289,식자재단가!$C$4:$C$203,0)),"품목없음"))</f>
        <v/>
      </c>
      <c r="F289" s="28" t="str">
        <f aca="false">IF(OR(B289="",C289=""),"",IF(ISNUMBER(E289),C289*E289,0))</f>
        <v/>
      </c>
      <c r="G289" s="14"/>
    </row>
    <row r="290" customFormat="false" ht="15" hidden="false" customHeight="false" outlineLevel="0" collapsed="false">
      <c r="A290" s="14"/>
      <c r="B290" s="14"/>
      <c r="C290" s="76"/>
      <c r="D290" s="59" t="str">
        <f aca="false">IF(B290="","",IFERROR(INDEX(식자재단가!$I$4:$I$203,MATCH(B290,식자재단가!$C$4:$C$203,0)),"?"))</f>
        <v/>
      </c>
      <c r="E290" s="77" t="str">
        <f aca="false">IF(B290="","",IFERROR(INDEX(식자재단가!$L$4:$L$203,MATCH(B290,식자재단가!$C$4:$C$203,0)),"품목없음"))</f>
        <v/>
      </c>
      <c r="F290" s="28" t="str">
        <f aca="false">IF(OR(B290="",C290=""),"",IF(ISNUMBER(E290),C290*E290,0))</f>
        <v/>
      </c>
      <c r="G290" s="14"/>
    </row>
    <row r="291" customFormat="false" ht="15" hidden="false" customHeight="false" outlineLevel="0" collapsed="false">
      <c r="A291" s="14"/>
      <c r="B291" s="14"/>
      <c r="C291" s="76"/>
      <c r="D291" s="59" t="str">
        <f aca="false">IF(B291="","",IFERROR(INDEX(식자재단가!$I$4:$I$203,MATCH(B291,식자재단가!$C$4:$C$203,0)),"?"))</f>
        <v/>
      </c>
      <c r="E291" s="77" t="str">
        <f aca="false">IF(B291="","",IFERROR(INDEX(식자재단가!$L$4:$L$203,MATCH(B291,식자재단가!$C$4:$C$203,0)),"품목없음"))</f>
        <v/>
      </c>
      <c r="F291" s="28" t="str">
        <f aca="false">IF(OR(B291="",C291=""),"",IF(ISNUMBER(E291),C291*E291,0))</f>
        <v/>
      </c>
      <c r="G291" s="14"/>
    </row>
    <row r="292" customFormat="false" ht="15" hidden="false" customHeight="false" outlineLevel="0" collapsed="false">
      <c r="A292" s="14"/>
      <c r="B292" s="14"/>
      <c r="C292" s="76"/>
      <c r="D292" s="59" t="str">
        <f aca="false">IF(B292="","",IFERROR(INDEX(식자재단가!$I$4:$I$203,MATCH(B292,식자재단가!$C$4:$C$203,0)),"?"))</f>
        <v/>
      </c>
      <c r="E292" s="77" t="str">
        <f aca="false">IF(B292="","",IFERROR(INDEX(식자재단가!$L$4:$L$203,MATCH(B292,식자재단가!$C$4:$C$203,0)),"품목없음"))</f>
        <v/>
      </c>
      <c r="F292" s="28" t="str">
        <f aca="false">IF(OR(B292="",C292=""),"",IF(ISNUMBER(E292),C292*E292,0))</f>
        <v/>
      </c>
      <c r="G292" s="14"/>
    </row>
    <row r="293" customFormat="false" ht="15" hidden="false" customHeight="false" outlineLevel="0" collapsed="false">
      <c r="A293" s="14"/>
      <c r="B293" s="14"/>
      <c r="C293" s="76"/>
      <c r="D293" s="59" t="str">
        <f aca="false">IF(B293="","",IFERROR(INDEX(식자재단가!$I$4:$I$203,MATCH(B293,식자재단가!$C$4:$C$203,0)),"?"))</f>
        <v/>
      </c>
      <c r="E293" s="77" t="str">
        <f aca="false">IF(B293="","",IFERROR(INDEX(식자재단가!$L$4:$L$203,MATCH(B293,식자재단가!$C$4:$C$203,0)),"품목없음"))</f>
        <v/>
      </c>
      <c r="F293" s="28" t="str">
        <f aca="false">IF(OR(B293="",C293=""),"",IF(ISNUMBER(E293),C293*E293,0))</f>
        <v/>
      </c>
      <c r="G293" s="14"/>
    </row>
    <row r="294" customFormat="false" ht="15" hidden="false" customHeight="false" outlineLevel="0" collapsed="false">
      <c r="A294" s="14"/>
      <c r="B294" s="14"/>
      <c r="C294" s="76"/>
      <c r="D294" s="59" t="str">
        <f aca="false">IF(B294="","",IFERROR(INDEX(식자재단가!$I$4:$I$203,MATCH(B294,식자재단가!$C$4:$C$203,0)),"?"))</f>
        <v/>
      </c>
      <c r="E294" s="77" t="str">
        <f aca="false">IF(B294="","",IFERROR(INDEX(식자재단가!$L$4:$L$203,MATCH(B294,식자재단가!$C$4:$C$203,0)),"품목없음"))</f>
        <v/>
      </c>
      <c r="F294" s="28" t="str">
        <f aca="false">IF(OR(B294="",C294=""),"",IF(ISNUMBER(E294),C294*E294,0))</f>
        <v/>
      </c>
      <c r="G294" s="14"/>
    </row>
    <row r="295" customFormat="false" ht="15" hidden="false" customHeight="false" outlineLevel="0" collapsed="false">
      <c r="A295" s="14"/>
      <c r="B295" s="14"/>
      <c r="C295" s="76"/>
      <c r="D295" s="59" t="str">
        <f aca="false">IF(B295="","",IFERROR(INDEX(식자재단가!$I$4:$I$203,MATCH(B295,식자재단가!$C$4:$C$203,0)),"?"))</f>
        <v/>
      </c>
      <c r="E295" s="77" t="str">
        <f aca="false">IF(B295="","",IFERROR(INDEX(식자재단가!$L$4:$L$203,MATCH(B295,식자재단가!$C$4:$C$203,0)),"품목없음"))</f>
        <v/>
      </c>
      <c r="F295" s="28" t="str">
        <f aca="false">IF(OR(B295="",C295=""),"",IF(ISNUMBER(E295),C295*E295,0))</f>
        <v/>
      </c>
      <c r="G295" s="14"/>
    </row>
    <row r="296" customFormat="false" ht="15" hidden="false" customHeight="false" outlineLevel="0" collapsed="false">
      <c r="A296" s="14"/>
      <c r="B296" s="14"/>
      <c r="C296" s="76"/>
      <c r="D296" s="59" t="str">
        <f aca="false">IF(B296="","",IFERROR(INDEX(식자재단가!$I$4:$I$203,MATCH(B296,식자재단가!$C$4:$C$203,0)),"?"))</f>
        <v/>
      </c>
      <c r="E296" s="77" t="str">
        <f aca="false">IF(B296="","",IFERROR(INDEX(식자재단가!$L$4:$L$203,MATCH(B296,식자재단가!$C$4:$C$203,0)),"품목없음"))</f>
        <v/>
      </c>
      <c r="F296" s="28" t="str">
        <f aca="false">IF(OR(B296="",C296=""),"",IF(ISNUMBER(E296),C296*E296,0))</f>
        <v/>
      </c>
      <c r="G296" s="14"/>
    </row>
    <row r="297" customFormat="false" ht="15" hidden="false" customHeight="false" outlineLevel="0" collapsed="false">
      <c r="A297" s="14"/>
      <c r="B297" s="14"/>
      <c r="C297" s="76"/>
      <c r="D297" s="59" t="str">
        <f aca="false">IF(B297="","",IFERROR(INDEX(식자재단가!$I$4:$I$203,MATCH(B297,식자재단가!$C$4:$C$203,0)),"?"))</f>
        <v/>
      </c>
      <c r="E297" s="77" t="str">
        <f aca="false">IF(B297="","",IFERROR(INDEX(식자재단가!$L$4:$L$203,MATCH(B297,식자재단가!$C$4:$C$203,0)),"품목없음"))</f>
        <v/>
      </c>
      <c r="F297" s="28" t="str">
        <f aca="false">IF(OR(B297="",C297=""),"",IF(ISNUMBER(E297),C297*E297,0))</f>
        <v/>
      </c>
      <c r="G297" s="14"/>
    </row>
    <row r="298" customFormat="false" ht="15" hidden="false" customHeight="false" outlineLevel="0" collapsed="false">
      <c r="A298" s="14"/>
      <c r="B298" s="14"/>
      <c r="C298" s="76"/>
      <c r="D298" s="59" t="str">
        <f aca="false">IF(B298="","",IFERROR(INDEX(식자재단가!$I$4:$I$203,MATCH(B298,식자재단가!$C$4:$C$203,0)),"?"))</f>
        <v/>
      </c>
      <c r="E298" s="77" t="str">
        <f aca="false">IF(B298="","",IFERROR(INDEX(식자재단가!$L$4:$L$203,MATCH(B298,식자재단가!$C$4:$C$203,0)),"품목없음"))</f>
        <v/>
      </c>
      <c r="F298" s="28" t="str">
        <f aca="false">IF(OR(B298="",C298=""),"",IF(ISNUMBER(E298),C298*E298,0))</f>
        <v/>
      </c>
      <c r="G298" s="14"/>
    </row>
    <row r="299" customFormat="false" ht="15" hidden="false" customHeight="false" outlineLevel="0" collapsed="false">
      <c r="A299" s="14"/>
      <c r="B299" s="14"/>
      <c r="C299" s="76"/>
      <c r="D299" s="59" t="str">
        <f aca="false">IF(B299="","",IFERROR(INDEX(식자재단가!$I$4:$I$203,MATCH(B299,식자재단가!$C$4:$C$203,0)),"?"))</f>
        <v/>
      </c>
      <c r="E299" s="77" t="str">
        <f aca="false">IF(B299="","",IFERROR(INDEX(식자재단가!$L$4:$L$203,MATCH(B299,식자재단가!$C$4:$C$203,0)),"품목없음"))</f>
        <v/>
      </c>
      <c r="F299" s="28" t="str">
        <f aca="false">IF(OR(B299="",C299=""),"",IF(ISNUMBER(E299),C299*E299,0))</f>
        <v/>
      </c>
      <c r="G299" s="14"/>
    </row>
    <row r="300" customFormat="false" ht="15" hidden="false" customHeight="false" outlineLevel="0" collapsed="false">
      <c r="A300" s="14"/>
      <c r="B300" s="14"/>
      <c r="C300" s="76"/>
      <c r="D300" s="59" t="str">
        <f aca="false">IF(B300="","",IFERROR(INDEX(식자재단가!$I$4:$I$203,MATCH(B300,식자재단가!$C$4:$C$203,0)),"?"))</f>
        <v/>
      </c>
      <c r="E300" s="77" t="str">
        <f aca="false">IF(B300="","",IFERROR(INDEX(식자재단가!$L$4:$L$203,MATCH(B300,식자재단가!$C$4:$C$203,0)),"품목없음"))</f>
        <v/>
      </c>
      <c r="F300" s="28" t="str">
        <f aca="false">IF(OR(B300="",C300=""),"",IF(ISNUMBER(E300),C300*E300,0))</f>
        <v/>
      </c>
      <c r="G300" s="14"/>
    </row>
    <row r="301" customFormat="false" ht="15" hidden="false" customHeight="false" outlineLevel="0" collapsed="false">
      <c r="A301" s="14"/>
      <c r="B301" s="14"/>
      <c r="C301" s="76"/>
      <c r="D301" s="59" t="str">
        <f aca="false">IF(B301="","",IFERROR(INDEX(식자재단가!$I$4:$I$203,MATCH(B301,식자재단가!$C$4:$C$203,0)),"?"))</f>
        <v/>
      </c>
      <c r="E301" s="77" t="str">
        <f aca="false">IF(B301="","",IFERROR(INDEX(식자재단가!$L$4:$L$203,MATCH(B301,식자재단가!$C$4:$C$203,0)),"품목없음"))</f>
        <v/>
      </c>
      <c r="F301" s="28" t="str">
        <f aca="false">IF(OR(B301="",C301=""),"",IF(ISNUMBER(E301),C301*E301,0))</f>
        <v/>
      </c>
      <c r="G301" s="14"/>
    </row>
    <row r="302" customFormat="false" ht="15" hidden="false" customHeight="false" outlineLevel="0" collapsed="false">
      <c r="A302" s="14"/>
      <c r="B302" s="14"/>
      <c r="C302" s="76"/>
      <c r="D302" s="59" t="str">
        <f aca="false">IF(B302="","",IFERROR(INDEX(식자재단가!$I$4:$I$203,MATCH(B302,식자재단가!$C$4:$C$203,0)),"?"))</f>
        <v/>
      </c>
      <c r="E302" s="77" t="str">
        <f aca="false">IF(B302="","",IFERROR(INDEX(식자재단가!$L$4:$L$203,MATCH(B302,식자재단가!$C$4:$C$203,0)),"품목없음"))</f>
        <v/>
      </c>
      <c r="F302" s="28" t="str">
        <f aca="false">IF(OR(B302="",C302=""),"",IF(ISNUMBER(E302),C302*E302,0))</f>
        <v/>
      </c>
      <c r="G302" s="14"/>
    </row>
    <row r="303" customFormat="false" ht="15" hidden="false" customHeight="false" outlineLevel="0" collapsed="false">
      <c r="A303" s="14"/>
      <c r="B303" s="14"/>
      <c r="C303" s="76"/>
      <c r="D303" s="59" t="str">
        <f aca="false">IF(B303="","",IFERROR(INDEX(식자재단가!$I$4:$I$203,MATCH(B303,식자재단가!$C$4:$C$203,0)),"?"))</f>
        <v/>
      </c>
      <c r="E303" s="77" t="str">
        <f aca="false">IF(B303="","",IFERROR(INDEX(식자재단가!$L$4:$L$203,MATCH(B303,식자재단가!$C$4:$C$203,0)),"품목없음"))</f>
        <v/>
      </c>
      <c r="F303" s="28" t="str">
        <f aca="false">IF(OR(B303="",C303=""),"",IF(ISNUMBER(E303),C303*E303,0))</f>
        <v/>
      </c>
      <c r="G303" s="14"/>
    </row>
    <row r="304" customFormat="false" ht="15" hidden="false" customHeight="false" outlineLevel="0" collapsed="false">
      <c r="A304" s="14"/>
      <c r="B304" s="14"/>
      <c r="C304" s="76"/>
      <c r="D304" s="59" t="str">
        <f aca="false">IF(B304="","",IFERROR(INDEX(식자재단가!$I$4:$I$203,MATCH(B304,식자재단가!$C$4:$C$203,0)),"?"))</f>
        <v/>
      </c>
      <c r="E304" s="77" t="str">
        <f aca="false">IF(B304="","",IFERROR(INDEX(식자재단가!$L$4:$L$203,MATCH(B304,식자재단가!$C$4:$C$203,0)),"품목없음"))</f>
        <v/>
      </c>
      <c r="F304" s="28" t="str">
        <f aca="false">IF(OR(B304="",C304=""),"",IF(ISNUMBER(E304),C304*E304,0))</f>
        <v/>
      </c>
      <c r="G304" s="14"/>
    </row>
    <row r="305" customFormat="false" ht="15" hidden="false" customHeight="false" outlineLevel="0" collapsed="false">
      <c r="A305" s="14"/>
      <c r="B305" s="14"/>
      <c r="C305" s="76"/>
      <c r="D305" s="59" t="str">
        <f aca="false">IF(B305="","",IFERROR(INDEX(식자재단가!$I$4:$I$203,MATCH(B305,식자재단가!$C$4:$C$203,0)),"?"))</f>
        <v/>
      </c>
      <c r="E305" s="77" t="str">
        <f aca="false">IF(B305="","",IFERROR(INDEX(식자재단가!$L$4:$L$203,MATCH(B305,식자재단가!$C$4:$C$203,0)),"품목없음"))</f>
        <v/>
      </c>
      <c r="F305" s="28" t="str">
        <f aca="false">IF(OR(B305="",C305=""),"",IF(ISNUMBER(E305),C305*E305,0))</f>
        <v/>
      </c>
      <c r="G305" s="14"/>
    </row>
    <row r="306" customFormat="false" ht="15" hidden="false" customHeight="false" outlineLevel="0" collapsed="false">
      <c r="A306" s="14"/>
      <c r="B306" s="14"/>
      <c r="C306" s="76"/>
      <c r="D306" s="59" t="str">
        <f aca="false">IF(B306="","",IFERROR(INDEX(식자재단가!$I$4:$I$203,MATCH(B306,식자재단가!$C$4:$C$203,0)),"?"))</f>
        <v/>
      </c>
      <c r="E306" s="77" t="str">
        <f aca="false">IF(B306="","",IFERROR(INDEX(식자재단가!$L$4:$L$203,MATCH(B306,식자재단가!$C$4:$C$203,0)),"품목없음"))</f>
        <v/>
      </c>
      <c r="F306" s="28" t="str">
        <f aca="false">IF(OR(B306="",C306=""),"",IF(ISNUMBER(E306),C306*E306,0))</f>
        <v/>
      </c>
      <c r="G306" s="14"/>
    </row>
    <row r="307" customFormat="false" ht="15" hidden="false" customHeight="false" outlineLevel="0" collapsed="false">
      <c r="A307" s="14"/>
      <c r="B307" s="14"/>
      <c r="C307" s="76"/>
      <c r="D307" s="59" t="str">
        <f aca="false">IF(B307="","",IFERROR(INDEX(식자재단가!$I$4:$I$203,MATCH(B307,식자재단가!$C$4:$C$203,0)),"?"))</f>
        <v/>
      </c>
      <c r="E307" s="77" t="str">
        <f aca="false">IF(B307="","",IFERROR(INDEX(식자재단가!$L$4:$L$203,MATCH(B307,식자재단가!$C$4:$C$203,0)),"품목없음"))</f>
        <v/>
      </c>
      <c r="F307" s="28" t="str">
        <f aca="false">IF(OR(B307="",C307=""),"",IF(ISNUMBER(E307),C307*E307,0))</f>
        <v/>
      </c>
      <c r="G307" s="14"/>
    </row>
    <row r="308" customFormat="false" ht="15" hidden="false" customHeight="false" outlineLevel="0" collapsed="false">
      <c r="A308" s="14"/>
      <c r="B308" s="14"/>
      <c r="C308" s="76"/>
      <c r="D308" s="59" t="str">
        <f aca="false">IF(B308="","",IFERROR(INDEX(식자재단가!$I$4:$I$203,MATCH(B308,식자재단가!$C$4:$C$203,0)),"?"))</f>
        <v/>
      </c>
      <c r="E308" s="77" t="str">
        <f aca="false">IF(B308="","",IFERROR(INDEX(식자재단가!$L$4:$L$203,MATCH(B308,식자재단가!$C$4:$C$203,0)),"품목없음"))</f>
        <v/>
      </c>
      <c r="F308" s="28" t="str">
        <f aca="false">IF(OR(B308="",C308=""),"",IF(ISNUMBER(E308),C308*E308,0))</f>
        <v/>
      </c>
      <c r="G308" s="14"/>
    </row>
    <row r="309" customFormat="false" ht="15" hidden="false" customHeight="false" outlineLevel="0" collapsed="false">
      <c r="A309" s="14"/>
      <c r="B309" s="14"/>
      <c r="C309" s="76"/>
      <c r="D309" s="59" t="str">
        <f aca="false">IF(B309="","",IFERROR(INDEX(식자재단가!$I$4:$I$203,MATCH(B309,식자재단가!$C$4:$C$203,0)),"?"))</f>
        <v/>
      </c>
      <c r="E309" s="77" t="str">
        <f aca="false">IF(B309="","",IFERROR(INDEX(식자재단가!$L$4:$L$203,MATCH(B309,식자재단가!$C$4:$C$203,0)),"품목없음"))</f>
        <v/>
      </c>
      <c r="F309" s="28" t="str">
        <f aca="false">IF(OR(B309="",C309=""),"",IF(ISNUMBER(E309),C309*E309,0))</f>
        <v/>
      </c>
      <c r="G309" s="14"/>
    </row>
    <row r="310" customFormat="false" ht="15" hidden="false" customHeight="false" outlineLevel="0" collapsed="false">
      <c r="A310" s="14"/>
      <c r="B310" s="14"/>
      <c r="C310" s="76"/>
      <c r="D310" s="59" t="str">
        <f aca="false">IF(B310="","",IFERROR(INDEX(식자재단가!$I$4:$I$203,MATCH(B310,식자재단가!$C$4:$C$203,0)),"?"))</f>
        <v/>
      </c>
      <c r="E310" s="77" t="str">
        <f aca="false">IF(B310="","",IFERROR(INDEX(식자재단가!$L$4:$L$203,MATCH(B310,식자재단가!$C$4:$C$203,0)),"품목없음"))</f>
        <v/>
      </c>
      <c r="F310" s="28" t="str">
        <f aca="false">IF(OR(B310="",C310=""),"",IF(ISNUMBER(E310),C310*E310,0))</f>
        <v/>
      </c>
      <c r="G310" s="14"/>
    </row>
    <row r="311" customFormat="false" ht="15" hidden="false" customHeight="false" outlineLevel="0" collapsed="false">
      <c r="A311" s="14"/>
      <c r="B311" s="14"/>
      <c r="C311" s="76"/>
      <c r="D311" s="59" t="str">
        <f aca="false">IF(B311="","",IFERROR(INDEX(식자재단가!$I$4:$I$203,MATCH(B311,식자재단가!$C$4:$C$203,0)),"?"))</f>
        <v/>
      </c>
      <c r="E311" s="77" t="str">
        <f aca="false">IF(B311="","",IFERROR(INDEX(식자재단가!$L$4:$L$203,MATCH(B311,식자재단가!$C$4:$C$203,0)),"품목없음"))</f>
        <v/>
      </c>
      <c r="F311" s="28" t="str">
        <f aca="false">IF(OR(B311="",C311=""),"",IF(ISNUMBER(E311),C311*E311,0))</f>
        <v/>
      </c>
      <c r="G311" s="14"/>
    </row>
    <row r="312" customFormat="false" ht="15" hidden="false" customHeight="false" outlineLevel="0" collapsed="false">
      <c r="A312" s="14"/>
      <c r="B312" s="14"/>
      <c r="C312" s="76"/>
      <c r="D312" s="59" t="str">
        <f aca="false">IF(B312="","",IFERROR(INDEX(식자재단가!$I$4:$I$203,MATCH(B312,식자재단가!$C$4:$C$203,0)),"?"))</f>
        <v/>
      </c>
      <c r="E312" s="77" t="str">
        <f aca="false">IF(B312="","",IFERROR(INDEX(식자재단가!$L$4:$L$203,MATCH(B312,식자재단가!$C$4:$C$203,0)),"품목없음"))</f>
        <v/>
      </c>
      <c r="F312" s="28" t="str">
        <f aca="false">IF(OR(B312="",C312=""),"",IF(ISNUMBER(E312),C312*E312,0))</f>
        <v/>
      </c>
      <c r="G312" s="14"/>
    </row>
    <row r="313" customFormat="false" ht="15" hidden="false" customHeight="false" outlineLevel="0" collapsed="false">
      <c r="A313" s="14"/>
      <c r="B313" s="14"/>
      <c r="C313" s="76"/>
      <c r="D313" s="59" t="str">
        <f aca="false">IF(B313="","",IFERROR(INDEX(식자재단가!$I$4:$I$203,MATCH(B313,식자재단가!$C$4:$C$203,0)),"?"))</f>
        <v/>
      </c>
      <c r="E313" s="77" t="str">
        <f aca="false">IF(B313="","",IFERROR(INDEX(식자재단가!$L$4:$L$203,MATCH(B313,식자재단가!$C$4:$C$203,0)),"품목없음"))</f>
        <v/>
      </c>
      <c r="F313" s="28" t="str">
        <f aca="false">IF(OR(B313="",C313=""),"",IF(ISNUMBER(E313),C313*E313,0))</f>
        <v/>
      </c>
      <c r="G313" s="14"/>
    </row>
    <row r="314" customFormat="false" ht="15" hidden="false" customHeight="false" outlineLevel="0" collapsed="false">
      <c r="A314" s="14"/>
      <c r="B314" s="14"/>
      <c r="C314" s="76"/>
      <c r="D314" s="59" t="str">
        <f aca="false">IF(B314="","",IFERROR(INDEX(식자재단가!$I$4:$I$203,MATCH(B314,식자재단가!$C$4:$C$203,0)),"?"))</f>
        <v/>
      </c>
      <c r="E314" s="77" t="str">
        <f aca="false">IF(B314="","",IFERROR(INDEX(식자재단가!$L$4:$L$203,MATCH(B314,식자재단가!$C$4:$C$203,0)),"품목없음"))</f>
        <v/>
      </c>
      <c r="F314" s="28" t="str">
        <f aca="false">IF(OR(B314="",C314=""),"",IF(ISNUMBER(E314),C314*E314,0))</f>
        <v/>
      </c>
      <c r="G314" s="14"/>
    </row>
    <row r="315" customFormat="false" ht="15" hidden="false" customHeight="false" outlineLevel="0" collapsed="false">
      <c r="A315" s="14"/>
      <c r="B315" s="14"/>
      <c r="C315" s="76"/>
      <c r="D315" s="59" t="str">
        <f aca="false">IF(B315="","",IFERROR(INDEX(식자재단가!$I$4:$I$203,MATCH(B315,식자재단가!$C$4:$C$203,0)),"?"))</f>
        <v/>
      </c>
      <c r="E315" s="77" t="str">
        <f aca="false">IF(B315="","",IFERROR(INDEX(식자재단가!$L$4:$L$203,MATCH(B315,식자재단가!$C$4:$C$203,0)),"품목없음"))</f>
        <v/>
      </c>
      <c r="F315" s="28" t="str">
        <f aca="false">IF(OR(B315="",C315=""),"",IF(ISNUMBER(E315),C315*E315,0))</f>
        <v/>
      </c>
      <c r="G315" s="14"/>
    </row>
    <row r="316" customFormat="false" ht="15" hidden="false" customHeight="false" outlineLevel="0" collapsed="false">
      <c r="A316" s="14"/>
      <c r="B316" s="14"/>
      <c r="C316" s="76"/>
      <c r="D316" s="59" t="str">
        <f aca="false">IF(B316="","",IFERROR(INDEX(식자재단가!$I$4:$I$203,MATCH(B316,식자재단가!$C$4:$C$203,0)),"?"))</f>
        <v/>
      </c>
      <c r="E316" s="77" t="str">
        <f aca="false">IF(B316="","",IFERROR(INDEX(식자재단가!$L$4:$L$203,MATCH(B316,식자재단가!$C$4:$C$203,0)),"품목없음"))</f>
        <v/>
      </c>
      <c r="F316" s="28" t="str">
        <f aca="false">IF(OR(B316="",C316=""),"",IF(ISNUMBER(E316),C316*E316,0))</f>
        <v/>
      </c>
      <c r="G316" s="14"/>
    </row>
    <row r="317" customFormat="false" ht="15" hidden="false" customHeight="false" outlineLevel="0" collapsed="false">
      <c r="A317" s="14"/>
      <c r="B317" s="14"/>
      <c r="C317" s="76"/>
      <c r="D317" s="59" t="str">
        <f aca="false">IF(B317="","",IFERROR(INDEX(식자재단가!$I$4:$I$203,MATCH(B317,식자재단가!$C$4:$C$203,0)),"?"))</f>
        <v/>
      </c>
      <c r="E317" s="77" t="str">
        <f aca="false">IF(B317="","",IFERROR(INDEX(식자재단가!$L$4:$L$203,MATCH(B317,식자재단가!$C$4:$C$203,0)),"품목없음"))</f>
        <v/>
      </c>
      <c r="F317" s="28" t="str">
        <f aca="false">IF(OR(B317="",C317=""),"",IF(ISNUMBER(E317),C317*E317,0))</f>
        <v/>
      </c>
      <c r="G317" s="14"/>
    </row>
    <row r="318" customFormat="false" ht="15" hidden="false" customHeight="false" outlineLevel="0" collapsed="false">
      <c r="A318" s="14"/>
      <c r="B318" s="14"/>
      <c r="C318" s="76"/>
      <c r="D318" s="59" t="str">
        <f aca="false">IF(B318="","",IFERROR(INDEX(식자재단가!$I$4:$I$203,MATCH(B318,식자재단가!$C$4:$C$203,0)),"?"))</f>
        <v/>
      </c>
      <c r="E318" s="77" t="str">
        <f aca="false">IF(B318="","",IFERROR(INDEX(식자재단가!$L$4:$L$203,MATCH(B318,식자재단가!$C$4:$C$203,0)),"품목없음"))</f>
        <v/>
      </c>
      <c r="F318" s="28" t="str">
        <f aca="false">IF(OR(B318="",C318=""),"",IF(ISNUMBER(E318),C318*E318,0))</f>
        <v/>
      </c>
      <c r="G318" s="14"/>
    </row>
    <row r="319" customFormat="false" ht="15" hidden="false" customHeight="false" outlineLevel="0" collapsed="false">
      <c r="A319" s="14"/>
      <c r="B319" s="14"/>
      <c r="C319" s="76"/>
      <c r="D319" s="59" t="str">
        <f aca="false">IF(B319="","",IFERROR(INDEX(식자재단가!$I$4:$I$203,MATCH(B319,식자재단가!$C$4:$C$203,0)),"?"))</f>
        <v/>
      </c>
      <c r="E319" s="77" t="str">
        <f aca="false">IF(B319="","",IFERROR(INDEX(식자재단가!$L$4:$L$203,MATCH(B319,식자재단가!$C$4:$C$203,0)),"품목없음"))</f>
        <v/>
      </c>
      <c r="F319" s="28" t="str">
        <f aca="false">IF(OR(B319="",C319=""),"",IF(ISNUMBER(E319),C319*E319,0))</f>
        <v/>
      </c>
      <c r="G319" s="14"/>
    </row>
    <row r="320" customFormat="false" ht="15" hidden="false" customHeight="false" outlineLevel="0" collapsed="false">
      <c r="A320" s="14"/>
      <c r="B320" s="14"/>
      <c r="C320" s="76"/>
      <c r="D320" s="59" t="str">
        <f aca="false">IF(B320="","",IFERROR(INDEX(식자재단가!$I$4:$I$203,MATCH(B320,식자재단가!$C$4:$C$203,0)),"?"))</f>
        <v/>
      </c>
      <c r="E320" s="77" t="str">
        <f aca="false">IF(B320="","",IFERROR(INDEX(식자재단가!$L$4:$L$203,MATCH(B320,식자재단가!$C$4:$C$203,0)),"품목없음"))</f>
        <v/>
      </c>
      <c r="F320" s="28" t="str">
        <f aca="false">IF(OR(B320="",C320=""),"",IF(ISNUMBER(E320),C320*E320,0))</f>
        <v/>
      </c>
      <c r="G320" s="14"/>
    </row>
    <row r="321" customFormat="false" ht="15" hidden="false" customHeight="false" outlineLevel="0" collapsed="false">
      <c r="A321" s="14"/>
      <c r="B321" s="14"/>
      <c r="C321" s="76"/>
      <c r="D321" s="59" t="str">
        <f aca="false">IF(B321="","",IFERROR(INDEX(식자재단가!$I$4:$I$203,MATCH(B321,식자재단가!$C$4:$C$203,0)),"?"))</f>
        <v/>
      </c>
      <c r="E321" s="77" t="str">
        <f aca="false">IF(B321="","",IFERROR(INDEX(식자재단가!$L$4:$L$203,MATCH(B321,식자재단가!$C$4:$C$203,0)),"품목없음"))</f>
        <v/>
      </c>
      <c r="F321" s="28" t="str">
        <f aca="false">IF(OR(B321="",C321=""),"",IF(ISNUMBER(E321),C321*E321,0))</f>
        <v/>
      </c>
      <c r="G321" s="14"/>
    </row>
    <row r="322" customFormat="false" ht="15" hidden="false" customHeight="false" outlineLevel="0" collapsed="false">
      <c r="A322" s="14"/>
      <c r="B322" s="14"/>
      <c r="C322" s="76"/>
      <c r="D322" s="59" t="str">
        <f aca="false">IF(B322="","",IFERROR(INDEX(식자재단가!$I$4:$I$203,MATCH(B322,식자재단가!$C$4:$C$203,0)),"?"))</f>
        <v/>
      </c>
      <c r="E322" s="77" t="str">
        <f aca="false">IF(B322="","",IFERROR(INDEX(식자재단가!$L$4:$L$203,MATCH(B322,식자재단가!$C$4:$C$203,0)),"품목없음"))</f>
        <v/>
      </c>
      <c r="F322" s="28" t="str">
        <f aca="false">IF(OR(B322="",C322=""),"",IF(ISNUMBER(E322),C322*E322,0))</f>
        <v/>
      </c>
      <c r="G322" s="14"/>
    </row>
    <row r="323" customFormat="false" ht="15" hidden="false" customHeight="false" outlineLevel="0" collapsed="false">
      <c r="A323" s="14"/>
      <c r="B323" s="14"/>
      <c r="C323" s="76"/>
      <c r="D323" s="59" t="str">
        <f aca="false">IF(B323="","",IFERROR(INDEX(식자재단가!$I$4:$I$203,MATCH(B323,식자재단가!$C$4:$C$203,0)),"?"))</f>
        <v/>
      </c>
      <c r="E323" s="77" t="str">
        <f aca="false">IF(B323="","",IFERROR(INDEX(식자재단가!$L$4:$L$203,MATCH(B323,식자재단가!$C$4:$C$203,0)),"품목없음"))</f>
        <v/>
      </c>
      <c r="F323" s="28" t="str">
        <f aca="false">IF(OR(B323="",C323=""),"",IF(ISNUMBER(E323),C323*E323,0))</f>
        <v/>
      </c>
      <c r="G323" s="14"/>
    </row>
    <row r="324" customFormat="false" ht="15" hidden="false" customHeight="false" outlineLevel="0" collapsed="false">
      <c r="A324" s="14"/>
      <c r="B324" s="14"/>
      <c r="C324" s="76"/>
      <c r="D324" s="59" t="str">
        <f aca="false">IF(B324="","",IFERROR(INDEX(식자재단가!$I$4:$I$203,MATCH(B324,식자재단가!$C$4:$C$203,0)),"?"))</f>
        <v/>
      </c>
      <c r="E324" s="77" t="str">
        <f aca="false">IF(B324="","",IFERROR(INDEX(식자재단가!$L$4:$L$203,MATCH(B324,식자재단가!$C$4:$C$203,0)),"품목없음"))</f>
        <v/>
      </c>
      <c r="F324" s="28" t="str">
        <f aca="false">IF(OR(B324="",C324=""),"",IF(ISNUMBER(E324),C324*E324,0))</f>
        <v/>
      </c>
      <c r="G324" s="14"/>
    </row>
    <row r="325" customFormat="false" ht="15" hidden="false" customHeight="false" outlineLevel="0" collapsed="false">
      <c r="A325" s="14"/>
      <c r="B325" s="14"/>
      <c r="C325" s="76"/>
      <c r="D325" s="59" t="str">
        <f aca="false">IF(B325="","",IFERROR(INDEX(식자재단가!$I$4:$I$203,MATCH(B325,식자재단가!$C$4:$C$203,0)),"?"))</f>
        <v/>
      </c>
      <c r="E325" s="77" t="str">
        <f aca="false">IF(B325="","",IFERROR(INDEX(식자재단가!$L$4:$L$203,MATCH(B325,식자재단가!$C$4:$C$203,0)),"품목없음"))</f>
        <v/>
      </c>
      <c r="F325" s="28" t="str">
        <f aca="false">IF(OR(B325="",C325=""),"",IF(ISNUMBER(E325),C325*E325,0))</f>
        <v/>
      </c>
      <c r="G325" s="14"/>
    </row>
    <row r="326" customFormat="false" ht="15" hidden="false" customHeight="false" outlineLevel="0" collapsed="false">
      <c r="A326" s="14"/>
      <c r="B326" s="14"/>
      <c r="C326" s="76"/>
      <c r="D326" s="59" t="str">
        <f aca="false">IF(B326="","",IFERROR(INDEX(식자재단가!$I$4:$I$203,MATCH(B326,식자재단가!$C$4:$C$203,0)),"?"))</f>
        <v/>
      </c>
      <c r="E326" s="77" t="str">
        <f aca="false">IF(B326="","",IFERROR(INDEX(식자재단가!$L$4:$L$203,MATCH(B326,식자재단가!$C$4:$C$203,0)),"품목없음"))</f>
        <v/>
      </c>
      <c r="F326" s="28" t="str">
        <f aca="false">IF(OR(B326="",C326=""),"",IF(ISNUMBER(E326),C326*E326,0))</f>
        <v/>
      </c>
      <c r="G326" s="14"/>
    </row>
    <row r="327" customFormat="false" ht="15" hidden="false" customHeight="false" outlineLevel="0" collapsed="false">
      <c r="A327" s="14"/>
      <c r="B327" s="14"/>
      <c r="C327" s="76"/>
      <c r="D327" s="59" t="str">
        <f aca="false">IF(B327="","",IFERROR(INDEX(식자재단가!$I$4:$I$203,MATCH(B327,식자재단가!$C$4:$C$203,0)),"?"))</f>
        <v/>
      </c>
      <c r="E327" s="77" t="str">
        <f aca="false">IF(B327="","",IFERROR(INDEX(식자재단가!$L$4:$L$203,MATCH(B327,식자재단가!$C$4:$C$203,0)),"품목없음"))</f>
        <v/>
      </c>
      <c r="F327" s="28" t="str">
        <f aca="false">IF(OR(B327="",C327=""),"",IF(ISNUMBER(E327),C327*E327,0))</f>
        <v/>
      </c>
      <c r="G327" s="14"/>
    </row>
    <row r="328" customFormat="false" ht="15" hidden="false" customHeight="false" outlineLevel="0" collapsed="false">
      <c r="A328" s="14"/>
      <c r="B328" s="14"/>
      <c r="C328" s="76"/>
      <c r="D328" s="59" t="str">
        <f aca="false">IF(B328="","",IFERROR(INDEX(식자재단가!$I$4:$I$203,MATCH(B328,식자재단가!$C$4:$C$203,0)),"?"))</f>
        <v/>
      </c>
      <c r="E328" s="77" t="str">
        <f aca="false">IF(B328="","",IFERROR(INDEX(식자재단가!$L$4:$L$203,MATCH(B328,식자재단가!$C$4:$C$203,0)),"품목없음"))</f>
        <v/>
      </c>
      <c r="F328" s="28" t="str">
        <f aca="false">IF(OR(B328="",C328=""),"",IF(ISNUMBER(E328),C328*E328,0))</f>
        <v/>
      </c>
      <c r="G328" s="14"/>
    </row>
    <row r="329" customFormat="false" ht="15" hidden="false" customHeight="false" outlineLevel="0" collapsed="false">
      <c r="A329" s="14"/>
      <c r="B329" s="14"/>
      <c r="C329" s="76"/>
      <c r="D329" s="59" t="str">
        <f aca="false">IF(B329="","",IFERROR(INDEX(식자재단가!$I$4:$I$203,MATCH(B329,식자재단가!$C$4:$C$203,0)),"?"))</f>
        <v/>
      </c>
      <c r="E329" s="77" t="str">
        <f aca="false">IF(B329="","",IFERROR(INDEX(식자재단가!$L$4:$L$203,MATCH(B329,식자재단가!$C$4:$C$203,0)),"품목없음"))</f>
        <v/>
      </c>
      <c r="F329" s="28" t="str">
        <f aca="false">IF(OR(B329="",C329=""),"",IF(ISNUMBER(E329),C329*E329,0))</f>
        <v/>
      </c>
      <c r="G329" s="14"/>
    </row>
    <row r="330" customFormat="false" ht="15" hidden="false" customHeight="false" outlineLevel="0" collapsed="false">
      <c r="A330" s="14"/>
      <c r="B330" s="14"/>
      <c r="C330" s="76"/>
      <c r="D330" s="59" t="str">
        <f aca="false">IF(B330="","",IFERROR(INDEX(식자재단가!$I$4:$I$203,MATCH(B330,식자재단가!$C$4:$C$203,0)),"?"))</f>
        <v/>
      </c>
      <c r="E330" s="77" t="str">
        <f aca="false">IF(B330="","",IFERROR(INDEX(식자재단가!$L$4:$L$203,MATCH(B330,식자재단가!$C$4:$C$203,0)),"품목없음"))</f>
        <v/>
      </c>
      <c r="F330" s="28" t="str">
        <f aca="false">IF(OR(B330="",C330=""),"",IF(ISNUMBER(E330),C330*E330,0))</f>
        <v/>
      </c>
      <c r="G330" s="14"/>
    </row>
    <row r="331" customFormat="false" ht="15" hidden="false" customHeight="false" outlineLevel="0" collapsed="false">
      <c r="A331" s="14"/>
      <c r="B331" s="14"/>
      <c r="C331" s="76"/>
      <c r="D331" s="59" t="str">
        <f aca="false">IF(B331="","",IFERROR(INDEX(식자재단가!$I$4:$I$203,MATCH(B331,식자재단가!$C$4:$C$203,0)),"?"))</f>
        <v/>
      </c>
      <c r="E331" s="77" t="str">
        <f aca="false">IF(B331="","",IFERROR(INDEX(식자재단가!$L$4:$L$203,MATCH(B331,식자재단가!$C$4:$C$203,0)),"품목없음"))</f>
        <v/>
      </c>
      <c r="F331" s="28" t="str">
        <f aca="false">IF(OR(B331="",C331=""),"",IF(ISNUMBER(E331),C331*E331,0))</f>
        <v/>
      </c>
      <c r="G331" s="14"/>
    </row>
    <row r="332" customFormat="false" ht="15" hidden="false" customHeight="false" outlineLevel="0" collapsed="false">
      <c r="A332" s="14"/>
      <c r="B332" s="14"/>
      <c r="C332" s="76"/>
      <c r="D332" s="59" t="str">
        <f aca="false">IF(B332="","",IFERROR(INDEX(식자재단가!$I$4:$I$203,MATCH(B332,식자재단가!$C$4:$C$203,0)),"?"))</f>
        <v/>
      </c>
      <c r="E332" s="77" t="str">
        <f aca="false">IF(B332="","",IFERROR(INDEX(식자재단가!$L$4:$L$203,MATCH(B332,식자재단가!$C$4:$C$203,0)),"품목없음"))</f>
        <v/>
      </c>
      <c r="F332" s="28" t="str">
        <f aca="false">IF(OR(B332="",C332=""),"",IF(ISNUMBER(E332),C332*E332,0))</f>
        <v/>
      </c>
      <c r="G332" s="14"/>
    </row>
    <row r="333" customFormat="false" ht="15" hidden="false" customHeight="false" outlineLevel="0" collapsed="false">
      <c r="A333" s="14"/>
      <c r="B333" s="14"/>
      <c r="C333" s="76"/>
      <c r="D333" s="59" t="str">
        <f aca="false">IF(B333="","",IFERROR(INDEX(식자재단가!$I$4:$I$203,MATCH(B333,식자재단가!$C$4:$C$203,0)),"?"))</f>
        <v/>
      </c>
      <c r="E333" s="77" t="str">
        <f aca="false">IF(B333="","",IFERROR(INDEX(식자재단가!$L$4:$L$203,MATCH(B333,식자재단가!$C$4:$C$203,0)),"품목없음"))</f>
        <v/>
      </c>
      <c r="F333" s="28" t="str">
        <f aca="false">IF(OR(B333="",C333=""),"",IF(ISNUMBER(E333),C333*E333,0))</f>
        <v/>
      </c>
      <c r="G333" s="14"/>
    </row>
    <row r="334" customFormat="false" ht="15" hidden="false" customHeight="false" outlineLevel="0" collapsed="false">
      <c r="A334" s="14"/>
      <c r="B334" s="14"/>
      <c r="C334" s="76"/>
      <c r="D334" s="59" t="str">
        <f aca="false">IF(B334="","",IFERROR(INDEX(식자재단가!$I$4:$I$203,MATCH(B334,식자재단가!$C$4:$C$203,0)),"?"))</f>
        <v/>
      </c>
      <c r="E334" s="77" t="str">
        <f aca="false">IF(B334="","",IFERROR(INDEX(식자재단가!$L$4:$L$203,MATCH(B334,식자재단가!$C$4:$C$203,0)),"품목없음"))</f>
        <v/>
      </c>
      <c r="F334" s="28" t="str">
        <f aca="false">IF(OR(B334="",C334=""),"",IF(ISNUMBER(E334),C334*E334,0))</f>
        <v/>
      </c>
      <c r="G334" s="14"/>
    </row>
    <row r="335" customFormat="false" ht="15" hidden="false" customHeight="false" outlineLevel="0" collapsed="false">
      <c r="A335" s="14"/>
      <c r="B335" s="14"/>
      <c r="C335" s="76"/>
      <c r="D335" s="59" t="str">
        <f aca="false">IF(B335="","",IFERROR(INDEX(식자재단가!$I$4:$I$203,MATCH(B335,식자재단가!$C$4:$C$203,0)),"?"))</f>
        <v/>
      </c>
      <c r="E335" s="77" t="str">
        <f aca="false">IF(B335="","",IFERROR(INDEX(식자재단가!$L$4:$L$203,MATCH(B335,식자재단가!$C$4:$C$203,0)),"품목없음"))</f>
        <v/>
      </c>
      <c r="F335" s="28" t="str">
        <f aca="false">IF(OR(B335="",C335=""),"",IF(ISNUMBER(E335),C335*E335,0))</f>
        <v/>
      </c>
      <c r="G335" s="14"/>
    </row>
    <row r="336" customFormat="false" ht="15" hidden="false" customHeight="false" outlineLevel="0" collapsed="false">
      <c r="A336" s="14"/>
      <c r="B336" s="14"/>
      <c r="C336" s="76"/>
      <c r="D336" s="59" t="str">
        <f aca="false">IF(B336="","",IFERROR(INDEX(식자재단가!$I$4:$I$203,MATCH(B336,식자재단가!$C$4:$C$203,0)),"?"))</f>
        <v/>
      </c>
      <c r="E336" s="77" t="str">
        <f aca="false">IF(B336="","",IFERROR(INDEX(식자재단가!$L$4:$L$203,MATCH(B336,식자재단가!$C$4:$C$203,0)),"품목없음"))</f>
        <v/>
      </c>
      <c r="F336" s="28" t="str">
        <f aca="false">IF(OR(B336="",C336=""),"",IF(ISNUMBER(E336),C336*E336,0))</f>
        <v/>
      </c>
      <c r="G336" s="14"/>
    </row>
    <row r="337" customFormat="false" ht="15" hidden="false" customHeight="false" outlineLevel="0" collapsed="false">
      <c r="A337" s="14"/>
      <c r="B337" s="14"/>
      <c r="C337" s="76"/>
      <c r="D337" s="59" t="str">
        <f aca="false">IF(B337="","",IFERROR(INDEX(식자재단가!$I$4:$I$203,MATCH(B337,식자재단가!$C$4:$C$203,0)),"?"))</f>
        <v/>
      </c>
      <c r="E337" s="77" t="str">
        <f aca="false">IF(B337="","",IFERROR(INDEX(식자재단가!$L$4:$L$203,MATCH(B337,식자재단가!$C$4:$C$203,0)),"품목없음"))</f>
        <v/>
      </c>
      <c r="F337" s="28" t="str">
        <f aca="false">IF(OR(B337="",C337=""),"",IF(ISNUMBER(E337),C337*E337,0))</f>
        <v/>
      </c>
      <c r="G337" s="14"/>
    </row>
    <row r="338" customFormat="false" ht="15" hidden="false" customHeight="false" outlineLevel="0" collapsed="false">
      <c r="A338" s="14"/>
      <c r="B338" s="14"/>
      <c r="C338" s="76"/>
      <c r="D338" s="59" t="str">
        <f aca="false">IF(B338="","",IFERROR(INDEX(식자재단가!$I$4:$I$203,MATCH(B338,식자재단가!$C$4:$C$203,0)),"?"))</f>
        <v/>
      </c>
      <c r="E338" s="77" t="str">
        <f aca="false">IF(B338="","",IFERROR(INDEX(식자재단가!$L$4:$L$203,MATCH(B338,식자재단가!$C$4:$C$203,0)),"품목없음"))</f>
        <v/>
      </c>
      <c r="F338" s="28" t="str">
        <f aca="false">IF(OR(B338="",C338=""),"",IF(ISNUMBER(E338),C338*E338,0))</f>
        <v/>
      </c>
      <c r="G338" s="14"/>
    </row>
    <row r="339" customFormat="false" ht="15" hidden="false" customHeight="false" outlineLevel="0" collapsed="false">
      <c r="A339" s="14"/>
      <c r="B339" s="14"/>
      <c r="C339" s="76"/>
      <c r="D339" s="59" t="str">
        <f aca="false">IF(B339="","",IFERROR(INDEX(식자재단가!$I$4:$I$203,MATCH(B339,식자재단가!$C$4:$C$203,0)),"?"))</f>
        <v/>
      </c>
      <c r="E339" s="77" t="str">
        <f aca="false">IF(B339="","",IFERROR(INDEX(식자재단가!$L$4:$L$203,MATCH(B339,식자재단가!$C$4:$C$203,0)),"품목없음"))</f>
        <v/>
      </c>
      <c r="F339" s="28" t="str">
        <f aca="false">IF(OR(B339="",C339=""),"",IF(ISNUMBER(E339),C339*E339,0))</f>
        <v/>
      </c>
      <c r="G339" s="14"/>
    </row>
    <row r="340" customFormat="false" ht="15" hidden="false" customHeight="false" outlineLevel="0" collapsed="false">
      <c r="A340" s="14"/>
      <c r="B340" s="14"/>
      <c r="C340" s="76"/>
      <c r="D340" s="59" t="str">
        <f aca="false">IF(B340="","",IFERROR(INDEX(식자재단가!$I$4:$I$203,MATCH(B340,식자재단가!$C$4:$C$203,0)),"?"))</f>
        <v/>
      </c>
      <c r="E340" s="77" t="str">
        <f aca="false">IF(B340="","",IFERROR(INDEX(식자재단가!$L$4:$L$203,MATCH(B340,식자재단가!$C$4:$C$203,0)),"품목없음"))</f>
        <v/>
      </c>
      <c r="F340" s="28" t="str">
        <f aca="false">IF(OR(B340="",C340=""),"",IF(ISNUMBER(E340),C340*E340,0))</f>
        <v/>
      </c>
      <c r="G340" s="14"/>
    </row>
    <row r="341" customFormat="false" ht="15" hidden="false" customHeight="false" outlineLevel="0" collapsed="false">
      <c r="A341" s="14"/>
      <c r="B341" s="14"/>
      <c r="C341" s="76"/>
      <c r="D341" s="59" t="str">
        <f aca="false">IF(B341="","",IFERROR(INDEX(식자재단가!$I$4:$I$203,MATCH(B341,식자재단가!$C$4:$C$203,0)),"?"))</f>
        <v/>
      </c>
      <c r="E341" s="77" t="str">
        <f aca="false">IF(B341="","",IFERROR(INDEX(식자재단가!$L$4:$L$203,MATCH(B341,식자재단가!$C$4:$C$203,0)),"품목없음"))</f>
        <v/>
      </c>
      <c r="F341" s="28" t="str">
        <f aca="false">IF(OR(B341="",C341=""),"",IF(ISNUMBER(E341),C341*E341,0))</f>
        <v/>
      </c>
      <c r="G341" s="14"/>
    </row>
    <row r="342" customFormat="false" ht="15" hidden="false" customHeight="false" outlineLevel="0" collapsed="false">
      <c r="A342" s="14"/>
      <c r="B342" s="14"/>
      <c r="C342" s="76"/>
      <c r="D342" s="59" t="str">
        <f aca="false">IF(B342="","",IFERROR(INDEX(식자재단가!$I$4:$I$203,MATCH(B342,식자재단가!$C$4:$C$203,0)),"?"))</f>
        <v/>
      </c>
      <c r="E342" s="77" t="str">
        <f aca="false">IF(B342="","",IFERROR(INDEX(식자재단가!$L$4:$L$203,MATCH(B342,식자재단가!$C$4:$C$203,0)),"품목없음"))</f>
        <v/>
      </c>
      <c r="F342" s="28" t="str">
        <f aca="false">IF(OR(B342="",C342=""),"",IF(ISNUMBER(E342),C342*E342,0))</f>
        <v/>
      </c>
      <c r="G342" s="14"/>
    </row>
    <row r="343" customFormat="false" ht="15" hidden="false" customHeight="false" outlineLevel="0" collapsed="false">
      <c r="A343" s="14"/>
      <c r="B343" s="14"/>
      <c r="C343" s="76"/>
      <c r="D343" s="59" t="str">
        <f aca="false">IF(B343="","",IFERROR(INDEX(식자재단가!$I$4:$I$203,MATCH(B343,식자재단가!$C$4:$C$203,0)),"?"))</f>
        <v/>
      </c>
      <c r="E343" s="77" t="str">
        <f aca="false">IF(B343="","",IFERROR(INDEX(식자재단가!$L$4:$L$203,MATCH(B343,식자재단가!$C$4:$C$203,0)),"품목없음"))</f>
        <v/>
      </c>
      <c r="F343" s="28" t="str">
        <f aca="false">IF(OR(B343="",C343=""),"",IF(ISNUMBER(E343),C343*E343,0))</f>
        <v/>
      </c>
      <c r="G343" s="14"/>
    </row>
    <row r="344" customFormat="false" ht="15" hidden="false" customHeight="false" outlineLevel="0" collapsed="false">
      <c r="A344" s="14"/>
      <c r="B344" s="14"/>
      <c r="C344" s="76"/>
      <c r="D344" s="59" t="str">
        <f aca="false">IF(B344="","",IFERROR(INDEX(식자재단가!$I$4:$I$203,MATCH(B344,식자재단가!$C$4:$C$203,0)),"?"))</f>
        <v/>
      </c>
      <c r="E344" s="77" t="str">
        <f aca="false">IF(B344="","",IFERROR(INDEX(식자재단가!$L$4:$L$203,MATCH(B344,식자재단가!$C$4:$C$203,0)),"품목없음"))</f>
        <v/>
      </c>
      <c r="F344" s="28" t="str">
        <f aca="false">IF(OR(B344="",C344=""),"",IF(ISNUMBER(E344),C344*E344,0))</f>
        <v/>
      </c>
      <c r="G344" s="14"/>
    </row>
    <row r="345" customFormat="false" ht="15" hidden="false" customHeight="false" outlineLevel="0" collapsed="false">
      <c r="A345" s="14"/>
      <c r="B345" s="14"/>
      <c r="C345" s="76"/>
      <c r="D345" s="59" t="str">
        <f aca="false">IF(B345="","",IFERROR(INDEX(식자재단가!$I$4:$I$203,MATCH(B345,식자재단가!$C$4:$C$203,0)),"?"))</f>
        <v/>
      </c>
      <c r="E345" s="77" t="str">
        <f aca="false">IF(B345="","",IFERROR(INDEX(식자재단가!$L$4:$L$203,MATCH(B345,식자재단가!$C$4:$C$203,0)),"품목없음"))</f>
        <v/>
      </c>
      <c r="F345" s="28" t="str">
        <f aca="false">IF(OR(B345="",C345=""),"",IF(ISNUMBER(E345),C345*E345,0))</f>
        <v/>
      </c>
      <c r="G345" s="14"/>
    </row>
    <row r="346" customFormat="false" ht="15" hidden="false" customHeight="false" outlineLevel="0" collapsed="false">
      <c r="A346" s="14"/>
      <c r="B346" s="14"/>
      <c r="C346" s="76"/>
      <c r="D346" s="59" t="str">
        <f aca="false">IF(B346="","",IFERROR(INDEX(식자재단가!$I$4:$I$203,MATCH(B346,식자재단가!$C$4:$C$203,0)),"?"))</f>
        <v/>
      </c>
      <c r="E346" s="77" t="str">
        <f aca="false">IF(B346="","",IFERROR(INDEX(식자재단가!$L$4:$L$203,MATCH(B346,식자재단가!$C$4:$C$203,0)),"품목없음"))</f>
        <v/>
      </c>
      <c r="F346" s="28" t="str">
        <f aca="false">IF(OR(B346="",C346=""),"",IF(ISNUMBER(E346),C346*E346,0))</f>
        <v/>
      </c>
      <c r="G346" s="14"/>
    </row>
    <row r="347" customFormat="false" ht="15" hidden="false" customHeight="false" outlineLevel="0" collapsed="false">
      <c r="A347" s="14"/>
      <c r="B347" s="14"/>
      <c r="C347" s="76"/>
      <c r="D347" s="59" t="str">
        <f aca="false">IF(B347="","",IFERROR(INDEX(식자재단가!$I$4:$I$203,MATCH(B347,식자재단가!$C$4:$C$203,0)),"?"))</f>
        <v/>
      </c>
      <c r="E347" s="77" t="str">
        <f aca="false">IF(B347="","",IFERROR(INDEX(식자재단가!$L$4:$L$203,MATCH(B347,식자재단가!$C$4:$C$203,0)),"품목없음"))</f>
        <v/>
      </c>
      <c r="F347" s="28" t="str">
        <f aca="false">IF(OR(B347="",C347=""),"",IF(ISNUMBER(E347),C347*E347,0))</f>
        <v/>
      </c>
      <c r="G347" s="14"/>
    </row>
    <row r="348" customFormat="false" ht="15" hidden="false" customHeight="false" outlineLevel="0" collapsed="false">
      <c r="A348" s="14"/>
      <c r="B348" s="14"/>
      <c r="C348" s="76"/>
      <c r="D348" s="59" t="str">
        <f aca="false">IF(B348="","",IFERROR(INDEX(식자재단가!$I$4:$I$203,MATCH(B348,식자재단가!$C$4:$C$203,0)),"?"))</f>
        <v/>
      </c>
      <c r="E348" s="77" t="str">
        <f aca="false">IF(B348="","",IFERROR(INDEX(식자재단가!$L$4:$L$203,MATCH(B348,식자재단가!$C$4:$C$203,0)),"품목없음"))</f>
        <v/>
      </c>
      <c r="F348" s="28" t="str">
        <f aca="false">IF(OR(B348="",C348=""),"",IF(ISNUMBER(E348),C348*E348,0))</f>
        <v/>
      </c>
      <c r="G348" s="14"/>
    </row>
    <row r="349" customFormat="false" ht="15" hidden="false" customHeight="false" outlineLevel="0" collapsed="false">
      <c r="A349" s="14"/>
      <c r="B349" s="14"/>
      <c r="C349" s="76"/>
      <c r="D349" s="59" t="str">
        <f aca="false">IF(B349="","",IFERROR(INDEX(식자재단가!$I$4:$I$203,MATCH(B349,식자재단가!$C$4:$C$203,0)),"?"))</f>
        <v/>
      </c>
      <c r="E349" s="77" t="str">
        <f aca="false">IF(B349="","",IFERROR(INDEX(식자재단가!$L$4:$L$203,MATCH(B349,식자재단가!$C$4:$C$203,0)),"품목없음"))</f>
        <v/>
      </c>
      <c r="F349" s="28" t="str">
        <f aca="false">IF(OR(B349="",C349=""),"",IF(ISNUMBER(E349),C349*E349,0))</f>
        <v/>
      </c>
      <c r="G349" s="14"/>
    </row>
    <row r="350" customFormat="false" ht="15" hidden="false" customHeight="false" outlineLevel="0" collapsed="false">
      <c r="A350" s="14"/>
      <c r="B350" s="14"/>
      <c r="C350" s="76"/>
      <c r="D350" s="59" t="str">
        <f aca="false">IF(B350="","",IFERROR(INDEX(식자재단가!$I$4:$I$203,MATCH(B350,식자재단가!$C$4:$C$203,0)),"?"))</f>
        <v/>
      </c>
      <c r="E350" s="77" t="str">
        <f aca="false">IF(B350="","",IFERROR(INDEX(식자재단가!$L$4:$L$203,MATCH(B350,식자재단가!$C$4:$C$203,0)),"품목없음"))</f>
        <v/>
      </c>
      <c r="F350" s="28" t="str">
        <f aca="false">IF(OR(B350="",C350=""),"",IF(ISNUMBER(E350),C350*E350,0))</f>
        <v/>
      </c>
      <c r="G350" s="14"/>
    </row>
    <row r="351" customFormat="false" ht="15" hidden="false" customHeight="false" outlineLevel="0" collapsed="false">
      <c r="A351" s="14"/>
      <c r="B351" s="14"/>
      <c r="C351" s="76"/>
      <c r="D351" s="59" t="str">
        <f aca="false">IF(B351="","",IFERROR(INDEX(식자재단가!$I$4:$I$203,MATCH(B351,식자재단가!$C$4:$C$203,0)),"?"))</f>
        <v/>
      </c>
      <c r="E351" s="77" t="str">
        <f aca="false">IF(B351="","",IFERROR(INDEX(식자재단가!$L$4:$L$203,MATCH(B351,식자재단가!$C$4:$C$203,0)),"품목없음"))</f>
        <v/>
      </c>
      <c r="F351" s="28" t="str">
        <f aca="false">IF(OR(B351="",C351=""),"",IF(ISNUMBER(E351),C351*E351,0))</f>
        <v/>
      </c>
      <c r="G351" s="14"/>
    </row>
    <row r="352" customFormat="false" ht="15" hidden="false" customHeight="false" outlineLevel="0" collapsed="false">
      <c r="A352" s="14"/>
      <c r="B352" s="14"/>
      <c r="C352" s="76"/>
      <c r="D352" s="59" t="str">
        <f aca="false">IF(B352="","",IFERROR(INDEX(식자재단가!$I$4:$I$203,MATCH(B352,식자재단가!$C$4:$C$203,0)),"?"))</f>
        <v/>
      </c>
      <c r="E352" s="77" t="str">
        <f aca="false">IF(B352="","",IFERROR(INDEX(식자재단가!$L$4:$L$203,MATCH(B352,식자재단가!$C$4:$C$203,0)),"품목없음"))</f>
        <v/>
      </c>
      <c r="F352" s="28" t="str">
        <f aca="false">IF(OR(B352="",C352=""),"",IF(ISNUMBER(E352),C352*E352,0))</f>
        <v/>
      </c>
      <c r="G352" s="14"/>
    </row>
    <row r="353" customFormat="false" ht="15" hidden="false" customHeight="false" outlineLevel="0" collapsed="false">
      <c r="A353" s="14"/>
      <c r="B353" s="14"/>
      <c r="C353" s="76"/>
      <c r="D353" s="59" t="str">
        <f aca="false">IF(B353="","",IFERROR(INDEX(식자재단가!$I$4:$I$203,MATCH(B353,식자재단가!$C$4:$C$203,0)),"?"))</f>
        <v/>
      </c>
      <c r="E353" s="77" t="str">
        <f aca="false">IF(B353="","",IFERROR(INDEX(식자재단가!$L$4:$L$203,MATCH(B353,식자재단가!$C$4:$C$203,0)),"품목없음"))</f>
        <v/>
      </c>
      <c r="F353" s="28" t="str">
        <f aca="false">IF(OR(B353="",C353=""),"",IF(ISNUMBER(E353),C353*E353,0))</f>
        <v/>
      </c>
      <c r="G353" s="14"/>
    </row>
    <row r="354" customFormat="false" ht="15" hidden="false" customHeight="false" outlineLevel="0" collapsed="false">
      <c r="A354" s="14"/>
      <c r="B354" s="14"/>
      <c r="C354" s="76"/>
      <c r="D354" s="59" t="str">
        <f aca="false">IF(B354="","",IFERROR(INDEX(식자재단가!$I$4:$I$203,MATCH(B354,식자재단가!$C$4:$C$203,0)),"?"))</f>
        <v/>
      </c>
      <c r="E354" s="77" t="str">
        <f aca="false">IF(B354="","",IFERROR(INDEX(식자재단가!$L$4:$L$203,MATCH(B354,식자재단가!$C$4:$C$203,0)),"품목없음"))</f>
        <v/>
      </c>
      <c r="F354" s="28" t="str">
        <f aca="false">IF(OR(B354="",C354=""),"",IF(ISNUMBER(E354),C354*E354,0))</f>
        <v/>
      </c>
      <c r="G354" s="14"/>
    </row>
    <row r="355" customFormat="false" ht="15" hidden="false" customHeight="false" outlineLevel="0" collapsed="false">
      <c r="A355" s="14"/>
      <c r="B355" s="14"/>
      <c r="C355" s="76"/>
      <c r="D355" s="59" t="str">
        <f aca="false">IF(B355="","",IFERROR(INDEX(식자재단가!$I$4:$I$203,MATCH(B355,식자재단가!$C$4:$C$203,0)),"?"))</f>
        <v/>
      </c>
      <c r="E355" s="77" t="str">
        <f aca="false">IF(B355="","",IFERROR(INDEX(식자재단가!$L$4:$L$203,MATCH(B355,식자재단가!$C$4:$C$203,0)),"품목없음"))</f>
        <v/>
      </c>
      <c r="F355" s="28" t="str">
        <f aca="false">IF(OR(B355="",C355=""),"",IF(ISNUMBER(E355),C355*E355,0))</f>
        <v/>
      </c>
      <c r="G355" s="14"/>
    </row>
    <row r="356" customFormat="false" ht="15" hidden="false" customHeight="false" outlineLevel="0" collapsed="false">
      <c r="A356" s="14"/>
      <c r="B356" s="14"/>
      <c r="C356" s="76"/>
      <c r="D356" s="59" t="str">
        <f aca="false">IF(B356="","",IFERROR(INDEX(식자재단가!$I$4:$I$203,MATCH(B356,식자재단가!$C$4:$C$203,0)),"?"))</f>
        <v/>
      </c>
      <c r="E356" s="77" t="str">
        <f aca="false">IF(B356="","",IFERROR(INDEX(식자재단가!$L$4:$L$203,MATCH(B356,식자재단가!$C$4:$C$203,0)),"품목없음"))</f>
        <v/>
      </c>
      <c r="F356" s="28" t="str">
        <f aca="false">IF(OR(B356="",C356=""),"",IF(ISNUMBER(E356),C356*E356,0))</f>
        <v/>
      </c>
      <c r="G356" s="14"/>
    </row>
    <row r="357" customFormat="false" ht="15" hidden="false" customHeight="false" outlineLevel="0" collapsed="false">
      <c r="A357" s="14"/>
      <c r="B357" s="14"/>
      <c r="C357" s="76"/>
      <c r="D357" s="59" t="str">
        <f aca="false">IF(B357="","",IFERROR(INDEX(식자재단가!$I$4:$I$203,MATCH(B357,식자재단가!$C$4:$C$203,0)),"?"))</f>
        <v/>
      </c>
      <c r="E357" s="77" t="str">
        <f aca="false">IF(B357="","",IFERROR(INDEX(식자재단가!$L$4:$L$203,MATCH(B357,식자재단가!$C$4:$C$203,0)),"품목없음"))</f>
        <v/>
      </c>
      <c r="F357" s="28" t="str">
        <f aca="false">IF(OR(B357="",C357=""),"",IF(ISNUMBER(E357),C357*E357,0))</f>
        <v/>
      </c>
      <c r="G357" s="14"/>
    </row>
    <row r="358" customFormat="false" ht="15" hidden="false" customHeight="false" outlineLevel="0" collapsed="false">
      <c r="A358" s="14"/>
      <c r="B358" s="14"/>
      <c r="C358" s="76"/>
      <c r="D358" s="59" t="str">
        <f aca="false">IF(B358="","",IFERROR(INDEX(식자재단가!$I$4:$I$203,MATCH(B358,식자재단가!$C$4:$C$203,0)),"?"))</f>
        <v/>
      </c>
      <c r="E358" s="77" t="str">
        <f aca="false">IF(B358="","",IFERROR(INDEX(식자재단가!$L$4:$L$203,MATCH(B358,식자재단가!$C$4:$C$203,0)),"품목없음"))</f>
        <v/>
      </c>
      <c r="F358" s="28" t="str">
        <f aca="false">IF(OR(B358="",C358=""),"",IF(ISNUMBER(E358),C358*E358,0))</f>
        <v/>
      </c>
      <c r="G358" s="14"/>
    </row>
    <row r="359" customFormat="false" ht="15" hidden="false" customHeight="false" outlineLevel="0" collapsed="false">
      <c r="A359" s="14"/>
      <c r="B359" s="14"/>
      <c r="C359" s="76"/>
      <c r="D359" s="59" t="str">
        <f aca="false">IF(B359="","",IFERROR(INDEX(식자재단가!$I$4:$I$203,MATCH(B359,식자재단가!$C$4:$C$203,0)),"?"))</f>
        <v/>
      </c>
      <c r="E359" s="77" t="str">
        <f aca="false">IF(B359="","",IFERROR(INDEX(식자재단가!$L$4:$L$203,MATCH(B359,식자재단가!$C$4:$C$203,0)),"품목없음"))</f>
        <v/>
      </c>
      <c r="F359" s="28" t="str">
        <f aca="false">IF(OR(B359="",C359=""),"",IF(ISNUMBER(E359),C359*E359,0))</f>
        <v/>
      </c>
      <c r="G359" s="14"/>
    </row>
    <row r="360" customFormat="false" ht="15" hidden="false" customHeight="false" outlineLevel="0" collapsed="false">
      <c r="A360" s="14"/>
      <c r="B360" s="14"/>
      <c r="C360" s="76"/>
      <c r="D360" s="59" t="str">
        <f aca="false">IF(B360="","",IFERROR(INDEX(식자재단가!$I$4:$I$203,MATCH(B360,식자재단가!$C$4:$C$203,0)),"?"))</f>
        <v/>
      </c>
      <c r="E360" s="77" t="str">
        <f aca="false">IF(B360="","",IFERROR(INDEX(식자재단가!$L$4:$L$203,MATCH(B360,식자재단가!$C$4:$C$203,0)),"품목없음"))</f>
        <v/>
      </c>
      <c r="F360" s="28" t="str">
        <f aca="false">IF(OR(B360="",C360=""),"",IF(ISNUMBER(E360),C360*E360,0))</f>
        <v/>
      </c>
      <c r="G360" s="14"/>
    </row>
    <row r="361" customFormat="false" ht="15" hidden="false" customHeight="false" outlineLevel="0" collapsed="false">
      <c r="A361" s="14"/>
      <c r="B361" s="14"/>
      <c r="C361" s="76"/>
      <c r="D361" s="59" t="str">
        <f aca="false">IF(B361="","",IFERROR(INDEX(식자재단가!$I$4:$I$203,MATCH(B361,식자재단가!$C$4:$C$203,0)),"?"))</f>
        <v/>
      </c>
      <c r="E361" s="77" t="str">
        <f aca="false">IF(B361="","",IFERROR(INDEX(식자재단가!$L$4:$L$203,MATCH(B361,식자재단가!$C$4:$C$203,0)),"품목없음"))</f>
        <v/>
      </c>
      <c r="F361" s="28" t="str">
        <f aca="false">IF(OR(B361="",C361=""),"",IF(ISNUMBER(E361),C361*E361,0))</f>
        <v/>
      </c>
      <c r="G361" s="14"/>
    </row>
    <row r="362" customFormat="false" ht="15" hidden="false" customHeight="false" outlineLevel="0" collapsed="false">
      <c r="A362" s="14"/>
      <c r="B362" s="14"/>
      <c r="C362" s="76"/>
      <c r="D362" s="59" t="str">
        <f aca="false">IF(B362="","",IFERROR(INDEX(식자재단가!$I$4:$I$203,MATCH(B362,식자재단가!$C$4:$C$203,0)),"?"))</f>
        <v/>
      </c>
      <c r="E362" s="77" t="str">
        <f aca="false">IF(B362="","",IFERROR(INDEX(식자재단가!$L$4:$L$203,MATCH(B362,식자재단가!$C$4:$C$203,0)),"품목없음"))</f>
        <v/>
      </c>
      <c r="F362" s="28" t="str">
        <f aca="false">IF(OR(B362="",C362=""),"",IF(ISNUMBER(E362),C362*E362,0))</f>
        <v/>
      </c>
      <c r="G362" s="14"/>
    </row>
    <row r="363" customFormat="false" ht="15" hidden="false" customHeight="false" outlineLevel="0" collapsed="false">
      <c r="A363" s="14"/>
      <c r="B363" s="14"/>
      <c r="C363" s="76"/>
      <c r="D363" s="59" t="str">
        <f aca="false">IF(B363="","",IFERROR(INDEX(식자재단가!$I$4:$I$203,MATCH(B363,식자재단가!$C$4:$C$203,0)),"?"))</f>
        <v/>
      </c>
      <c r="E363" s="77" t="str">
        <f aca="false">IF(B363="","",IFERROR(INDEX(식자재단가!$L$4:$L$203,MATCH(B363,식자재단가!$C$4:$C$203,0)),"품목없음"))</f>
        <v/>
      </c>
      <c r="F363" s="28" t="str">
        <f aca="false">IF(OR(B363="",C363=""),"",IF(ISNUMBER(E363),C363*E363,0))</f>
        <v/>
      </c>
      <c r="G363" s="14"/>
    </row>
    <row r="364" customFormat="false" ht="15" hidden="false" customHeight="false" outlineLevel="0" collapsed="false">
      <c r="A364" s="14"/>
      <c r="B364" s="14"/>
      <c r="C364" s="76"/>
      <c r="D364" s="59" t="str">
        <f aca="false">IF(B364="","",IFERROR(INDEX(식자재단가!$I$4:$I$203,MATCH(B364,식자재단가!$C$4:$C$203,0)),"?"))</f>
        <v/>
      </c>
      <c r="E364" s="77" t="str">
        <f aca="false">IF(B364="","",IFERROR(INDEX(식자재단가!$L$4:$L$203,MATCH(B364,식자재단가!$C$4:$C$203,0)),"품목없음"))</f>
        <v/>
      </c>
      <c r="F364" s="28" t="str">
        <f aca="false">IF(OR(B364="",C364=""),"",IF(ISNUMBER(E364),C364*E364,0))</f>
        <v/>
      </c>
      <c r="G364" s="14"/>
    </row>
    <row r="365" customFormat="false" ht="15" hidden="false" customHeight="false" outlineLevel="0" collapsed="false">
      <c r="A365" s="14"/>
      <c r="B365" s="14"/>
      <c r="C365" s="76"/>
      <c r="D365" s="59" t="str">
        <f aca="false">IF(B365="","",IFERROR(INDEX(식자재단가!$I$4:$I$203,MATCH(B365,식자재단가!$C$4:$C$203,0)),"?"))</f>
        <v/>
      </c>
      <c r="E365" s="77" t="str">
        <f aca="false">IF(B365="","",IFERROR(INDEX(식자재단가!$L$4:$L$203,MATCH(B365,식자재단가!$C$4:$C$203,0)),"품목없음"))</f>
        <v/>
      </c>
      <c r="F365" s="28" t="str">
        <f aca="false">IF(OR(B365="",C365=""),"",IF(ISNUMBER(E365),C365*E365,0))</f>
        <v/>
      </c>
      <c r="G365" s="14"/>
    </row>
    <row r="366" customFormat="false" ht="15" hidden="false" customHeight="false" outlineLevel="0" collapsed="false">
      <c r="A366" s="14"/>
      <c r="B366" s="14"/>
      <c r="C366" s="76"/>
      <c r="D366" s="59" t="str">
        <f aca="false">IF(B366="","",IFERROR(INDEX(식자재단가!$I$4:$I$203,MATCH(B366,식자재단가!$C$4:$C$203,0)),"?"))</f>
        <v/>
      </c>
      <c r="E366" s="77" t="str">
        <f aca="false">IF(B366="","",IFERROR(INDEX(식자재단가!$L$4:$L$203,MATCH(B366,식자재단가!$C$4:$C$203,0)),"품목없음"))</f>
        <v/>
      </c>
      <c r="F366" s="28" t="str">
        <f aca="false">IF(OR(B366="",C366=""),"",IF(ISNUMBER(E366),C366*E366,0))</f>
        <v/>
      </c>
      <c r="G366" s="14"/>
    </row>
    <row r="367" customFormat="false" ht="15" hidden="false" customHeight="false" outlineLevel="0" collapsed="false">
      <c r="A367" s="14"/>
      <c r="B367" s="14"/>
      <c r="C367" s="76"/>
      <c r="D367" s="59" t="str">
        <f aca="false">IF(B367="","",IFERROR(INDEX(식자재단가!$I$4:$I$203,MATCH(B367,식자재단가!$C$4:$C$203,0)),"?"))</f>
        <v/>
      </c>
      <c r="E367" s="77" t="str">
        <f aca="false">IF(B367="","",IFERROR(INDEX(식자재단가!$L$4:$L$203,MATCH(B367,식자재단가!$C$4:$C$203,0)),"품목없음"))</f>
        <v/>
      </c>
      <c r="F367" s="28" t="str">
        <f aca="false">IF(OR(B367="",C367=""),"",IF(ISNUMBER(E367),C367*E367,0))</f>
        <v/>
      </c>
      <c r="G367" s="14"/>
    </row>
    <row r="368" customFormat="false" ht="15" hidden="false" customHeight="false" outlineLevel="0" collapsed="false">
      <c r="A368" s="14"/>
      <c r="B368" s="14"/>
      <c r="C368" s="76"/>
      <c r="D368" s="59" t="str">
        <f aca="false">IF(B368="","",IFERROR(INDEX(식자재단가!$I$4:$I$203,MATCH(B368,식자재단가!$C$4:$C$203,0)),"?"))</f>
        <v/>
      </c>
      <c r="E368" s="77" t="str">
        <f aca="false">IF(B368="","",IFERROR(INDEX(식자재단가!$L$4:$L$203,MATCH(B368,식자재단가!$C$4:$C$203,0)),"품목없음"))</f>
        <v/>
      </c>
      <c r="F368" s="28" t="str">
        <f aca="false">IF(OR(B368="",C368=""),"",IF(ISNUMBER(E368),C368*E368,0))</f>
        <v/>
      </c>
      <c r="G368" s="14"/>
    </row>
    <row r="369" customFormat="false" ht="15" hidden="false" customHeight="false" outlineLevel="0" collapsed="false">
      <c r="A369" s="14"/>
      <c r="B369" s="14"/>
      <c r="C369" s="76"/>
      <c r="D369" s="59" t="str">
        <f aca="false">IF(B369="","",IFERROR(INDEX(식자재단가!$I$4:$I$203,MATCH(B369,식자재단가!$C$4:$C$203,0)),"?"))</f>
        <v/>
      </c>
      <c r="E369" s="77" t="str">
        <f aca="false">IF(B369="","",IFERROR(INDEX(식자재단가!$L$4:$L$203,MATCH(B369,식자재단가!$C$4:$C$203,0)),"품목없음"))</f>
        <v/>
      </c>
      <c r="F369" s="28" t="str">
        <f aca="false">IF(OR(B369="",C369=""),"",IF(ISNUMBER(E369),C369*E369,0))</f>
        <v/>
      </c>
      <c r="G369" s="14"/>
    </row>
    <row r="370" customFormat="false" ht="15" hidden="false" customHeight="false" outlineLevel="0" collapsed="false">
      <c r="A370" s="14"/>
      <c r="B370" s="14"/>
      <c r="C370" s="76"/>
      <c r="D370" s="59" t="str">
        <f aca="false">IF(B370="","",IFERROR(INDEX(식자재단가!$I$4:$I$203,MATCH(B370,식자재단가!$C$4:$C$203,0)),"?"))</f>
        <v/>
      </c>
      <c r="E370" s="77" t="str">
        <f aca="false">IF(B370="","",IFERROR(INDEX(식자재단가!$L$4:$L$203,MATCH(B370,식자재단가!$C$4:$C$203,0)),"품목없음"))</f>
        <v/>
      </c>
      <c r="F370" s="28" t="str">
        <f aca="false">IF(OR(B370="",C370=""),"",IF(ISNUMBER(E370),C370*E370,0))</f>
        <v/>
      </c>
      <c r="G370" s="14"/>
    </row>
    <row r="371" customFormat="false" ht="15" hidden="false" customHeight="false" outlineLevel="0" collapsed="false">
      <c r="A371" s="14"/>
      <c r="B371" s="14"/>
      <c r="C371" s="76"/>
      <c r="D371" s="59" t="str">
        <f aca="false">IF(B371="","",IFERROR(INDEX(식자재단가!$I$4:$I$203,MATCH(B371,식자재단가!$C$4:$C$203,0)),"?"))</f>
        <v/>
      </c>
      <c r="E371" s="77" t="str">
        <f aca="false">IF(B371="","",IFERROR(INDEX(식자재단가!$L$4:$L$203,MATCH(B371,식자재단가!$C$4:$C$203,0)),"품목없음"))</f>
        <v/>
      </c>
      <c r="F371" s="28" t="str">
        <f aca="false">IF(OR(B371="",C371=""),"",IF(ISNUMBER(E371),C371*E371,0))</f>
        <v/>
      </c>
      <c r="G371" s="14"/>
    </row>
    <row r="372" customFormat="false" ht="15" hidden="false" customHeight="false" outlineLevel="0" collapsed="false">
      <c r="A372" s="14"/>
      <c r="B372" s="14"/>
      <c r="C372" s="76"/>
      <c r="D372" s="59" t="str">
        <f aca="false">IF(B372="","",IFERROR(INDEX(식자재단가!$I$4:$I$203,MATCH(B372,식자재단가!$C$4:$C$203,0)),"?"))</f>
        <v/>
      </c>
      <c r="E372" s="77" t="str">
        <f aca="false">IF(B372="","",IFERROR(INDEX(식자재단가!$L$4:$L$203,MATCH(B372,식자재단가!$C$4:$C$203,0)),"품목없음"))</f>
        <v/>
      </c>
      <c r="F372" s="28" t="str">
        <f aca="false">IF(OR(B372="",C372=""),"",IF(ISNUMBER(E372),C372*E372,0))</f>
        <v/>
      </c>
      <c r="G372" s="14"/>
    </row>
    <row r="373" customFormat="false" ht="15" hidden="false" customHeight="false" outlineLevel="0" collapsed="false">
      <c r="A373" s="14"/>
      <c r="B373" s="14"/>
      <c r="C373" s="76"/>
      <c r="D373" s="59" t="str">
        <f aca="false">IF(B373="","",IFERROR(INDEX(식자재단가!$I$4:$I$203,MATCH(B373,식자재단가!$C$4:$C$203,0)),"?"))</f>
        <v/>
      </c>
      <c r="E373" s="77" t="str">
        <f aca="false">IF(B373="","",IFERROR(INDEX(식자재단가!$L$4:$L$203,MATCH(B373,식자재단가!$C$4:$C$203,0)),"품목없음"))</f>
        <v/>
      </c>
      <c r="F373" s="28" t="str">
        <f aca="false">IF(OR(B373="",C373=""),"",IF(ISNUMBER(E373),C373*E373,0))</f>
        <v/>
      </c>
      <c r="G373" s="14"/>
    </row>
    <row r="374" customFormat="false" ht="15" hidden="false" customHeight="false" outlineLevel="0" collapsed="false">
      <c r="A374" s="14"/>
      <c r="B374" s="14"/>
      <c r="C374" s="76"/>
      <c r="D374" s="59" t="str">
        <f aca="false">IF(B374="","",IFERROR(INDEX(식자재단가!$I$4:$I$203,MATCH(B374,식자재단가!$C$4:$C$203,0)),"?"))</f>
        <v/>
      </c>
      <c r="E374" s="77" t="str">
        <f aca="false">IF(B374="","",IFERROR(INDEX(식자재단가!$L$4:$L$203,MATCH(B374,식자재단가!$C$4:$C$203,0)),"품목없음"))</f>
        <v/>
      </c>
      <c r="F374" s="28" t="str">
        <f aca="false">IF(OR(B374="",C374=""),"",IF(ISNUMBER(E374),C374*E374,0))</f>
        <v/>
      </c>
      <c r="G374" s="14"/>
    </row>
    <row r="375" customFormat="false" ht="15" hidden="false" customHeight="false" outlineLevel="0" collapsed="false">
      <c r="A375" s="14"/>
      <c r="B375" s="14"/>
      <c r="C375" s="76"/>
      <c r="D375" s="59" t="str">
        <f aca="false">IF(B375="","",IFERROR(INDEX(식자재단가!$I$4:$I$203,MATCH(B375,식자재단가!$C$4:$C$203,0)),"?"))</f>
        <v/>
      </c>
      <c r="E375" s="77" t="str">
        <f aca="false">IF(B375="","",IFERROR(INDEX(식자재단가!$L$4:$L$203,MATCH(B375,식자재단가!$C$4:$C$203,0)),"품목없음"))</f>
        <v/>
      </c>
      <c r="F375" s="28" t="str">
        <f aca="false">IF(OR(B375="",C375=""),"",IF(ISNUMBER(E375),C375*E375,0))</f>
        <v/>
      </c>
      <c r="G375" s="14"/>
    </row>
    <row r="376" customFormat="false" ht="15" hidden="false" customHeight="false" outlineLevel="0" collapsed="false">
      <c r="A376" s="14"/>
      <c r="B376" s="14"/>
      <c r="C376" s="76"/>
      <c r="D376" s="59" t="str">
        <f aca="false">IF(B376="","",IFERROR(INDEX(식자재단가!$I$4:$I$203,MATCH(B376,식자재단가!$C$4:$C$203,0)),"?"))</f>
        <v/>
      </c>
      <c r="E376" s="77" t="str">
        <f aca="false">IF(B376="","",IFERROR(INDEX(식자재단가!$L$4:$L$203,MATCH(B376,식자재단가!$C$4:$C$203,0)),"품목없음"))</f>
        <v/>
      </c>
      <c r="F376" s="28" t="str">
        <f aca="false">IF(OR(B376="",C376=""),"",IF(ISNUMBER(E376),C376*E376,0))</f>
        <v/>
      </c>
      <c r="G376" s="14"/>
    </row>
    <row r="377" customFormat="false" ht="15" hidden="false" customHeight="false" outlineLevel="0" collapsed="false">
      <c r="A377" s="14"/>
      <c r="B377" s="14"/>
      <c r="C377" s="76"/>
      <c r="D377" s="59" t="str">
        <f aca="false">IF(B377="","",IFERROR(INDEX(식자재단가!$I$4:$I$203,MATCH(B377,식자재단가!$C$4:$C$203,0)),"?"))</f>
        <v/>
      </c>
      <c r="E377" s="77" t="str">
        <f aca="false">IF(B377="","",IFERROR(INDEX(식자재단가!$L$4:$L$203,MATCH(B377,식자재단가!$C$4:$C$203,0)),"품목없음"))</f>
        <v/>
      </c>
      <c r="F377" s="28" t="str">
        <f aca="false">IF(OR(B377="",C377=""),"",IF(ISNUMBER(E377),C377*E377,0))</f>
        <v/>
      </c>
      <c r="G377" s="14"/>
    </row>
    <row r="378" customFormat="false" ht="15" hidden="false" customHeight="false" outlineLevel="0" collapsed="false">
      <c r="A378" s="14"/>
      <c r="B378" s="14"/>
      <c r="C378" s="76"/>
      <c r="D378" s="59" t="str">
        <f aca="false">IF(B378="","",IFERROR(INDEX(식자재단가!$I$4:$I$203,MATCH(B378,식자재단가!$C$4:$C$203,0)),"?"))</f>
        <v/>
      </c>
      <c r="E378" s="77" t="str">
        <f aca="false">IF(B378="","",IFERROR(INDEX(식자재단가!$L$4:$L$203,MATCH(B378,식자재단가!$C$4:$C$203,0)),"품목없음"))</f>
        <v/>
      </c>
      <c r="F378" s="28" t="str">
        <f aca="false">IF(OR(B378="",C378=""),"",IF(ISNUMBER(E378),C378*E378,0))</f>
        <v/>
      </c>
      <c r="G378" s="14"/>
    </row>
    <row r="379" customFormat="false" ht="15" hidden="false" customHeight="false" outlineLevel="0" collapsed="false">
      <c r="A379" s="14"/>
      <c r="B379" s="14"/>
      <c r="C379" s="76"/>
      <c r="D379" s="59" t="str">
        <f aca="false">IF(B379="","",IFERROR(INDEX(식자재단가!$I$4:$I$203,MATCH(B379,식자재단가!$C$4:$C$203,0)),"?"))</f>
        <v/>
      </c>
      <c r="E379" s="77" t="str">
        <f aca="false">IF(B379="","",IFERROR(INDEX(식자재단가!$L$4:$L$203,MATCH(B379,식자재단가!$C$4:$C$203,0)),"품목없음"))</f>
        <v/>
      </c>
      <c r="F379" s="28" t="str">
        <f aca="false">IF(OR(B379="",C379=""),"",IF(ISNUMBER(E379),C379*E379,0))</f>
        <v/>
      </c>
      <c r="G379" s="14"/>
    </row>
    <row r="380" customFormat="false" ht="15" hidden="false" customHeight="false" outlineLevel="0" collapsed="false">
      <c r="A380" s="14"/>
      <c r="B380" s="14"/>
      <c r="C380" s="76"/>
      <c r="D380" s="59" t="str">
        <f aca="false">IF(B380="","",IFERROR(INDEX(식자재단가!$I$4:$I$203,MATCH(B380,식자재단가!$C$4:$C$203,0)),"?"))</f>
        <v/>
      </c>
      <c r="E380" s="77" t="str">
        <f aca="false">IF(B380="","",IFERROR(INDEX(식자재단가!$L$4:$L$203,MATCH(B380,식자재단가!$C$4:$C$203,0)),"품목없음"))</f>
        <v/>
      </c>
      <c r="F380" s="28" t="str">
        <f aca="false">IF(OR(B380="",C380=""),"",IF(ISNUMBER(E380),C380*E380,0))</f>
        <v/>
      </c>
      <c r="G380" s="14"/>
    </row>
    <row r="381" customFormat="false" ht="15" hidden="false" customHeight="false" outlineLevel="0" collapsed="false">
      <c r="A381" s="14"/>
      <c r="B381" s="14"/>
      <c r="C381" s="76"/>
      <c r="D381" s="59" t="str">
        <f aca="false">IF(B381="","",IFERROR(INDEX(식자재단가!$I$4:$I$203,MATCH(B381,식자재단가!$C$4:$C$203,0)),"?"))</f>
        <v/>
      </c>
      <c r="E381" s="77" t="str">
        <f aca="false">IF(B381="","",IFERROR(INDEX(식자재단가!$L$4:$L$203,MATCH(B381,식자재단가!$C$4:$C$203,0)),"품목없음"))</f>
        <v/>
      </c>
      <c r="F381" s="28" t="str">
        <f aca="false">IF(OR(B381="",C381=""),"",IF(ISNUMBER(E381),C381*E381,0))</f>
        <v/>
      </c>
      <c r="G381" s="14"/>
    </row>
    <row r="382" customFormat="false" ht="15" hidden="false" customHeight="false" outlineLevel="0" collapsed="false">
      <c r="A382" s="14"/>
      <c r="B382" s="14"/>
      <c r="C382" s="76"/>
      <c r="D382" s="59" t="str">
        <f aca="false">IF(B382="","",IFERROR(INDEX(식자재단가!$I$4:$I$203,MATCH(B382,식자재단가!$C$4:$C$203,0)),"?"))</f>
        <v/>
      </c>
      <c r="E382" s="77" t="str">
        <f aca="false">IF(B382="","",IFERROR(INDEX(식자재단가!$L$4:$L$203,MATCH(B382,식자재단가!$C$4:$C$203,0)),"품목없음"))</f>
        <v/>
      </c>
      <c r="F382" s="28" t="str">
        <f aca="false">IF(OR(B382="",C382=""),"",IF(ISNUMBER(E382),C382*E382,0))</f>
        <v/>
      </c>
      <c r="G382" s="14"/>
    </row>
    <row r="383" customFormat="false" ht="15" hidden="false" customHeight="false" outlineLevel="0" collapsed="false">
      <c r="A383" s="14"/>
      <c r="B383" s="14"/>
      <c r="C383" s="76"/>
      <c r="D383" s="59" t="str">
        <f aca="false">IF(B383="","",IFERROR(INDEX(식자재단가!$I$4:$I$203,MATCH(B383,식자재단가!$C$4:$C$203,0)),"?"))</f>
        <v/>
      </c>
      <c r="E383" s="77" t="str">
        <f aca="false">IF(B383="","",IFERROR(INDEX(식자재단가!$L$4:$L$203,MATCH(B383,식자재단가!$C$4:$C$203,0)),"품목없음"))</f>
        <v/>
      </c>
      <c r="F383" s="28" t="str">
        <f aca="false">IF(OR(B383="",C383=""),"",IF(ISNUMBER(E383),C383*E383,0))</f>
        <v/>
      </c>
      <c r="G383" s="14"/>
    </row>
    <row r="384" customFormat="false" ht="15" hidden="false" customHeight="false" outlineLevel="0" collapsed="false">
      <c r="A384" s="14"/>
      <c r="B384" s="14"/>
      <c r="C384" s="76"/>
      <c r="D384" s="59" t="str">
        <f aca="false">IF(B384="","",IFERROR(INDEX(식자재단가!$I$4:$I$203,MATCH(B384,식자재단가!$C$4:$C$203,0)),"?"))</f>
        <v/>
      </c>
      <c r="E384" s="77" t="str">
        <f aca="false">IF(B384="","",IFERROR(INDEX(식자재단가!$L$4:$L$203,MATCH(B384,식자재단가!$C$4:$C$203,0)),"품목없음"))</f>
        <v/>
      </c>
      <c r="F384" s="28" t="str">
        <f aca="false">IF(OR(B384="",C384=""),"",IF(ISNUMBER(E384),C384*E384,0))</f>
        <v/>
      </c>
      <c r="G384" s="14"/>
    </row>
    <row r="385" customFormat="false" ht="15" hidden="false" customHeight="false" outlineLevel="0" collapsed="false">
      <c r="A385" s="14"/>
      <c r="B385" s="14"/>
      <c r="C385" s="76"/>
      <c r="D385" s="59" t="str">
        <f aca="false">IF(B385="","",IFERROR(INDEX(식자재단가!$I$4:$I$203,MATCH(B385,식자재단가!$C$4:$C$203,0)),"?"))</f>
        <v/>
      </c>
      <c r="E385" s="77" t="str">
        <f aca="false">IF(B385="","",IFERROR(INDEX(식자재단가!$L$4:$L$203,MATCH(B385,식자재단가!$C$4:$C$203,0)),"품목없음"))</f>
        <v/>
      </c>
      <c r="F385" s="28" t="str">
        <f aca="false">IF(OR(B385="",C385=""),"",IF(ISNUMBER(E385),C385*E385,0))</f>
        <v/>
      </c>
      <c r="G385" s="14"/>
    </row>
    <row r="386" customFormat="false" ht="15" hidden="false" customHeight="false" outlineLevel="0" collapsed="false">
      <c r="A386" s="14"/>
      <c r="B386" s="14"/>
      <c r="C386" s="76"/>
      <c r="D386" s="59" t="str">
        <f aca="false">IF(B386="","",IFERROR(INDEX(식자재단가!$I$4:$I$203,MATCH(B386,식자재단가!$C$4:$C$203,0)),"?"))</f>
        <v/>
      </c>
      <c r="E386" s="77" t="str">
        <f aca="false">IF(B386="","",IFERROR(INDEX(식자재단가!$L$4:$L$203,MATCH(B386,식자재단가!$C$4:$C$203,0)),"품목없음"))</f>
        <v/>
      </c>
      <c r="F386" s="28" t="str">
        <f aca="false">IF(OR(B386="",C386=""),"",IF(ISNUMBER(E386),C386*E386,0))</f>
        <v/>
      </c>
      <c r="G386" s="14"/>
    </row>
    <row r="387" customFormat="false" ht="15" hidden="false" customHeight="false" outlineLevel="0" collapsed="false">
      <c r="A387" s="14"/>
      <c r="B387" s="14"/>
      <c r="C387" s="76"/>
      <c r="D387" s="59" t="str">
        <f aca="false">IF(B387="","",IFERROR(INDEX(식자재단가!$I$4:$I$203,MATCH(B387,식자재단가!$C$4:$C$203,0)),"?"))</f>
        <v/>
      </c>
      <c r="E387" s="77" t="str">
        <f aca="false">IF(B387="","",IFERROR(INDEX(식자재단가!$L$4:$L$203,MATCH(B387,식자재단가!$C$4:$C$203,0)),"품목없음"))</f>
        <v/>
      </c>
      <c r="F387" s="28" t="str">
        <f aca="false">IF(OR(B387="",C387=""),"",IF(ISNUMBER(E387),C387*E387,0))</f>
        <v/>
      </c>
      <c r="G387" s="14"/>
    </row>
    <row r="388" customFormat="false" ht="15" hidden="false" customHeight="false" outlineLevel="0" collapsed="false">
      <c r="A388" s="14"/>
      <c r="B388" s="14"/>
      <c r="C388" s="76"/>
      <c r="D388" s="59" t="str">
        <f aca="false">IF(B388="","",IFERROR(INDEX(식자재단가!$I$4:$I$203,MATCH(B388,식자재단가!$C$4:$C$203,0)),"?"))</f>
        <v/>
      </c>
      <c r="E388" s="77" t="str">
        <f aca="false">IF(B388="","",IFERROR(INDEX(식자재단가!$L$4:$L$203,MATCH(B388,식자재단가!$C$4:$C$203,0)),"품목없음"))</f>
        <v/>
      </c>
      <c r="F388" s="28" t="str">
        <f aca="false">IF(OR(B388="",C388=""),"",IF(ISNUMBER(E388),C388*E388,0))</f>
        <v/>
      </c>
      <c r="G388" s="14"/>
    </row>
    <row r="389" customFormat="false" ht="15" hidden="false" customHeight="false" outlineLevel="0" collapsed="false">
      <c r="A389" s="14"/>
      <c r="B389" s="14"/>
      <c r="C389" s="76"/>
      <c r="D389" s="59" t="str">
        <f aca="false">IF(B389="","",IFERROR(INDEX(식자재단가!$I$4:$I$203,MATCH(B389,식자재단가!$C$4:$C$203,0)),"?"))</f>
        <v/>
      </c>
      <c r="E389" s="77" t="str">
        <f aca="false">IF(B389="","",IFERROR(INDEX(식자재단가!$L$4:$L$203,MATCH(B389,식자재단가!$C$4:$C$203,0)),"품목없음"))</f>
        <v/>
      </c>
      <c r="F389" s="28" t="str">
        <f aca="false">IF(OR(B389="",C389=""),"",IF(ISNUMBER(E389),C389*E389,0))</f>
        <v/>
      </c>
      <c r="G389" s="14"/>
    </row>
    <row r="390" customFormat="false" ht="15" hidden="false" customHeight="false" outlineLevel="0" collapsed="false">
      <c r="A390" s="14"/>
      <c r="B390" s="14"/>
      <c r="C390" s="76"/>
      <c r="D390" s="59" t="str">
        <f aca="false">IF(B390="","",IFERROR(INDEX(식자재단가!$I$4:$I$203,MATCH(B390,식자재단가!$C$4:$C$203,0)),"?"))</f>
        <v/>
      </c>
      <c r="E390" s="77" t="str">
        <f aca="false">IF(B390="","",IFERROR(INDEX(식자재단가!$L$4:$L$203,MATCH(B390,식자재단가!$C$4:$C$203,0)),"품목없음"))</f>
        <v/>
      </c>
      <c r="F390" s="28" t="str">
        <f aca="false">IF(OR(B390="",C390=""),"",IF(ISNUMBER(E390),C390*E390,0))</f>
        <v/>
      </c>
      <c r="G390" s="14"/>
    </row>
    <row r="391" customFormat="false" ht="15" hidden="false" customHeight="false" outlineLevel="0" collapsed="false">
      <c r="A391" s="14"/>
      <c r="B391" s="14"/>
      <c r="C391" s="76"/>
      <c r="D391" s="59" t="str">
        <f aca="false">IF(B391="","",IFERROR(INDEX(식자재단가!$I$4:$I$203,MATCH(B391,식자재단가!$C$4:$C$203,0)),"?"))</f>
        <v/>
      </c>
      <c r="E391" s="77" t="str">
        <f aca="false">IF(B391="","",IFERROR(INDEX(식자재단가!$L$4:$L$203,MATCH(B391,식자재단가!$C$4:$C$203,0)),"품목없음"))</f>
        <v/>
      </c>
      <c r="F391" s="28" t="str">
        <f aca="false">IF(OR(B391="",C391=""),"",IF(ISNUMBER(E391),C391*E391,0))</f>
        <v/>
      </c>
      <c r="G391" s="14"/>
    </row>
    <row r="392" customFormat="false" ht="15" hidden="false" customHeight="false" outlineLevel="0" collapsed="false">
      <c r="A392" s="14"/>
      <c r="B392" s="14"/>
      <c r="C392" s="76"/>
      <c r="D392" s="59" t="str">
        <f aca="false">IF(B392="","",IFERROR(INDEX(식자재단가!$I$4:$I$203,MATCH(B392,식자재단가!$C$4:$C$203,0)),"?"))</f>
        <v/>
      </c>
      <c r="E392" s="77" t="str">
        <f aca="false">IF(B392="","",IFERROR(INDEX(식자재단가!$L$4:$L$203,MATCH(B392,식자재단가!$C$4:$C$203,0)),"품목없음"))</f>
        <v/>
      </c>
      <c r="F392" s="28" t="str">
        <f aca="false">IF(OR(B392="",C392=""),"",IF(ISNUMBER(E392),C392*E392,0))</f>
        <v/>
      </c>
      <c r="G392" s="14"/>
    </row>
    <row r="393" customFormat="false" ht="15" hidden="false" customHeight="false" outlineLevel="0" collapsed="false">
      <c r="A393" s="14"/>
      <c r="B393" s="14"/>
      <c r="C393" s="76"/>
      <c r="D393" s="59" t="str">
        <f aca="false">IF(B393="","",IFERROR(INDEX(식자재단가!$I$4:$I$203,MATCH(B393,식자재단가!$C$4:$C$203,0)),"?"))</f>
        <v/>
      </c>
      <c r="E393" s="77" t="str">
        <f aca="false">IF(B393="","",IFERROR(INDEX(식자재단가!$L$4:$L$203,MATCH(B393,식자재단가!$C$4:$C$203,0)),"품목없음"))</f>
        <v/>
      </c>
      <c r="F393" s="28" t="str">
        <f aca="false">IF(OR(B393="",C393=""),"",IF(ISNUMBER(E393),C393*E393,0))</f>
        <v/>
      </c>
      <c r="G393" s="14"/>
    </row>
    <row r="394" customFormat="false" ht="15" hidden="false" customHeight="false" outlineLevel="0" collapsed="false">
      <c r="A394" s="14"/>
      <c r="B394" s="14"/>
      <c r="C394" s="76"/>
      <c r="D394" s="59" t="str">
        <f aca="false">IF(B394="","",IFERROR(INDEX(식자재단가!$I$4:$I$203,MATCH(B394,식자재단가!$C$4:$C$203,0)),"?"))</f>
        <v/>
      </c>
      <c r="E394" s="77" t="str">
        <f aca="false">IF(B394="","",IFERROR(INDEX(식자재단가!$L$4:$L$203,MATCH(B394,식자재단가!$C$4:$C$203,0)),"품목없음"))</f>
        <v/>
      </c>
      <c r="F394" s="28" t="str">
        <f aca="false">IF(OR(B394="",C394=""),"",IF(ISNUMBER(E394),C394*E394,0))</f>
        <v/>
      </c>
      <c r="G394" s="14"/>
    </row>
    <row r="395" customFormat="false" ht="15" hidden="false" customHeight="false" outlineLevel="0" collapsed="false">
      <c r="A395" s="14"/>
      <c r="B395" s="14"/>
      <c r="C395" s="76"/>
      <c r="D395" s="59" t="str">
        <f aca="false">IF(B395="","",IFERROR(INDEX(식자재단가!$I$4:$I$203,MATCH(B395,식자재단가!$C$4:$C$203,0)),"?"))</f>
        <v/>
      </c>
      <c r="E395" s="77" t="str">
        <f aca="false">IF(B395="","",IFERROR(INDEX(식자재단가!$L$4:$L$203,MATCH(B395,식자재단가!$C$4:$C$203,0)),"품목없음"))</f>
        <v/>
      </c>
      <c r="F395" s="28" t="str">
        <f aca="false">IF(OR(B395="",C395=""),"",IF(ISNUMBER(E395),C395*E395,0))</f>
        <v/>
      </c>
      <c r="G395" s="14"/>
    </row>
    <row r="396" customFormat="false" ht="15" hidden="false" customHeight="false" outlineLevel="0" collapsed="false">
      <c r="A396" s="14"/>
      <c r="B396" s="14"/>
      <c r="C396" s="76"/>
      <c r="D396" s="59" t="str">
        <f aca="false">IF(B396="","",IFERROR(INDEX(식자재단가!$I$4:$I$203,MATCH(B396,식자재단가!$C$4:$C$203,0)),"?"))</f>
        <v/>
      </c>
      <c r="E396" s="77" t="str">
        <f aca="false">IF(B396="","",IFERROR(INDEX(식자재단가!$L$4:$L$203,MATCH(B396,식자재단가!$C$4:$C$203,0)),"품목없음"))</f>
        <v/>
      </c>
      <c r="F396" s="28" t="str">
        <f aca="false">IF(OR(B396="",C396=""),"",IF(ISNUMBER(E396),C396*E396,0))</f>
        <v/>
      </c>
      <c r="G396" s="14"/>
    </row>
    <row r="397" customFormat="false" ht="15" hidden="false" customHeight="false" outlineLevel="0" collapsed="false">
      <c r="A397" s="14"/>
      <c r="B397" s="14"/>
      <c r="C397" s="76"/>
      <c r="D397" s="59" t="str">
        <f aca="false">IF(B397="","",IFERROR(INDEX(식자재단가!$I$4:$I$203,MATCH(B397,식자재단가!$C$4:$C$203,0)),"?"))</f>
        <v/>
      </c>
      <c r="E397" s="77" t="str">
        <f aca="false">IF(B397="","",IFERROR(INDEX(식자재단가!$L$4:$L$203,MATCH(B397,식자재단가!$C$4:$C$203,0)),"품목없음"))</f>
        <v/>
      </c>
      <c r="F397" s="28" t="str">
        <f aca="false">IF(OR(B397="",C397=""),"",IF(ISNUMBER(E397),C397*E397,0))</f>
        <v/>
      </c>
      <c r="G397" s="14"/>
    </row>
    <row r="398" customFormat="false" ht="15" hidden="false" customHeight="false" outlineLevel="0" collapsed="false">
      <c r="A398" s="14"/>
      <c r="B398" s="14"/>
      <c r="C398" s="76"/>
      <c r="D398" s="59" t="str">
        <f aca="false">IF(B398="","",IFERROR(INDEX(식자재단가!$I$4:$I$203,MATCH(B398,식자재단가!$C$4:$C$203,0)),"?"))</f>
        <v/>
      </c>
      <c r="E398" s="77" t="str">
        <f aca="false">IF(B398="","",IFERROR(INDEX(식자재단가!$L$4:$L$203,MATCH(B398,식자재단가!$C$4:$C$203,0)),"품목없음"))</f>
        <v/>
      </c>
      <c r="F398" s="28" t="str">
        <f aca="false">IF(OR(B398="",C398=""),"",IF(ISNUMBER(E398),C398*E398,0))</f>
        <v/>
      </c>
      <c r="G398" s="14"/>
    </row>
    <row r="399" customFormat="false" ht="15" hidden="false" customHeight="false" outlineLevel="0" collapsed="false">
      <c r="A399" s="14"/>
      <c r="B399" s="14"/>
      <c r="C399" s="76"/>
      <c r="D399" s="59" t="str">
        <f aca="false">IF(B399="","",IFERROR(INDEX(식자재단가!$I$4:$I$203,MATCH(B399,식자재단가!$C$4:$C$203,0)),"?"))</f>
        <v/>
      </c>
      <c r="E399" s="77" t="str">
        <f aca="false">IF(B399="","",IFERROR(INDEX(식자재단가!$L$4:$L$203,MATCH(B399,식자재단가!$C$4:$C$203,0)),"품목없음"))</f>
        <v/>
      </c>
      <c r="F399" s="28" t="str">
        <f aca="false">IF(OR(B399="",C399=""),"",IF(ISNUMBER(E399),C399*E399,0))</f>
        <v/>
      </c>
      <c r="G399" s="14"/>
    </row>
    <row r="400" customFormat="false" ht="15" hidden="false" customHeight="false" outlineLevel="0" collapsed="false">
      <c r="A400" s="14"/>
      <c r="B400" s="14"/>
      <c r="C400" s="76"/>
      <c r="D400" s="59" t="str">
        <f aca="false">IF(B400="","",IFERROR(INDEX(식자재단가!$I$4:$I$203,MATCH(B400,식자재단가!$C$4:$C$203,0)),"?"))</f>
        <v/>
      </c>
      <c r="E400" s="77" t="str">
        <f aca="false">IF(B400="","",IFERROR(INDEX(식자재단가!$L$4:$L$203,MATCH(B400,식자재단가!$C$4:$C$203,0)),"품목없음"))</f>
        <v/>
      </c>
      <c r="F400" s="28" t="str">
        <f aca="false">IF(OR(B400="",C400=""),"",IF(ISNUMBER(E400),C400*E400,0))</f>
        <v/>
      </c>
      <c r="G400" s="14"/>
    </row>
    <row r="401" customFormat="false" ht="15" hidden="false" customHeight="false" outlineLevel="0" collapsed="false">
      <c r="A401" s="14"/>
      <c r="B401" s="14"/>
      <c r="C401" s="76"/>
      <c r="D401" s="59" t="str">
        <f aca="false">IF(B401="","",IFERROR(INDEX(식자재단가!$I$4:$I$203,MATCH(B401,식자재단가!$C$4:$C$203,0)),"?"))</f>
        <v/>
      </c>
      <c r="E401" s="77" t="str">
        <f aca="false">IF(B401="","",IFERROR(INDEX(식자재단가!$L$4:$L$203,MATCH(B401,식자재단가!$C$4:$C$203,0)),"품목없음"))</f>
        <v/>
      </c>
      <c r="F401" s="28" t="str">
        <f aca="false">IF(OR(B401="",C401=""),"",IF(ISNUMBER(E401),C401*E401,0))</f>
        <v/>
      </c>
      <c r="G401" s="14"/>
    </row>
    <row r="402" customFormat="false" ht="15" hidden="false" customHeight="false" outlineLevel="0" collapsed="false">
      <c r="A402" s="14"/>
      <c r="B402" s="14"/>
      <c r="C402" s="76"/>
      <c r="D402" s="59" t="str">
        <f aca="false">IF(B402="","",IFERROR(INDEX(식자재단가!$I$4:$I$203,MATCH(B402,식자재단가!$C$4:$C$203,0)),"?"))</f>
        <v/>
      </c>
      <c r="E402" s="77" t="str">
        <f aca="false">IF(B402="","",IFERROR(INDEX(식자재단가!$L$4:$L$203,MATCH(B402,식자재단가!$C$4:$C$203,0)),"품목없음"))</f>
        <v/>
      </c>
      <c r="F402" s="28" t="str">
        <f aca="false">IF(OR(B402="",C402=""),"",IF(ISNUMBER(E402),C402*E402,0))</f>
        <v/>
      </c>
      <c r="G402" s="14"/>
    </row>
    <row r="403" customFormat="false" ht="15" hidden="false" customHeight="false" outlineLevel="0" collapsed="false">
      <c r="A403" s="14"/>
      <c r="B403" s="14"/>
      <c r="C403" s="76"/>
      <c r="D403" s="59" t="str">
        <f aca="false">IF(B403="","",IFERROR(INDEX(식자재단가!$I$4:$I$203,MATCH(B403,식자재단가!$C$4:$C$203,0)),"?"))</f>
        <v/>
      </c>
      <c r="E403" s="77" t="str">
        <f aca="false">IF(B403="","",IFERROR(INDEX(식자재단가!$L$4:$L$203,MATCH(B403,식자재단가!$C$4:$C$203,0)),"품목없음"))</f>
        <v/>
      </c>
      <c r="F403" s="28" t="str">
        <f aca="false">IF(OR(B403="",C403=""),"",IF(ISNUMBER(E403),C403*E403,0))</f>
        <v/>
      </c>
      <c r="G403" s="14"/>
    </row>
    <row r="404" customFormat="false" ht="15" hidden="false" customHeight="false" outlineLevel="0" collapsed="false">
      <c r="A404" s="14"/>
      <c r="B404" s="14"/>
      <c r="C404" s="76"/>
      <c r="D404" s="59" t="str">
        <f aca="false">IF(B404="","",IFERROR(INDEX(식자재단가!$I$4:$I$203,MATCH(B404,식자재단가!$C$4:$C$203,0)),"?"))</f>
        <v/>
      </c>
      <c r="E404" s="77" t="str">
        <f aca="false">IF(B404="","",IFERROR(INDEX(식자재단가!$L$4:$L$203,MATCH(B404,식자재단가!$C$4:$C$203,0)),"품목없음"))</f>
        <v/>
      </c>
      <c r="F404" s="28" t="str">
        <f aca="false">IF(OR(B404="",C404=""),"",IF(ISNUMBER(E404),C404*E404,0))</f>
        <v/>
      </c>
      <c r="G404" s="14"/>
    </row>
    <row r="405" customFormat="false" ht="15" hidden="false" customHeight="false" outlineLevel="0" collapsed="false">
      <c r="A405" s="14"/>
      <c r="B405" s="14"/>
      <c r="C405" s="76"/>
      <c r="D405" s="59" t="str">
        <f aca="false">IF(B405="","",IFERROR(INDEX(식자재단가!$I$4:$I$203,MATCH(B405,식자재단가!$C$4:$C$203,0)),"?"))</f>
        <v/>
      </c>
      <c r="E405" s="77" t="str">
        <f aca="false">IF(B405="","",IFERROR(INDEX(식자재단가!$L$4:$L$203,MATCH(B405,식자재단가!$C$4:$C$203,0)),"품목없음"))</f>
        <v/>
      </c>
      <c r="F405" s="28" t="str">
        <f aca="false">IF(OR(B405="",C405=""),"",IF(ISNUMBER(E405),C405*E405,0))</f>
        <v/>
      </c>
      <c r="G405" s="14"/>
    </row>
    <row r="406" customFormat="false" ht="15" hidden="false" customHeight="false" outlineLevel="0" collapsed="false">
      <c r="A406" s="14"/>
      <c r="B406" s="14"/>
      <c r="C406" s="76"/>
      <c r="D406" s="59" t="str">
        <f aca="false">IF(B406="","",IFERROR(INDEX(식자재단가!$I$4:$I$203,MATCH(B406,식자재단가!$C$4:$C$203,0)),"?"))</f>
        <v/>
      </c>
      <c r="E406" s="77" t="str">
        <f aca="false">IF(B406="","",IFERROR(INDEX(식자재단가!$L$4:$L$203,MATCH(B406,식자재단가!$C$4:$C$203,0)),"품목없음"))</f>
        <v/>
      </c>
      <c r="F406" s="28" t="str">
        <f aca="false">IF(OR(B406="",C406=""),"",IF(ISNUMBER(E406),C406*E406,0))</f>
        <v/>
      </c>
      <c r="G406" s="14"/>
    </row>
    <row r="407" customFormat="false" ht="15" hidden="false" customHeight="false" outlineLevel="0" collapsed="false">
      <c r="A407" s="14"/>
      <c r="B407" s="14"/>
      <c r="C407" s="76"/>
      <c r="D407" s="59" t="str">
        <f aca="false">IF(B407="","",IFERROR(INDEX(식자재단가!$I$4:$I$203,MATCH(B407,식자재단가!$C$4:$C$203,0)),"?"))</f>
        <v/>
      </c>
      <c r="E407" s="77" t="str">
        <f aca="false">IF(B407="","",IFERROR(INDEX(식자재단가!$L$4:$L$203,MATCH(B407,식자재단가!$C$4:$C$203,0)),"품목없음"))</f>
        <v/>
      </c>
      <c r="F407" s="28" t="str">
        <f aca="false">IF(OR(B407="",C407=""),"",IF(ISNUMBER(E407),C407*E407,0))</f>
        <v/>
      </c>
      <c r="G407" s="14"/>
    </row>
    <row r="408" customFormat="false" ht="15" hidden="false" customHeight="false" outlineLevel="0" collapsed="false">
      <c r="A408" s="14"/>
      <c r="B408" s="14"/>
      <c r="C408" s="76"/>
      <c r="D408" s="59" t="str">
        <f aca="false">IF(B408="","",IFERROR(INDEX(식자재단가!$I$4:$I$203,MATCH(B408,식자재단가!$C$4:$C$203,0)),"?"))</f>
        <v/>
      </c>
      <c r="E408" s="77" t="str">
        <f aca="false">IF(B408="","",IFERROR(INDEX(식자재단가!$L$4:$L$203,MATCH(B408,식자재단가!$C$4:$C$203,0)),"품목없음"))</f>
        <v/>
      </c>
      <c r="F408" s="28" t="str">
        <f aca="false">IF(OR(B408="",C408=""),"",IF(ISNUMBER(E408),C408*E408,0))</f>
        <v/>
      </c>
      <c r="G408" s="14"/>
    </row>
    <row r="409" customFormat="false" ht="15" hidden="false" customHeight="false" outlineLevel="0" collapsed="false">
      <c r="A409" s="14"/>
      <c r="B409" s="14"/>
      <c r="C409" s="76"/>
      <c r="D409" s="59" t="str">
        <f aca="false">IF(B409="","",IFERROR(INDEX(식자재단가!$I$4:$I$203,MATCH(B409,식자재단가!$C$4:$C$203,0)),"?"))</f>
        <v/>
      </c>
      <c r="E409" s="77" t="str">
        <f aca="false">IF(B409="","",IFERROR(INDEX(식자재단가!$L$4:$L$203,MATCH(B409,식자재단가!$C$4:$C$203,0)),"품목없음"))</f>
        <v/>
      </c>
      <c r="F409" s="28" t="str">
        <f aca="false">IF(OR(B409="",C409=""),"",IF(ISNUMBER(E409),C409*E409,0))</f>
        <v/>
      </c>
      <c r="G409" s="14"/>
    </row>
    <row r="410" customFormat="false" ht="15" hidden="false" customHeight="false" outlineLevel="0" collapsed="false">
      <c r="A410" s="14"/>
      <c r="B410" s="14"/>
      <c r="C410" s="76"/>
      <c r="D410" s="59" t="str">
        <f aca="false">IF(B410="","",IFERROR(INDEX(식자재단가!$I$4:$I$203,MATCH(B410,식자재단가!$C$4:$C$203,0)),"?"))</f>
        <v/>
      </c>
      <c r="E410" s="77" t="str">
        <f aca="false">IF(B410="","",IFERROR(INDEX(식자재단가!$L$4:$L$203,MATCH(B410,식자재단가!$C$4:$C$203,0)),"품목없음"))</f>
        <v/>
      </c>
      <c r="F410" s="28" t="str">
        <f aca="false">IF(OR(B410="",C410=""),"",IF(ISNUMBER(E410),C410*E410,0))</f>
        <v/>
      </c>
      <c r="G410" s="14"/>
    </row>
    <row r="411" customFormat="false" ht="15" hidden="false" customHeight="false" outlineLevel="0" collapsed="false">
      <c r="A411" s="14"/>
      <c r="B411" s="14"/>
      <c r="C411" s="76"/>
      <c r="D411" s="59" t="str">
        <f aca="false">IF(B411="","",IFERROR(INDEX(식자재단가!$I$4:$I$203,MATCH(B411,식자재단가!$C$4:$C$203,0)),"?"))</f>
        <v/>
      </c>
      <c r="E411" s="77" t="str">
        <f aca="false">IF(B411="","",IFERROR(INDEX(식자재단가!$L$4:$L$203,MATCH(B411,식자재단가!$C$4:$C$203,0)),"품목없음"))</f>
        <v/>
      </c>
      <c r="F411" s="28" t="str">
        <f aca="false">IF(OR(B411="",C411=""),"",IF(ISNUMBER(E411),C411*E411,0))</f>
        <v/>
      </c>
      <c r="G411" s="14"/>
    </row>
    <row r="412" customFormat="false" ht="15" hidden="false" customHeight="false" outlineLevel="0" collapsed="false">
      <c r="A412" s="14"/>
      <c r="B412" s="14"/>
      <c r="C412" s="76"/>
      <c r="D412" s="59" t="str">
        <f aca="false">IF(B412="","",IFERROR(INDEX(식자재단가!$I$4:$I$203,MATCH(B412,식자재단가!$C$4:$C$203,0)),"?"))</f>
        <v/>
      </c>
      <c r="E412" s="77" t="str">
        <f aca="false">IF(B412="","",IFERROR(INDEX(식자재단가!$L$4:$L$203,MATCH(B412,식자재단가!$C$4:$C$203,0)),"품목없음"))</f>
        <v/>
      </c>
      <c r="F412" s="28" t="str">
        <f aca="false">IF(OR(B412="",C412=""),"",IF(ISNUMBER(E412),C412*E412,0))</f>
        <v/>
      </c>
      <c r="G412" s="14"/>
    </row>
    <row r="413" customFormat="false" ht="15" hidden="false" customHeight="false" outlineLevel="0" collapsed="false">
      <c r="A413" s="14"/>
      <c r="B413" s="14"/>
      <c r="C413" s="76"/>
      <c r="D413" s="59" t="str">
        <f aca="false">IF(B413="","",IFERROR(INDEX(식자재단가!$I$4:$I$203,MATCH(B413,식자재단가!$C$4:$C$203,0)),"?"))</f>
        <v/>
      </c>
      <c r="E413" s="77" t="str">
        <f aca="false">IF(B413="","",IFERROR(INDEX(식자재단가!$L$4:$L$203,MATCH(B413,식자재단가!$C$4:$C$203,0)),"품목없음"))</f>
        <v/>
      </c>
      <c r="F413" s="28" t="str">
        <f aca="false">IF(OR(B413="",C413=""),"",IF(ISNUMBER(E413),C413*E413,0))</f>
        <v/>
      </c>
      <c r="G413" s="14"/>
    </row>
    <row r="414" customFormat="false" ht="15" hidden="false" customHeight="false" outlineLevel="0" collapsed="false">
      <c r="A414" s="14"/>
      <c r="B414" s="14"/>
      <c r="C414" s="76"/>
      <c r="D414" s="59" t="str">
        <f aca="false">IF(B414="","",IFERROR(INDEX(식자재단가!$I$4:$I$203,MATCH(B414,식자재단가!$C$4:$C$203,0)),"?"))</f>
        <v/>
      </c>
      <c r="E414" s="77" t="str">
        <f aca="false">IF(B414="","",IFERROR(INDEX(식자재단가!$L$4:$L$203,MATCH(B414,식자재단가!$C$4:$C$203,0)),"품목없음"))</f>
        <v/>
      </c>
      <c r="F414" s="28" t="str">
        <f aca="false">IF(OR(B414="",C414=""),"",IF(ISNUMBER(E414),C414*E414,0))</f>
        <v/>
      </c>
      <c r="G414" s="14"/>
    </row>
    <row r="415" customFormat="false" ht="15" hidden="false" customHeight="false" outlineLevel="0" collapsed="false">
      <c r="A415" s="14"/>
      <c r="B415" s="14"/>
      <c r="C415" s="76"/>
      <c r="D415" s="59" t="str">
        <f aca="false">IF(B415="","",IFERROR(INDEX(식자재단가!$I$4:$I$203,MATCH(B415,식자재단가!$C$4:$C$203,0)),"?"))</f>
        <v/>
      </c>
      <c r="E415" s="77" t="str">
        <f aca="false">IF(B415="","",IFERROR(INDEX(식자재단가!$L$4:$L$203,MATCH(B415,식자재단가!$C$4:$C$203,0)),"품목없음"))</f>
        <v/>
      </c>
      <c r="F415" s="28" t="str">
        <f aca="false">IF(OR(B415="",C415=""),"",IF(ISNUMBER(E415),C415*E415,0))</f>
        <v/>
      </c>
      <c r="G415" s="14"/>
    </row>
    <row r="416" customFormat="false" ht="15" hidden="false" customHeight="false" outlineLevel="0" collapsed="false">
      <c r="A416" s="14"/>
      <c r="B416" s="14"/>
      <c r="C416" s="76"/>
      <c r="D416" s="59" t="str">
        <f aca="false">IF(B416="","",IFERROR(INDEX(식자재단가!$I$4:$I$203,MATCH(B416,식자재단가!$C$4:$C$203,0)),"?"))</f>
        <v/>
      </c>
      <c r="E416" s="77" t="str">
        <f aca="false">IF(B416="","",IFERROR(INDEX(식자재단가!$L$4:$L$203,MATCH(B416,식자재단가!$C$4:$C$203,0)),"품목없음"))</f>
        <v/>
      </c>
      <c r="F416" s="28" t="str">
        <f aca="false">IF(OR(B416="",C416=""),"",IF(ISNUMBER(E416),C416*E416,0))</f>
        <v/>
      </c>
      <c r="G416" s="14"/>
    </row>
    <row r="417" customFormat="false" ht="15" hidden="false" customHeight="false" outlineLevel="0" collapsed="false">
      <c r="A417" s="14"/>
      <c r="B417" s="14"/>
      <c r="C417" s="76"/>
      <c r="D417" s="59" t="str">
        <f aca="false">IF(B417="","",IFERROR(INDEX(식자재단가!$I$4:$I$203,MATCH(B417,식자재단가!$C$4:$C$203,0)),"?"))</f>
        <v/>
      </c>
      <c r="E417" s="77" t="str">
        <f aca="false">IF(B417="","",IFERROR(INDEX(식자재단가!$L$4:$L$203,MATCH(B417,식자재단가!$C$4:$C$203,0)),"품목없음"))</f>
        <v/>
      </c>
      <c r="F417" s="28" t="str">
        <f aca="false">IF(OR(B417="",C417=""),"",IF(ISNUMBER(E417),C417*E417,0))</f>
        <v/>
      </c>
      <c r="G417" s="14"/>
    </row>
    <row r="418" customFormat="false" ht="15" hidden="false" customHeight="false" outlineLevel="0" collapsed="false">
      <c r="A418" s="14"/>
      <c r="B418" s="14"/>
      <c r="C418" s="76"/>
      <c r="D418" s="59" t="str">
        <f aca="false">IF(B418="","",IFERROR(INDEX(식자재단가!$I$4:$I$203,MATCH(B418,식자재단가!$C$4:$C$203,0)),"?"))</f>
        <v/>
      </c>
      <c r="E418" s="77" t="str">
        <f aca="false">IF(B418="","",IFERROR(INDEX(식자재단가!$L$4:$L$203,MATCH(B418,식자재단가!$C$4:$C$203,0)),"품목없음"))</f>
        <v/>
      </c>
      <c r="F418" s="28" t="str">
        <f aca="false">IF(OR(B418="",C418=""),"",IF(ISNUMBER(E418),C418*E418,0))</f>
        <v/>
      </c>
      <c r="G418" s="14"/>
    </row>
    <row r="419" customFormat="false" ht="15" hidden="false" customHeight="false" outlineLevel="0" collapsed="false">
      <c r="A419" s="14"/>
      <c r="B419" s="14"/>
      <c r="C419" s="76"/>
      <c r="D419" s="59" t="str">
        <f aca="false">IF(B419="","",IFERROR(INDEX(식자재단가!$I$4:$I$203,MATCH(B419,식자재단가!$C$4:$C$203,0)),"?"))</f>
        <v/>
      </c>
      <c r="E419" s="77" t="str">
        <f aca="false">IF(B419="","",IFERROR(INDEX(식자재단가!$L$4:$L$203,MATCH(B419,식자재단가!$C$4:$C$203,0)),"품목없음"))</f>
        <v/>
      </c>
      <c r="F419" s="28" t="str">
        <f aca="false">IF(OR(B419="",C419=""),"",IF(ISNUMBER(E419),C419*E419,0))</f>
        <v/>
      </c>
      <c r="G419" s="14"/>
    </row>
    <row r="420" customFormat="false" ht="15" hidden="false" customHeight="false" outlineLevel="0" collapsed="false">
      <c r="A420" s="14"/>
      <c r="B420" s="14"/>
      <c r="C420" s="76"/>
      <c r="D420" s="59" t="str">
        <f aca="false">IF(B420="","",IFERROR(INDEX(식자재단가!$I$4:$I$203,MATCH(B420,식자재단가!$C$4:$C$203,0)),"?"))</f>
        <v/>
      </c>
      <c r="E420" s="77" t="str">
        <f aca="false">IF(B420="","",IFERROR(INDEX(식자재단가!$L$4:$L$203,MATCH(B420,식자재단가!$C$4:$C$203,0)),"품목없음"))</f>
        <v/>
      </c>
      <c r="F420" s="28" t="str">
        <f aca="false">IF(OR(B420="",C420=""),"",IF(ISNUMBER(E420),C420*E420,0))</f>
        <v/>
      </c>
      <c r="G420" s="14"/>
    </row>
    <row r="421" customFormat="false" ht="15" hidden="false" customHeight="false" outlineLevel="0" collapsed="false">
      <c r="A421" s="14"/>
      <c r="B421" s="14"/>
      <c r="C421" s="76"/>
      <c r="D421" s="59" t="str">
        <f aca="false">IF(B421="","",IFERROR(INDEX(식자재단가!$I$4:$I$203,MATCH(B421,식자재단가!$C$4:$C$203,0)),"?"))</f>
        <v/>
      </c>
      <c r="E421" s="77" t="str">
        <f aca="false">IF(B421="","",IFERROR(INDEX(식자재단가!$L$4:$L$203,MATCH(B421,식자재단가!$C$4:$C$203,0)),"품목없음"))</f>
        <v/>
      </c>
      <c r="F421" s="28" t="str">
        <f aca="false">IF(OR(B421="",C421=""),"",IF(ISNUMBER(E421),C421*E421,0))</f>
        <v/>
      </c>
      <c r="G421" s="14"/>
    </row>
    <row r="422" customFormat="false" ht="15" hidden="false" customHeight="false" outlineLevel="0" collapsed="false">
      <c r="A422" s="14"/>
      <c r="B422" s="14"/>
      <c r="C422" s="76"/>
      <c r="D422" s="59" t="str">
        <f aca="false">IF(B422="","",IFERROR(INDEX(식자재단가!$I$4:$I$203,MATCH(B422,식자재단가!$C$4:$C$203,0)),"?"))</f>
        <v/>
      </c>
      <c r="E422" s="77" t="str">
        <f aca="false">IF(B422="","",IFERROR(INDEX(식자재단가!$L$4:$L$203,MATCH(B422,식자재단가!$C$4:$C$203,0)),"품목없음"))</f>
        <v/>
      </c>
      <c r="F422" s="28" t="str">
        <f aca="false">IF(OR(B422="",C422=""),"",IF(ISNUMBER(E422),C422*E422,0))</f>
        <v/>
      </c>
      <c r="G422" s="14"/>
    </row>
    <row r="423" customFormat="false" ht="15" hidden="false" customHeight="false" outlineLevel="0" collapsed="false">
      <c r="A423" s="14"/>
      <c r="B423" s="14"/>
      <c r="C423" s="76"/>
      <c r="D423" s="59" t="str">
        <f aca="false">IF(B423="","",IFERROR(INDEX(식자재단가!$I$4:$I$203,MATCH(B423,식자재단가!$C$4:$C$203,0)),"?"))</f>
        <v/>
      </c>
      <c r="E423" s="77" t="str">
        <f aca="false">IF(B423="","",IFERROR(INDEX(식자재단가!$L$4:$L$203,MATCH(B423,식자재단가!$C$4:$C$203,0)),"품목없음"))</f>
        <v/>
      </c>
      <c r="F423" s="28" t="str">
        <f aca="false">IF(OR(B423="",C423=""),"",IF(ISNUMBER(E423),C423*E423,0))</f>
        <v/>
      </c>
      <c r="G423" s="14"/>
    </row>
    <row r="424" customFormat="false" ht="15" hidden="false" customHeight="false" outlineLevel="0" collapsed="false">
      <c r="A424" s="14"/>
      <c r="B424" s="14"/>
      <c r="C424" s="76"/>
      <c r="D424" s="59" t="str">
        <f aca="false">IF(B424="","",IFERROR(INDEX(식자재단가!$I$4:$I$203,MATCH(B424,식자재단가!$C$4:$C$203,0)),"?"))</f>
        <v/>
      </c>
      <c r="E424" s="77" t="str">
        <f aca="false">IF(B424="","",IFERROR(INDEX(식자재단가!$L$4:$L$203,MATCH(B424,식자재단가!$C$4:$C$203,0)),"품목없음"))</f>
        <v/>
      </c>
      <c r="F424" s="28" t="str">
        <f aca="false">IF(OR(B424="",C424=""),"",IF(ISNUMBER(E424),C424*E424,0))</f>
        <v/>
      </c>
      <c r="G424" s="14"/>
    </row>
    <row r="425" customFormat="false" ht="15" hidden="false" customHeight="false" outlineLevel="0" collapsed="false">
      <c r="A425" s="14"/>
      <c r="B425" s="14"/>
      <c r="C425" s="76"/>
      <c r="D425" s="59" t="str">
        <f aca="false">IF(B425="","",IFERROR(INDEX(식자재단가!$I$4:$I$203,MATCH(B425,식자재단가!$C$4:$C$203,0)),"?"))</f>
        <v/>
      </c>
      <c r="E425" s="77" t="str">
        <f aca="false">IF(B425="","",IFERROR(INDEX(식자재단가!$L$4:$L$203,MATCH(B425,식자재단가!$C$4:$C$203,0)),"품목없음"))</f>
        <v/>
      </c>
      <c r="F425" s="28" t="str">
        <f aca="false">IF(OR(B425="",C425=""),"",IF(ISNUMBER(E425),C425*E425,0))</f>
        <v/>
      </c>
      <c r="G425" s="14"/>
    </row>
    <row r="426" customFormat="false" ht="15" hidden="false" customHeight="false" outlineLevel="0" collapsed="false">
      <c r="A426" s="14"/>
      <c r="B426" s="14"/>
      <c r="C426" s="76"/>
      <c r="D426" s="59" t="str">
        <f aca="false">IF(B426="","",IFERROR(INDEX(식자재단가!$I$4:$I$203,MATCH(B426,식자재단가!$C$4:$C$203,0)),"?"))</f>
        <v/>
      </c>
      <c r="E426" s="77" t="str">
        <f aca="false">IF(B426="","",IFERROR(INDEX(식자재단가!$L$4:$L$203,MATCH(B426,식자재단가!$C$4:$C$203,0)),"품목없음"))</f>
        <v/>
      </c>
      <c r="F426" s="28" t="str">
        <f aca="false">IF(OR(B426="",C426=""),"",IF(ISNUMBER(E426),C426*E426,0))</f>
        <v/>
      </c>
      <c r="G426" s="14"/>
    </row>
    <row r="427" customFormat="false" ht="15" hidden="false" customHeight="false" outlineLevel="0" collapsed="false">
      <c r="A427" s="14"/>
      <c r="B427" s="14"/>
      <c r="C427" s="76"/>
      <c r="D427" s="59" t="str">
        <f aca="false">IF(B427="","",IFERROR(INDEX(식자재단가!$I$4:$I$203,MATCH(B427,식자재단가!$C$4:$C$203,0)),"?"))</f>
        <v/>
      </c>
      <c r="E427" s="77" t="str">
        <f aca="false">IF(B427="","",IFERROR(INDEX(식자재단가!$L$4:$L$203,MATCH(B427,식자재단가!$C$4:$C$203,0)),"품목없음"))</f>
        <v/>
      </c>
      <c r="F427" s="28" t="str">
        <f aca="false">IF(OR(B427="",C427=""),"",IF(ISNUMBER(E427),C427*E427,0))</f>
        <v/>
      </c>
      <c r="G427" s="14"/>
    </row>
    <row r="428" customFormat="false" ht="15" hidden="false" customHeight="false" outlineLevel="0" collapsed="false">
      <c r="A428" s="14"/>
      <c r="B428" s="14"/>
      <c r="C428" s="76"/>
      <c r="D428" s="59" t="str">
        <f aca="false">IF(B428="","",IFERROR(INDEX(식자재단가!$I$4:$I$203,MATCH(B428,식자재단가!$C$4:$C$203,0)),"?"))</f>
        <v/>
      </c>
      <c r="E428" s="77" t="str">
        <f aca="false">IF(B428="","",IFERROR(INDEX(식자재단가!$L$4:$L$203,MATCH(B428,식자재단가!$C$4:$C$203,0)),"품목없음"))</f>
        <v/>
      </c>
      <c r="F428" s="28" t="str">
        <f aca="false">IF(OR(B428="",C428=""),"",IF(ISNUMBER(E428),C428*E428,0))</f>
        <v/>
      </c>
      <c r="G428" s="14"/>
    </row>
    <row r="429" customFormat="false" ht="15" hidden="false" customHeight="false" outlineLevel="0" collapsed="false">
      <c r="A429" s="14"/>
      <c r="B429" s="14"/>
      <c r="C429" s="76"/>
      <c r="D429" s="59" t="str">
        <f aca="false">IF(B429="","",IFERROR(INDEX(식자재단가!$I$4:$I$203,MATCH(B429,식자재단가!$C$4:$C$203,0)),"?"))</f>
        <v/>
      </c>
      <c r="E429" s="77" t="str">
        <f aca="false">IF(B429="","",IFERROR(INDEX(식자재단가!$L$4:$L$203,MATCH(B429,식자재단가!$C$4:$C$203,0)),"품목없음"))</f>
        <v/>
      </c>
      <c r="F429" s="28" t="str">
        <f aca="false">IF(OR(B429="",C429=""),"",IF(ISNUMBER(E429),C429*E429,0))</f>
        <v/>
      </c>
      <c r="G429" s="14"/>
    </row>
    <row r="430" customFormat="false" ht="15" hidden="false" customHeight="false" outlineLevel="0" collapsed="false">
      <c r="A430" s="14"/>
      <c r="B430" s="14"/>
      <c r="C430" s="76"/>
      <c r="D430" s="59" t="str">
        <f aca="false">IF(B430="","",IFERROR(INDEX(식자재단가!$I$4:$I$203,MATCH(B430,식자재단가!$C$4:$C$203,0)),"?"))</f>
        <v/>
      </c>
      <c r="E430" s="77" t="str">
        <f aca="false">IF(B430="","",IFERROR(INDEX(식자재단가!$L$4:$L$203,MATCH(B430,식자재단가!$C$4:$C$203,0)),"품목없음"))</f>
        <v/>
      </c>
      <c r="F430" s="28" t="str">
        <f aca="false">IF(OR(B430="",C430=""),"",IF(ISNUMBER(E430),C430*E430,0))</f>
        <v/>
      </c>
      <c r="G430" s="14"/>
    </row>
    <row r="431" customFormat="false" ht="15" hidden="false" customHeight="false" outlineLevel="0" collapsed="false">
      <c r="A431" s="14"/>
      <c r="B431" s="14"/>
      <c r="C431" s="76"/>
      <c r="D431" s="59" t="str">
        <f aca="false">IF(B431="","",IFERROR(INDEX(식자재단가!$I$4:$I$203,MATCH(B431,식자재단가!$C$4:$C$203,0)),"?"))</f>
        <v/>
      </c>
      <c r="E431" s="77" t="str">
        <f aca="false">IF(B431="","",IFERROR(INDEX(식자재단가!$L$4:$L$203,MATCH(B431,식자재단가!$C$4:$C$203,0)),"품목없음"))</f>
        <v/>
      </c>
      <c r="F431" s="28" t="str">
        <f aca="false">IF(OR(B431="",C431=""),"",IF(ISNUMBER(E431),C431*E431,0))</f>
        <v/>
      </c>
      <c r="G431" s="14"/>
    </row>
    <row r="432" customFormat="false" ht="15" hidden="false" customHeight="false" outlineLevel="0" collapsed="false">
      <c r="A432" s="14"/>
      <c r="B432" s="14"/>
      <c r="C432" s="76"/>
      <c r="D432" s="59" t="str">
        <f aca="false">IF(B432="","",IFERROR(INDEX(식자재단가!$I$4:$I$203,MATCH(B432,식자재단가!$C$4:$C$203,0)),"?"))</f>
        <v/>
      </c>
      <c r="E432" s="77" t="str">
        <f aca="false">IF(B432="","",IFERROR(INDEX(식자재단가!$L$4:$L$203,MATCH(B432,식자재단가!$C$4:$C$203,0)),"품목없음"))</f>
        <v/>
      </c>
      <c r="F432" s="28" t="str">
        <f aca="false">IF(OR(B432="",C432=""),"",IF(ISNUMBER(E432),C432*E432,0))</f>
        <v/>
      </c>
      <c r="G432" s="14"/>
    </row>
    <row r="433" customFormat="false" ht="15" hidden="false" customHeight="false" outlineLevel="0" collapsed="false">
      <c r="A433" s="14"/>
      <c r="B433" s="14"/>
      <c r="C433" s="76"/>
      <c r="D433" s="59" t="str">
        <f aca="false">IF(B433="","",IFERROR(INDEX(식자재단가!$I$4:$I$203,MATCH(B433,식자재단가!$C$4:$C$203,0)),"?"))</f>
        <v/>
      </c>
      <c r="E433" s="77" t="str">
        <f aca="false">IF(B433="","",IFERROR(INDEX(식자재단가!$L$4:$L$203,MATCH(B433,식자재단가!$C$4:$C$203,0)),"품목없음"))</f>
        <v/>
      </c>
      <c r="F433" s="28" t="str">
        <f aca="false">IF(OR(B433="",C433=""),"",IF(ISNUMBER(E433),C433*E433,0))</f>
        <v/>
      </c>
      <c r="G433" s="14"/>
    </row>
    <row r="434" customFormat="false" ht="15" hidden="false" customHeight="false" outlineLevel="0" collapsed="false">
      <c r="A434" s="14"/>
      <c r="B434" s="14"/>
      <c r="C434" s="76"/>
      <c r="D434" s="59" t="str">
        <f aca="false">IF(B434="","",IFERROR(INDEX(식자재단가!$I$4:$I$203,MATCH(B434,식자재단가!$C$4:$C$203,0)),"?"))</f>
        <v/>
      </c>
      <c r="E434" s="77" t="str">
        <f aca="false">IF(B434="","",IFERROR(INDEX(식자재단가!$L$4:$L$203,MATCH(B434,식자재단가!$C$4:$C$203,0)),"품목없음"))</f>
        <v/>
      </c>
      <c r="F434" s="28" t="str">
        <f aca="false">IF(OR(B434="",C434=""),"",IF(ISNUMBER(E434),C434*E434,0))</f>
        <v/>
      </c>
      <c r="G434" s="14"/>
    </row>
    <row r="435" customFormat="false" ht="15" hidden="false" customHeight="false" outlineLevel="0" collapsed="false">
      <c r="A435" s="14"/>
      <c r="B435" s="14"/>
      <c r="C435" s="76"/>
      <c r="D435" s="59" t="str">
        <f aca="false">IF(B435="","",IFERROR(INDEX(식자재단가!$I$4:$I$203,MATCH(B435,식자재단가!$C$4:$C$203,0)),"?"))</f>
        <v/>
      </c>
      <c r="E435" s="77" t="str">
        <f aca="false">IF(B435="","",IFERROR(INDEX(식자재단가!$L$4:$L$203,MATCH(B435,식자재단가!$C$4:$C$203,0)),"품목없음"))</f>
        <v/>
      </c>
      <c r="F435" s="28" t="str">
        <f aca="false">IF(OR(B435="",C435=""),"",IF(ISNUMBER(E435),C435*E435,0))</f>
        <v/>
      </c>
      <c r="G435" s="14"/>
    </row>
    <row r="436" customFormat="false" ht="15" hidden="false" customHeight="false" outlineLevel="0" collapsed="false">
      <c r="A436" s="14"/>
      <c r="B436" s="14"/>
      <c r="C436" s="76"/>
      <c r="D436" s="59" t="str">
        <f aca="false">IF(B436="","",IFERROR(INDEX(식자재단가!$I$4:$I$203,MATCH(B436,식자재단가!$C$4:$C$203,0)),"?"))</f>
        <v/>
      </c>
      <c r="E436" s="77" t="str">
        <f aca="false">IF(B436="","",IFERROR(INDEX(식자재단가!$L$4:$L$203,MATCH(B436,식자재단가!$C$4:$C$203,0)),"품목없음"))</f>
        <v/>
      </c>
      <c r="F436" s="28" t="str">
        <f aca="false">IF(OR(B436="",C436=""),"",IF(ISNUMBER(E436),C436*E436,0))</f>
        <v/>
      </c>
      <c r="G436" s="14"/>
    </row>
    <row r="437" customFormat="false" ht="15" hidden="false" customHeight="false" outlineLevel="0" collapsed="false">
      <c r="A437" s="14"/>
      <c r="B437" s="14"/>
      <c r="C437" s="76"/>
      <c r="D437" s="59" t="str">
        <f aca="false">IF(B437="","",IFERROR(INDEX(식자재단가!$I$4:$I$203,MATCH(B437,식자재단가!$C$4:$C$203,0)),"?"))</f>
        <v/>
      </c>
      <c r="E437" s="77" t="str">
        <f aca="false">IF(B437="","",IFERROR(INDEX(식자재단가!$L$4:$L$203,MATCH(B437,식자재단가!$C$4:$C$203,0)),"품목없음"))</f>
        <v/>
      </c>
      <c r="F437" s="28" t="str">
        <f aca="false">IF(OR(B437="",C437=""),"",IF(ISNUMBER(E437),C437*E437,0))</f>
        <v/>
      </c>
      <c r="G437" s="14"/>
    </row>
    <row r="438" customFormat="false" ht="15" hidden="false" customHeight="false" outlineLevel="0" collapsed="false">
      <c r="A438" s="14"/>
      <c r="B438" s="14"/>
      <c r="C438" s="76"/>
      <c r="D438" s="59" t="str">
        <f aca="false">IF(B438="","",IFERROR(INDEX(식자재단가!$I$4:$I$203,MATCH(B438,식자재단가!$C$4:$C$203,0)),"?"))</f>
        <v/>
      </c>
      <c r="E438" s="77" t="str">
        <f aca="false">IF(B438="","",IFERROR(INDEX(식자재단가!$L$4:$L$203,MATCH(B438,식자재단가!$C$4:$C$203,0)),"품목없음"))</f>
        <v/>
      </c>
      <c r="F438" s="28" t="str">
        <f aca="false">IF(OR(B438="",C438=""),"",IF(ISNUMBER(E438),C438*E438,0))</f>
        <v/>
      </c>
      <c r="G438" s="14"/>
    </row>
    <row r="439" customFormat="false" ht="15" hidden="false" customHeight="false" outlineLevel="0" collapsed="false">
      <c r="A439" s="14"/>
      <c r="B439" s="14"/>
      <c r="C439" s="76"/>
      <c r="D439" s="59" t="str">
        <f aca="false">IF(B439="","",IFERROR(INDEX(식자재단가!$I$4:$I$203,MATCH(B439,식자재단가!$C$4:$C$203,0)),"?"))</f>
        <v/>
      </c>
      <c r="E439" s="77" t="str">
        <f aca="false">IF(B439="","",IFERROR(INDEX(식자재단가!$L$4:$L$203,MATCH(B439,식자재단가!$C$4:$C$203,0)),"품목없음"))</f>
        <v/>
      </c>
      <c r="F439" s="28" t="str">
        <f aca="false">IF(OR(B439="",C439=""),"",IF(ISNUMBER(E439),C439*E439,0))</f>
        <v/>
      </c>
      <c r="G439" s="14"/>
    </row>
    <row r="440" customFormat="false" ht="15" hidden="false" customHeight="false" outlineLevel="0" collapsed="false">
      <c r="A440" s="14"/>
      <c r="B440" s="14"/>
      <c r="C440" s="76"/>
      <c r="D440" s="59" t="str">
        <f aca="false">IF(B440="","",IFERROR(INDEX(식자재단가!$I$4:$I$203,MATCH(B440,식자재단가!$C$4:$C$203,0)),"?"))</f>
        <v/>
      </c>
      <c r="E440" s="77" t="str">
        <f aca="false">IF(B440="","",IFERROR(INDEX(식자재단가!$L$4:$L$203,MATCH(B440,식자재단가!$C$4:$C$203,0)),"품목없음"))</f>
        <v/>
      </c>
      <c r="F440" s="28" t="str">
        <f aca="false">IF(OR(B440="",C440=""),"",IF(ISNUMBER(E440),C440*E440,0))</f>
        <v/>
      </c>
      <c r="G440" s="14"/>
    </row>
    <row r="441" customFormat="false" ht="15" hidden="false" customHeight="false" outlineLevel="0" collapsed="false">
      <c r="A441" s="14"/>
      <c r="B441" s="14"/>
      <c r="C441" s="76"/>
      <c r="D441" s="59" t="str">
        <f aca="false">IF(B441="","",IFERROR(INDEX(식자재단가!$I$4:$I$203,MATCH(B441,식자재단가!$C$4:$C$203,0)),"?"))</f>
        <v/>
      </c>
      <c r="E441" s="77" t="str">
        <f aca="false">IF(B441="","",IFERROR(INDEX(식자재단가!$L$4:$L$203,MATCH(B441,식자재단가!$C$4:$C$203,0)),"품목없음"))</f>
        <v/>
      </c>
      <c r="F441" s="28" t="str">
        <f aca="false">IF(OR(B441="",C441=""),"",IF(ISNUMBER(E441),C441*E441,0))</f>
        <v/>
      </c>
      <c r="G441" s="14"/>
    </row>
    <row r="442" customFormat="false" ht="15" hidden="false" customHeight="false" outlineLevel="0" collapsed="false">
      <c r="A442" s="14"/>
      <c r="B442" s="14"/>
      <c r="C442" s="76"/>
      <c r="D442" s="59" t="str">
        <f aca="false">IF(B442="","",IFERROR(INDEX(식자재단가!$I$4:$I$203,MATCH(B442,식자재단가!$C$4:$C$203,0)),"?"))</f>
        <v/>
      </c>
      <c r="E442" s="77" t="str">
        <f aca="false">IF(B442="","",IFERROR(INDEX(식자재단가!$L$4:$L$203,MATCH(B442,식자재단가!$C$4:$C$203,0)),"품목없음"))</f>
        <v/>
      </c>
      <c r="F442" s="28" t="str">
        <f aca="false">IF(OR(B442="",C442=""),"",IF(ISNUMBER(E442),C442*E442,0))</f>
        <v/>
      </c>
      <c r="G442" s="14"/>
    </row>
    <row r="443" customFormat="false" ht="15" hidden="false" customHeight="false" outlineLevel="0" collapsed="false">
      <c r="A443" s="14"/>
      <c r="B443" s="14"/>
      <c r="C443" s="76"/>
      <c r="D443" s="59" t="str">
        <f aca="false">IF(B443="","",IFERROR(INDEX(식자재단가!$I$4:$I$203,MATCH(B443,식자재단가!$C$4:$C$203,0)),"?"))</f>
        <v/>
      </c>
      <c r="E443" s="77" t="str">
        <f aca="false">IF(B443="","",IFERROR(INDEX(식자재단가!$L$4:$L$203,MATCH(B443,식자재단가!$C$4:$C$203,0)),"품목없음"))</f>
        <v/>
      </c>
      <c r="F443" s="28" t="str">
        <f aca="false">IF(OR(B443="",C443=""),"",IF(ISNUMBER(E443),C443*E443,0))</f>
        <v/>
      </c>
      <c r="G443" s="14"/>
    </row>
    <row r="444" customFormat="false" ht="15" hidden="false" customHeight="false" outlineLevel="0" collapsed="false">
      <c r="A444" s="14"/>
      <c r="B444" s="14"/>
      <c r="C444" s="76"/>
      <c r="D444" s="59" t="str">
        <f aca="false">IF(B444="","",IFERROR(INDEX(식자재단가!$I$4:$I$203,MATCH(B444,식자재단가!$C$4:$C$203,0)),"?"))</f>
        <v/>
      </c>
      <c r="E444" s="77" t="str">
        <f aca="false">IF(B444="","",IFERROR(INDEX(식자재단가!$L$4:$L$203,MATCH(B444,식자재단가!$C$4:$C$203,0)),"품목없음"))</f>
        <v/>
      </c>
      <c r="F444" s="28" t="str">
        <f aca="false">IF(OR(B444="",C444=""),"",IF(ISNUMBER(E444),C444*E444,0))</f>
        <v/>
      </c>
      <c r="G444" s="14"/>
    </row>
    <row r="445" customFormat="false" ht="15" hidden="false" customHeight="false" outlineLevel="0" collapsed="false">
      <c r="A445" s="14"/>
      <c r="B445" s="14"/>
      <c r="C445" s="76"/>
      <c r="D445" s="59" t="str">
        <f aca="false">IF(B445="","",IFERROR(INDEX(식자재단가!$I$4:$I$203,MATCH(B445,식자재단가!$C$4:$C$203,0)),"?"))</f>
        <v/>
      </c>
      <c r="E445" s="77" t="str">
        <f aca="false">IF(B445="","",IFERROR(INDEX(식자재단가!$L$4:$L$203,MATCH(B445,식자재단가!$C$4:$C$203,0)),"품목없음"))</f>
        <v/>
      </c>
      <c r="F445" s="28" t="str">
        <f aca="false">IF(OR(B445="",C445=""),"",IF(ISNUMBER(E445),C445*E445,0))</f>
        <v/>
      </c>
      <c r="G445" s="14"/>
    </row>
    <row r="446" customFormat="false" ht="15" hidden="false" customHeight="false" outlineLevel="0" collapsed="false">
      <c r="A446" s="14"/>
      <c r="B446" s="14"/>
      <c r="C446" s="76"/>
      <c r="D446" s="59" t="str">
        <f aca="false">IF(B446="","",IFERROR(INDEX(식자재단가!$I$4:$I$203,MATCH(B446,식자재단가!$C$4:$C$203,0)),"?"))</f>
        <v/>
      </c>
      <c r="E446" s="77" t="str">
        <f aca="false">IF(B446="","",IFERROR(INDEX(식자재단가!$L$4:$L$203,MATCH(B446,식자재단가!$C$4:$C$203,0)),"품목없음"))</f>
        <v/>
      </c>
      <c r="F446" s="28" t="str">
        <f aca="false">IF(OR(B446="",C446=""),"",IF(ISNUMBER(E446),C446*E446,0))</f>
        <v/>
      </c>
      <c r="G446" s="14"/>
    </row>
    <row r="447" customFormat="false" ht="15" hidden="false" customHeight="false" outlineLevel="0" collapsed="false">
      <c r="A447" s="14"/>
      <c r="B447" s="14"/>
      <c r="C447" s="76"/>
      <c r="D447" s="59" t="str">
        <f aca="false">IF(B447="","",IFERROR(INDEX(식자재단가!$I$4:$I$203,MATCH(B447,식자재단가!$C$4:$C$203,0)),"?"))</f>
        <v/>
      </c>
      <c r="E447" s="77" t="str">
        <f aca="false">IF(B447="","",IFERROR(INDEX(식자재단가!$L$4:$L$203,MATCH(B447,식자재단가!$C$4:$C$203,0)),"품목없음"))</f>
        <v/>
      </c>
      <c r="F447" s="28" t="str">
        <f aca="false">IF(OR(B447="",C447=""),"",IF(ISNUMBER(E447),C447*E447,0))</f>
        <v/>
      </c>
      <c r="G447" s="14"/>
    </row>
    <row r="448" customFormat="false" ht="15" hidden="false" customHeight="false" outlineLevel="0" collapsed="false">
      <c r="A448" s="14"/>
      <c r="B448" s="14"/>
      <c r="C448" s="76"/>
      <c r="D448" s="59" t="str">
        <f aca="false">IF(B448="","",IFERROR(INDEX(식자재단가!$I$4:$I$203,MATCH(B448,식자재단가!$C$4:$C$203,0)),"?"))</f>
        <v/>
      </c>
      <c r="E448" s="77" t="str">
        <f aca="false">IF(B448="","",IFERROR(INDEX(식자재단가!$L$4:$L$203,MATCH(B448,식자재단가!$C$4:$C$203,0)),"품목없음"))</f>
        <v/>
      </c>
      <c r="F448" s="28" t="str">
        <f aca="false">IF(OR(B448="",C448=""),"",IF(ISNUMBER(E448),C448*E448,0))</f>
        <v/>
      </c>
      <c r="G448" s="14"/>
    </row>
    <row r="449" customFormat="false" ht="15" hidden="false" customHeight="false" outlineLevel="0" collapsed="false">
      <c r="A449" s="14"/>
      <c r="B449" s="14"/>
      <c r="C449" s="76"/>
      <c r="D449" s="59" t="str">
        <f aca="false">IF(B449="","",IFERROR(INDEX(식자재단가!$I$4:$I$203,MATCH(B449,식자재단가!$C$4:$C$203,0)),"?"))</f>
        <v/>
      </c>
      <c r="E449" s="77" t="str">
        <f aca="false">IF(B449="","",IFERROR(INDEX(식자재단가!$L$4:$L$203,MATCH(B449,식자재단가!$C$4:$C$203,0)),"품목없음"))</f>
        <v/>
      </c>
      <c r="F449" s="28" t="str">
        <f aca="false">IF(OR(B449="",C449=""),"",IF(ISNUMBER(E449),C449*E449,0))</f>
        <v/>
      </c>
      <c r="G449" s="14"/>
    </row>
    <row r="450" customFormat="false" ht="15" hidden="false" customHeight="false" outlineLevel="0" collapsed="false">
      <c r="A450" s="14"/>
      <c r="B450" s="14"/>
      <c r="C450" s="76"/>
      <c r="D450" s="59" t="str">
        <f aca="false">IF(B450="","",IFERROR(INDEX(식자재단가!$I$4:$I$203,MATCH(B450,식자재단가!$C$4:$C$203,0)),"?"))</f>
        <v/>
      </c>
      <c r="E450" s="77" t="str">
        <f aca="false">IF(B450="","",IFERROR(INDEX(식자재단가!$L$4:$L$203,MATCH(B450,식자재단가!$C$4:$C$203,0)),"품목없음"))</f>
        <v/>
      </c>
      <c r="F450" s="28" t="str">
        <f aca="false">IF(OR(B450="",C450=""),"",IF(ISNUMBER(E450),C450*E450,0))</f>
        <v/>
      </c>
      <c r="G450" s="14"/>
    </row>
    <row r="451" customFormat="false" ht="15" hidden="false" customHeight="false" outlineLevel="0" collapsed="false">
      <c r="A451" s="14"/>
      <c r="B451" s="14"/>
      <c r="C451" s="76"/>
      <c r="D451" s="59" t="str">
        <f aca="false">IF(B451="","",IFERROR(INDEX(식자재단가!$I$4:$I$203,MATCH(B451,식자재단가!$C$4:$C$203,0)),"?"))</f>
        <v/>
      </c>
      <c r="E451" s="77" t="str">
        <f aca="false">IF(B451="","",IFERROR(INDEX(식자재단가!$L$4:$L$203,MATCH(B451,식자재단가!$C$4:$C$203,0)),"품목없음"))</f>
        <v/>
      </c>
      <c r="F451" s="28" t="str">
        <f aca="false">IF(OR(B451="",C451=""),"",IF(ISNUMBER(E451),C451*E451,0))</f>
        <v/>
      </c>
      <c r="G451" s="14"/>
    </row>
    <row r="452" customFormat="false" ht="15" hidden="false" customHeight="false" outlineLevel="0" collapsed="false">
      <c r="A452" s="14"/>
      <c r="B452" s="14"/>
      <c r="C452" s="76"/>
      <c r="D452" s="59" t="str">
        <f aca="false">IF(B452="","",IFERROR(INDEX(식자재단가!$I$4:$I$203,MATCH(B452,식자재단가!$C$4:$C$203,0)),"?"))</f>
        <v/>
      </c>
      <c r="E452" s="77" t="str">
        <f aca="false">IF(B452="","",IFERROR(INDEX(식자재단가!$L$4:$L$203,MATCH(B452,식자재단가!$C$4:$C$203,0)),"품목없음"))</f>
        <v/>
      </c>
      <c r="F452" s="28" t="str">
        <f aca="false">IF(OR(B452="",C452=""),"",IF(ISNUMBER(E452),C452*E452,0))</f>
        <v/>
      </c>
      <c r="G452" s="14"/>
    </row>
    <row r="453" customFormat="false" ht="15" hidden="false" customHeight="false" outlineLevel="0" collapsed="false">
      <c r="A453" s="14"/>
      <c r="B453" s="14"/>
      <c r="C453" s="76"/>
      <c r="D453" s="59" t="str">
        <f aca="false">IF(B453="","",IFERROR(INDEX(식자재단가!$I$4:$I$203,MATCH(B453,식자재단가!$C$4:$C$203,0)),"?"))</f>
        <v/>
      </c>
      <c r="E453" s="77" t="str">
        <f aca="false">IF(B453="","",IFERROR(INDEX(식자재단가!$L$4:$L$203,MATCH(B453,식자재단가!$C$4:$C$203,0)),"품목없음"))</f>
        <v/>
      </c>
      <c r="F453" s="28" t="str">
        <f aca="false">IF(OR(B453="",C453=""),"",IF(ISNUMBER(E453),C453*E453,0))</f>
        <v/>
      </c>
      <c r="G453" s="14"/>
    </row>
    <row r="454" customFormat="false" ht="15" hidden="false" customHeight="false" outlineLevel="0" collapsed="false">
      <c r="A454" s="14"/>
      <c r="B454" s="14"/>
      <c r="C454" s="76"/>
      <c r="D454" s="59" t="str">
        <f aca="false">IF(B454="","",IFERROR(INDEX(식자재단가!$I$4:$I$203,MATCH(B454,식자재단가!$C$4:$C$203,0)),"?"))</f>
        <v/>
      </c>
      <c r="E454" s="77" t="str">
        <f aca="false">IF(B454="","",IFERROR(INDEX(식자재단가!$L$4:$L$203,MATCH(B454,식자재단가!$C$4:$C$203,0)),"품목없음"))</f>
        <v/>
      </c>
      <c r="F454" s="28" t="str">
        <f aca="false">IF(OR(B454="",C454=""),"",IF(ISNUMBER(E454),C454*E454,0))</f>
        <v/>
      </c>
      <c r="G454" s="14"/>
    </row>
    <row r="455" customFormat="false" ht="15" hidden="false" customHeight="false" outlineLevel="0" collapsed="false">
      <c r="A455" s="14"/>
      <c r="B455" s="14"/>
      <c r="C455" s="76"/>
      <c r="D455" s="59" t="str">
        <f aca="false">IF(B455="","",IFERROR(INDEX(식자재단가!$I$4:$I$203,MATCH(B455,식자재단가!$C$4:$C$203,0)),"?"))</f>
        <v/>
      </c>
      <c r="E455" s="77" t="str">
        <f aca="false">IF(B455="","",IFERROR(INDEX(식자재단가!$L$4:$L$203,MATCH(B455,식자재단가!$C$4:$C$203,0)),"품목없음"))</f>
        <v/>
      </c>
      <c r="F455" s="28" t="str">
        <f aca="false">IF(OR(B455="",C455=""),"",IF(ISNUMBER(E455),C455*E455,0))</f>
        <v/>
      </c>
      <c r="G455" s="14"/>
    </row>
    <row r="456" customFormat="false" ht="15" hidden="false" customHeight="false" outlineLevel="0" collapsed="false">
      <c r="A456" s="14"/>
      <c r="B456" s="14"/>
      <c r="C456" s="76"/>
      <c r="D456" s="59" t="str">
        <f aca="false">IF(B456="","",IFERROR(INDEX(식자재단가!$I$4:$I$203,MATCH(B456,식자재단가!$C$4:$C$203,0)),"?"))</f>
        <v/>
      </c>
      <c r="E456" s="77" t="str">
        <f aca="false">IF(B456="","",IFERROR(INDEX(식자재단가!$L$4:$L$203,MATCH(B456,식자재단가!$C$4:$C$203,0)),"품목없음"))</f>
        <v/>
      </c>
      <c r="F456" s="28" t="str">
        <f aca="false">IF(OR(B456="",C456=""),"",IF(ISNUMBER(E456),C456*E456,0))</f>
        <v/>
      </c>
      <c r="G456" s="14"/>
    </row>
    <row r="457" customFormat="false" ht="15" hidden="false" customHeight="false" outlineLevel="0" collapsed="false">
      <c r="A457" s="14"/>
      <c r="B457" s="14"/>
      <c r="C457" s="76"/>
      <c r="D457" s="59" t="str">
        <f aca="false">IF(B457="","",IFERROR(INDEX(식자재단가!$I$4:$I$203,MATCH(B457,식자재단가!$C$4:$C$203,0)),"?"))</f>
        <v/>
      </c>
      <c r="E457" s="77" t="str">
        <f aca="false">IF(B457="","",IFERROR(INDEX(식자재단가!$L$4:$L$203,MATCH(B457,식자재단가!$C$4:$C$203,0)),"품목없음"))</f>
        <v/>
      </c>
      <c r="F457" s="28" t="str">
        <f aca="false">IF(OR(B457="",C457=""),"",IF(ISNUMBER(E457),C457*E457,0))</f>
        <v/>
      </c>
      <c r="G457" s="14"/>
    </row>
    <row r="458" customFormat="false" ht="15" hidden="false" customHeight="false" outlineLevel="0" collapsed="false">
      <c r="A458" s="14"/>
      <c r="B458" s="14"/>
      <c r="C458" s="76"/>
      <c r="D458" s="59" t="str">
        <f aca="false">IF(B458="","",IFERROR(INDEX(식자재단가!$I$4:$I$203,MATCH(B458,식자재단가!$C$4:$C$203,0)),"?"))</f>
        <v/>
      </c>
      <c r="E458" s="77" t="str">
        <f aca="false">IF(B458="","",IFERROR(INDEX(식자재단가!$L$4:$L$203,MATCH(B458,식자재단가!$C$4:$C$203,0)),"품목없음"))</f>
        <v/>
      </c>
      <c r="F458" s="28" t="str">
        <f aca="false">IF(OR(B458="",C458=""),"",IF(ISNUMBER(E458),C458*E458,0))</f>
        <v/>
      </c>
      <c r="G458" s="14"/>
    </row>
    <row r="459" customFormat="false" ht="15" hidden="false" customHeight="false" outlineLevel="0" collapsed="false">
      <c r="A459" s="14"/>
      <c r="B459" s="14"/>
      <c r="C459" s="76"/>
      <c r="D459" s="59" t="str">
        <f aca="false">IF(B459="","",IFERROR(INDEX(식자재단가!$I$4:$I$203,MATCH(B459,식자재단가!$C$4:$C$203,0)),"?"))</f>
        <v/>
      </c>
      <c r="E459" s="77" t="str">
        <f aca="false">IF(B459="","",IFERROR(INDEX(식자재단가!$L$4:$L$203,MATCH(B459,식자재단가!$C$4:$C$203,0)),"품목없음"))</f>
        <v/>
      </c>
      <c r="F459" s="28" t="str">
        <f aca="false">IF(OR(B459="",C459=""),"",IF(ISNUMBER(E459),C459*E459,0))</f>
        <v/>
      </c>
      <c r="G459" s="14"/>
    </row>
    <row r="460" customFormat="false" ht="15" hidden="false" customHeight="false" outlineLevel="0" collapsed="false">
      <c r="A460" s="14"/>
      <c r="B460" s="14"/>
      <c r="C460" s="76"/>
      <c r="D460" s="59" t="str">
        <f aca="false">IF(B460="","",IFERROR(INDEX(식자재단가!$I$4:$I$203,MATCH(B460,식자재단가!$C$4:$C$203,0)),"?"))</f>
        <v/>
      </c>
      <c r="E460" s="77" t="str">
        <f aca="false">IF(B460="","",IFERROR(INDEX(식자재단가!$L$4:$L$203,MATCH(B460,식자재단가!$C$4:$C$203,0)),"품목없음"))</f>
        <v/>
      </c>
      <c r="F460" s="28" t="str">
        <f aca="false">IF(OR(B460="",C460=""),"",IF(ISNUMBER(E460),C460*E460,0))</f>
        <v/>
      </c>
      <c r="G460" s="14"/>
    </row>
    <row r="461" customFormat="false" ht="15" hidden="false" customHeight="false" outlineLevel="0" collapsed="false">
      <c r="A461" s="14"/>
      <c r="B461" s="14"/>
      <c r="C461" s="76"/>
      <c r="D461" s="59" t="str">
        <f aca="false">IF(B461="","",IFERROR(INDEX(식자재단가!$I$4:$I$203,MATCH(B461,식자재단가!$C$4:$C$203,0)),"?"))</f>
        <v/>
      </c>
      <c r="E461" s="77" t="str">
        <f aca="false">IF(B461="","",IFERROR(INDEX(식자재단가!$L$4:$L$203,MATCH(B461,식자재단가!$C$4:$C$203,0)),"품목없음"))</f>
        <v/>
      </c>
      <c r="F461" s="28" t="str">
        <f aca="false">IF(OR(B461="",C461=""),"",IF(ISNUMBER(E461),C461*E461,0))</f>
        <v/>
      </c>
      <c r="G461" s="14"/>
    </row>
    <row r="462" customFormat="false" ht="15" hidden="false" customHeight="false" outlineLevel="0" collapsed="false">
      <c r="A462" s="14"/>
      <c r="B462" s="14"/>
      <c r="C462" s="76"/>
      <c r="D462" s="59" t="str">
        <f aca="false">IF(B462="","",IFERROR(INDEX(식자재단가!$I$4:$I$203,MATCH(B462,식자재단가!$C$4:$C$203,0)),"?"))</f>
        <v/>
      </c>
      <c r="E462" s="77" t="str">
        <f aca="false">IF(B462="","",IFERROR(INDEX(식자재단가!$L$4:$L$203,MATCH(B462,식자재단가!$C$4:$C$203,0)),"품목없음"))</f>
        <v/>
      </c>
      <c r="F462" s="28" t="str">
        <f aca="false">IF(OR(B462="",C462=""),"",IF(ISNUMBER(E462),C462*E462,0))</f>
        <v/>
      </c>
      <c r="G462" s="14"/>
    </row>
    <row r="463" customFormat="false" ht="15" hidden="false" customHeight="false" outlineLevel="0" collapsed="false">
      <c r="A463" s="14"/>
      <c r="B463" s="14"/>
      <c r="C463" s="76"/>
      <c r="D463" s="59" t="str">
        <f aca="false">IF(B463="","",IFERROR(INDEX(식자재단가!$I$4:$I$203,MATCH(B463,식자재단가!$C$4:$C$203,0)),"?"))</f>
        <v/>
      </c>
      <c r="E463" s="77" t="str">
        <f aca="false">IF(B463="","",IFERROR(INDEX(식자재단가!$L$4:$L$203,MATCH(B463,식자재단가!$C$4:$C$203,0)),"품목없음"))</f>
        <v/>
      </c>
      <c r="F463" s="28" t="str">
        <f aca="false">IF(OR(B463="",C463=""),"",IF(ISNUMBER(E463),C463*E463,0))</f>
        <v/>
      </c>
      <c r="G463" s="14"/>
    </row>
    <row r="464" customFormat="false" ht="15" hidden="false" customHeight="false" outlineLevel="0" collapsed="false">
      <c r="A464" s="14"/>
      <c r="B464" s="14"/>
      <c r="C464" s="76"/>
      <c r="D464" s="59" t="str">
        <f aca="false">IF(B464="","",IFERROR(INDEX(식자재단가!$I$4:$I$203,MATCH(B464,식자재단가!$C$4:$C$203,0)),"?"))</f>
        <v/>
      </c>
      <c r="E464" s="77" t="str">
        <f aca="false">IF(B464="","",IFERROR(INDEX(식자재단가!$L$4:$L$203,MATCH(B464,식자재단가!$C$4:$C$203,0)),"품목없음"))</f>
        <v/>
      </c>
      <c r="F464" s="28" t="str">
        <f aca="false">IF(OR(B464="",C464=""),"",IF(ISNUMBER(E464),C464*E464,0))</f>
        <v/>
      </c>
      <c r="G464" s="14"/>
    </row>
    <row r="465" customFormat="false" ht="15" hidden="false" customHeight="false" outlineLevel="0" collapsed="false">
      <c r="A465" s="14"/>
      <c r="B465" s="14"/>
      <c r="C465" s="76"/>
      <c r="D465" s="59" t="str">
        <f aca="false">IF(B465="","",IFERROR(INDEX(식자재단가!$I$4:$I$203,MATCH(B465,식자재단가!$C$4:$C$203,0)),"?"))</f>
        <v/>
      </c>
      <c r="E465" s="77" t="str">
        <f aca="false">IF(B465="","",IFERROR(INDEX(식자재단가!$L$4:$L$203,MATCH(B465,식자재단가!$C$4:$C$203,0)),"품목없음"))</f>
        <v/>
      </c>
      <c r="F465" s="28" t="str">
        <f aca="false">IF(OR(B465="",C465=""),"",IF(ISNUMBER(E465),C465*E465,0))</f>
        <v/>
      </c>
      <c r="G465" s="14"/>
    </row>
    <row r="466" customFormat="false" ht="15" hidden="false" customHeight="false" outlineLevel="0" collapsed="false">
      <c r="A466" s="14"/>
      <c r="B466" s="14"/>
      <c r="C466" s="76"/>
      <c r="D466" s="59" t="str">
        <f aca="false">IF(B466="","",IFERROR(INDEX(식자재단가!$I$4:$I$203,MATCH(B466,식자재단가!$C$4:$C$203,0)),"?"))</f>
        <v/>
      </c>
      <c r="E466" s="77" t="str">
        <f aca="false">IF(B466="","",IFERROR(INDEX(식자재단가!$L$4:$L$203,MATCH(B466,식자재단가!$C$4:$C$203,0)),"품목없음"))</f>
        <v/>
      </c>
      <c r="F466" s="28" t="str">
        <f aca="false">IF(OR(B466="",C466=""),"",IF(ISNUMBER(E466),C466*E466,0))</f>
        <v/>
      </c>
      <c r="G466" s="14"/>
    </row>
    <row r="467" customFormat="false" ht="15" hidden="false" customHeight="false" outlineLevel="0" collapsed="false">
      <c r="A467" s="14"/>
      <c r="B467" s="14"/>
      <c r="C467" s="76"/>
      <c r="D467" s="59" t="str">
        <f aca="false">IF(B467="","",IFERROR(INDEX(식자재단가!$I$4:$I$203,MATCH(B467,식자재단가!$C$4:$C$203,0)),"?"))</f>
        <v/>
      </c>
      <c r="E467" s="77" t="str">
        <f aca="false">IF(B467="","",IFERROR(INDEX(식자재단가!$L$4:$L$203,MATCH(B467,식자재단가!$C$4:$C$203,0)),"품목없음"))</f>
        <v/>
      </c>
      <c r="F467" s="28" t="str">
        <f aca="false">IF(OR(B467="",C467=""),"",IF(ISNUMBER(E467),C467*E467,0))</f>
        <v/>
      </c>
      <c r="G467" s="14"/>
    </row>
    <row r="468" customFormat="false" ht="15" hidden="false" customHeight="false" outlineLevel="0" collapsed="false">
      <c r="A468" s="14"/>
      <c r="B468" s="14"/>
      <c r="C468" s="76"/>
      <c r="D468" s="59" t="str">
        <f aca="false">IF(B468="","",IFERROR(INDEX(식자재단가!$I$4:$I$203,MATCH(B468,식자재단가!$C$4:$C$203,0)),"?"))</f>
        <v/>
      </c>
      <c r="E468" s="77" t="str">
        <f aca="false">IF(B468="","",IFERROR(INDEX(식자재단가!$L$4:$L$203,MATCH(B468,식자재단가!$C$4:$C$203,0)),"품목없음"))</f>
        <v/>
      </c>
      <c r="F468" s="28" t="str">
        <f aca="false">IF(OR(B468="",C468=""),"",IF(ISNUMBER(E468),C468*E468,0))</f>
        <v/>
      </c>
      <c r="G468" s="14"/>
    </row>
    <row r="469" customFormat="false" ht="15" hidden="false" customHeight="false" outlineLevel="0" collapsed="false">
      <c r="A469" s="14"/>
      <c r="B469" s="14"/>
      <c r="C469" s="76"/>
      <c r="D469" s="59" t="str">
        <f aca="false">IF(B469="","",IFERROR(INDEX(식자재단가!$I$4:$I$203,MATCH(B469,식자재단가!$C$4:$C$203,0)),"?"))</f>
        <v/>
      </c>
      <c r="E469" s="77" t="str">
        <f aca="false">IF(B469="","",IFERROR(INDEX(식자재단가!$L$4:$L$203,MATCH(B469,식자재단가!$C$4:$C$203,0)),"품목없음"))</f>
        <v/>
      </c>
      <c r="F469" s="28" t="str">
        <f aca="false">IF(OR(B469="",C469=""),"",IF(ISNUMBER(E469),C469*E469,0))</f>
        <v/>
      </c>
      <c r="G469" s="14"/>
    </row>
    <row r="470" customFormat="false" ht="15" hidden="false" customHeight="false" outlineLevel="0" collapsed="false">
      <c r="A470" s="14"/>
      <c r="B470" s="14"/>
      <c r="C470" s="76"/>
      <c r="D470" s="59" t="str">
        <f aca="false">IF(B470="","",IFERROR(INDEX(식자재단가!$I$4:$I$203,MATCH(B470,식자재단가!$C$4:$C$203,0)),"?"))</f>
        <v/>
      </c>
      <c r="E470" s="77" t="str">
        <f aca="false">IF(B470="","",IFERROR(INDEX(식자재단가!$L$4:$L$203,MATCH(B470,식자재단가!$C$4:$C$203,0)),"품목없음"))</f>
        <v/>
      </c>
      <c r="F470" s="28" t="str">
        <f aca="false">IF(OR(B470="",C470=""),"",IF(ISNUMBER(E470),C470*E470,0))</f>
        <v/>
      </c>
      <c r="G470" s="14"/>
    </row>
    <row r="471" customFormat="false" ht="15" hidden="false" customHeight="false" outlineLevel="0" collapsed="false">
      <c r="A471" s="14"/>
      <c r="B471" s="14"/>
      <c r="C471" s="76"/>
      <c r="D471" s="59" t="str">
        <f aca="false">IF(B471="","",IFERROR(INDEX(식자재단가!$I$4:$I$203,MATCH(B471,식자재단가!$C$4:$C$203,0)),"?"))</f>
        <v/>
      </c>
      <c r="E471" s="77" t="str">
        <f aca="false">IF(B471="","",IFERROR(INDEX(식자재단가!$L$4:$L$203,MATCH(B471,식자재단가!$C$4:$C$203,0)),"품목없음"))</f>
        <v/>
      </c>
      <c r="F471" s="28" t="str">
        <f aca="false">IF(OR(B471="",C471=""),"",IF(ISNUMBER(E471),C471*E471,0))</f>
        <v/>
      </c>
      <c r="G471" s="14"/>
    </row>
    <row r="472" customFormat="false" ht="15" hidden="false" customHeight="false" outlineLevel="0" collapsed="false">
      <c r="A472" s="14"/>
      <c r="B472" s="14"/>
      <c r="C472" s="76"/>
      <c r="D472" s="59" t="str">
        <f aca="false">IF(B472="","",IFERROR(INDEX(식자재단가!$I$4:$I$203,MATCH(B472,식자재단가!$C$4:$C$203,0)),"?"))</f>
        <v/>
      </c>
      <c r="E472" s="77" t="str">
        <f aca="false">IF(B472="","",IFERROR(INDEX(식자재단가!$L$4:$L$203,MATCH(B472,식자재단가!$C$4:$C$203,0)),"품목없음"))</f>
        <v/>
      </c>
      <c r="F472" s="28" t="str">
        <f aca="false">IF(OR(B472="",C472=""),"",IF(ISNUMBER(E472),C472*E472,0))</f>
        <v/>
      </c>
      <c r="G472" s="14"/>
    </row>
    <row r="473" customFormat="false" ht="15" hidden="false" customHeight="false" outlineLevel="0" collapsed="false">
      <c r="A473" s="14"/>
      <c r="B473" s="14"/>
      <c r="C473" s="76"/>
      <c r="D473" s="59" t="str">
        <f aca="false">IF(B473="","",IFERROR(INDEX(식자재단가!$I$4:$I$203,MATCH(B473,식자재단가!$C$4:$C$203,0)),"?"))</f>
        <v/>
      </c>
      <c r="E473" s="77" t="str">
        <f aca="false">IF(B473="","",IFERROR(INDEX(식자재단가!$L$4:$L$203,MATCH(B473,식자재단가!$C$4:$C$203,0)),"품목없음"))</f>
        <v/>
      </c>
      <c r="F473" s="28" t="str">
        <f aca="false">IF(OR(B473="",C473=""),"",IF(ISNUMBER(E473),C473*E473,0))</f>
        <v/>
      </c>
      <c r="G473" s="14"/>
    </row>
    <row r="474" customFormat="false" ht="15" hidden="false" customHeight="false" outlineLevel="0" collapsed="false">
      <c r="A474" s="14"/>
      <c r="B474" s="14"/>
      <c r="C474" s="76"/>
      <c r="D474" s="59" t="str">
        <f aca="false">IF(B474="","",IFERROR(INDEX(식자재단가!$I$4:$I$203,MATCH(B474,식자재단가!$C$4:$C$203,0)),"?"))</f>
        <v/>
      </c>
      <c r="E474" s="77" t="str">
        <f aca="false">IF(B474="","",IFERROR(INDEX(식자재단가!$L$4:$L$203,MATCH(B474,식자재단가!$C$4:$C$203,0)),"품목없음"))</f>
        <v/>
      </c>
      <c r="F474" s="28" t="str">
        <f aca="false">IF(OR(B474="",C474=""),"",IF(ISNUMBER(E474),C474*E474,0))</f>
        <v/>
      </c>
      <c r="G474" s="14"/>
    </row>
    <row r="475" customFormat="false" ht="15" hidden="false" customHeight="false" outlineLevel="0" collapsed="false">
      <c r="A475" s="14"/>
      <c r="B475" s="14"/>
      <c r="C475" s="76"/>
      <c r="D475" s="59" t="str">
        <f aca="false">IF(B475="","",IFERROR(INDEX(식자재단가!$I$4:$I$203,MATCH(B475,식자재단가!$C$4:$C$203,0)),"?"))</f>
        <v/>
      </c>
      <c r="E475" s="77" t="str">
        <f aca="false">IF(B475="","",IFERROR(INDEX(식자재단가!$L$4:$L$203,MATCH(B475,식자재단가!$C$4:$C$203,0)),"품목없음"))</f>
        <v/>
      </c>
      <c r="F475" s="28" t="str">
        <f aca="false">IF(OR(B475="",C475=""),"",IF(ISNUMBER(E475),C475*E475,0))</f>
        <v/>
      </c>
      <c r="G475" s="14"/>
    </row>
    <row r="476" customFormat="false" ht="15" hidden="false" customHeight="false" outlineLevel="0" collapsed="false">
      <c r="A476" s="14"/>
      <c r="B476" s="14"/>
      <c r="C476" s="76"/>
      <c r="D476" s="59" t="str">
        <f aca="false">IF(B476="","",IFERROR(INDEX(식자재단가!$I$4:$I$203,MATCH(B476,식자재단가!$C$4:$C$203,0)),"?"))</f>
        <v/>
      </c>
      <c r="E476" s="77" t="str">
        <f aca="false">IF(B476="","",IFERROR(INDEX(식자재단가!$L$4:$L$203,MATCH(B476,식자재단가!$C$4:$C$203,0)),"품목없음"))</f>
        <v/>
      </c>
      <c r="F476" s="28" t="str">
        <f aca="false">IF(OR(B476="",C476=""),"",IF(ISNUMBER(E476),C476*E476,0))</f>
        <v/>
      </c>
      <c r="G476" s="14"/>
    </row>
    <row r="477" customFormat="false" ht="15" hidden="false" customHeight="false" outlineLevel="0" collapsed="false">
      <c r="A477" s="14"/>
      <c r="B477" s="14"/>
      <c r="C477" s="76"/>
      <c r="D477" s="59" t="str">
        <f aca="false">IF(B477="","",IFERROR(INDEX(식자재단가!$I$4:$I$203,MATCH(B477,식자재단가!$C$4:$C$203,0)),"?"))</f>
        <v/>
      </c>
      <c r="E477" s="77" t="str">
        <f aca="false">IF(B477="","",IFERROR(INDEX(식자재단가!$L$4:$L$203,MATCH(B477,식자재단가!$C$4:$C$203,0)),"품목없음"))</f>
        <v/>
      </c>
      <c r="F477" s="28" t="str">
        <f aca="false">IF(OR(B477="",C477=""),"",IF(ISNUMBER(E477),C477*E477,0))</f>
        <v/>
      </c>
      <c r="G477" s="14"/>
    </row>
    <row r="478" customFormat="false" ht="15" hidden="false" customHeight="false" outlineLevel="0" collapsed="false">
      <c r="A478" s="14"/>
      <c r="B478" s="14"/>
      <c r="C478" s="76"/>
      <c r="D478" s="59" t="str">
        <f aca="false">IF(B478="","",IFERROR(INDEX(식자재단가!$I$4:$I$203,MATCH(B478,식자재단가!$C$4:$C$203,0)),"?"))</f>
        <v/>
      </c>
      <c r="E478" s="77" t="str">
        <f aca="false">IF(B478="","",IFERROR(INDEX(식자재단가!$L$4:$L$203,MATCH(B478,식자재단가!$C$4:$C$203,0)),"품목없음"))</f>
        <v/>
      </c>
      <c r="F478" s="28" t="str">
        <f aca="false">IF(OR(B478="",C478=""),"",IF(ISNUMBER(E478),C478*E478,0))</f>
        <v/>
      </c>
      <c r="G478" s="14"/>
    </row>
    <row r="479" customFormat="false" ht="15" hidden="false" customHeight="false" outlineLevel="0" collapsed="false">
      <c r="A479" s="14"/>
      <c r="B479" s="14"/>
      <c r="C479" s="76"/>
      <c r="D479" s="59" t="str">
        <f aca="false">IF(B479="","",IFERROR(INDEX(식자재단가!$I$4:$I$203,MATCH(B479,식자재단가!$C$4:$C$203,0)),"?"))</f>
        <v/>
      </c>
      <c r="E479" s="77" t="str">
        <f aca="false">IF(B479="","",IFERROR(INDEX(식자재단가!$L$4:$L$203,MATCH(B479,식자재단가!$C$4:$C$203,0)),"품목없음"))</f>
        <v/>
      </c>
      <c r="F479" s="28" t="str">
        <f aca="false">IF(OR(B479="",C479=""),"",IF(ISNUMBER(E479),C479*E479,0))</f>
        <v/>
      </c>
      <c r="G479" s="14"/>
    </row>
    <row r="480" customFormat="false" ht="15" hidden="false" customHeight="false" outlineLevel="0" collapsed="false">
      <c r="A480" s="14"/>
      <c r="B480" s="14"/>
      <c r="C480" s="76"/>
      <c r="D480" s="59" t="str">
        <f aca="false">IF(B480="","",IFERROR(INDEX(식자재단가!$I$4:$I$203,MATCH(B480,식자재단가!$C$4:$C$203,0)),"?"))</f>
        <v/>
      </c>
      <c r="E480" s="77" t="str">
        <f aca="false">IF(B480="","",IFERROR(INDEX(식자재단가!$L$4:$L$203,MATCH(B480,식자재단가!$C$4:$C$203,0)),"품목없음"))</f>
        <v/>
      </c>
      <c r="F480" s="28" t="str">
        <f aca="false">IF(OR(B480="",C480=""),"",IF(ISNUMBER(E480),C480*E480,0))</f>
        <v/>
      </c>
      <c r="G480" s="14"/>
    </row>
    <row r="481" customFormat="false" ht="15" hidden="false" customHeight="false" outlineLevel="0" collapsed="false">
      <c r="A481" s="14"/>
      <c r="B481" s="14"/>
      <c r="C481" s="76"/>
      <c r="D481" s="59" t="str">
        <f aca="false">IF(B481="","",IFERROR(INDEX(식자재단가!$I$4:$I$203,MATCH(B481,식자재단가!$C$4:$C$203,0)),"?"))</f>
        <v/>
      </c>
      <c r="E481" s="77" t="str">
        <f aca="false">IF(B481="","",IFERROR(INDEX(식자재단가!$L$4:$L$203,MATCH(B481,식자재단가!$C$4:$C$203,0)),"품목없음"))</f>
        <v/>
      </c>
      <c r="F481" s="28" t="str">
        <f aca="false">IF(OR(B481="",C481=""),"",IF(ISNUMBER(E481),C481*E481,0))</f>
        <v/>
      </c>
      <c r="G481" s="14"/>
    </row>
    <row r="482" customFormat="false" ht="15" hidden="false" customHeight="false" outlineLevel="0" collapsed="false">
      <c r="A482" s="14"/>
      <c r="B482" s="14"/>
      <c r="C482" s="76"/>
      <c r="D482" s="59" t="str">
        <f aca="false">IF(B482="","",IFERROR(INDEX(식자재단가!$I$4:$I$203,MATCH(B482,식자재단가!$C$4:$C$203,0)),"?"))</f>
        <v/>
      </c>
      <c r="E482" s="77" t="str">
        <f aca="false">IF(B482="","",IFERROR(INDEX(식자재단가!$L$4:$L$203,MATCH(B482,식자재단가!$C$4:$C$203,0)),"품목없음"))</f>
        <v/>
      </c>
      <c r="F482" s="28" t="str">
        <f aca="false">IF(OR(B482="",C482=""),"",IF(ISNUMBER(E482),C482*E482,0))</f>
        <v/>
      </c>
      <c r="G482" s="14"/>
    </row>
    <row r="483" customFormat="false" ht="15" hidden="false" customHeight="false" outlineLevel="0" collapsed="false">
      <c r="A483" s="14"/>
      <c r="B483" s="14"/>
      <c r="C483" s="76"/>
      <c r="D483" s="59" t="str">
        <f aca="false">IF(B483="","",IFERROR(INDEX(식자재단가!$I$4:$I$203,MATCH(B483,식자재단가!$C$4:$C$203,0)),"?"))</f>
        <v/>
      </c>
      <c r="E483" s="77" t="str">
        <f aca="false">IF(B483="","",IFERROR(INDEX(식자재단가!$L$4:$L$203,MATCH(B483,식자재단가!$C$4:$C$203,0)),"품목없음"))</f>
        <v/>
      </c>
      <c r="F483" s="28" t="str">
        <f aca="false">IF(OR(B483="",C483=""),"",IF(ISNUMBER(E483),C483*E483,0))</f>
        <v/>
      </c>
      <c r="G483" s="14"/>
    </row>
    <row r="484" customFormat="false" ht="15" hidden="false" customHeight="false" outlineLevel="0" collapsed="false">
      <c r="A484" s="14"/>
      <c r="B484" s="14"/>
      <c r="C484" s="76"/>
      <c r="D484" s="59" t="str">
        <f aca="false">IF(B484="","",IFERROR(INDEX(식자재단가!$I$4:$I$203,MATCH(B484,식자재단가!$C$4:$C$203,0)),"?"))</f>
        <v/>
      </c>
      <c r="E484" s="77" t="str">
        <f aca="false">IF(B484="","",IFERROR(INDEX(식자재단가!$L$4:$L$203,MATCH(B484,식자재단가!$C$4:$C$203,0)),"품목없음"))</f>
        <v/>
      </c>
      <c r="F484" s="28" t="str">
        <f aca="false">IF(OR(B484="",C484=""),"",IF(ISNUMBER(E484),C484*E484,0))</f>
        <v/>
      </c>
      <c r="G484" s="14"/>
    </row>
    <row r="485" customFormat="false" ht="15" hidden="false" customHeight="false" outlineLevel="0" collapsed="false">
      <c r="A485" s="14"/>
      <c r="B485" s="14"/>
      <c r="C485" s="76"/>
      <c r="D485" s="59" t="str">
        <f aca="false">IF(B485="","",IFERROR(INDEX(식자재단가!$I$4:$I$203,MATCH(B485,식자재단가!$C$4:$C$203,0)),"?"))</f>
        <v/>
      </c>
      <c r="E485" s="77" t="str">
        <f aca="false">IF(B485="","",IFERROR(INDEX(식자재단가!$L$4:$L$203,MATCH(B485,식자재단가!$C$4:$C$203,0)),"품목없음"))</f>
        <v/>
      </c>
      <c r="F485" s="28" t="str">
        <f aca="false">IF(OR(B485="",C485=""),"",IF(ISNUMBER(E485),C485*E485,0))</f>
        <v/>
      </c>
      <c r="G485" s="14"/>
    </row>
    <row r="486" customFormat="false" ht="15" hidden="false" customHeight="false" outlineLevel="0" collapsed="false">
      <c r="A486" s="14"/>
      <c r="B486" s="14"/>
      <c r="C486" s="76"/>
      <c r="D486" s="59" t="str">
        <f aca="false">IF(B486="","",IFERROR(INDEX(식자재단가!$I$4:$I$203,MATCH(B486,식자재단가!$C$4:$C$203,0)),"?"))</f>
        <v/>
      </c>
      <c r="E486" s="77" t="str">
        <f aca="false">IF(B486="","",IFERROR(INDEX(식자재단가!$L$4:$L$203,MATCH(B486,식자재단가!$C$4:$C$203,0)),"품목없음"))</f>
        <v/>
      </c>
      <c r="F486" s="28" t="str">
        <f aca="false">IF(OR(B486="",C486=""),"",IF(ISNUMBER(E486),C486*E486,0))</f>
        <v/>
      </c>
      <c r="G486" s="14"/>
    </row>
    <row r="487" customFormat="false" ht="15" hidden="false" customHeight="false" outlineLevel="0" collapsed="false">
      <c r="A487" s="14"/>
      <c r="B487" s="14"/>
      <c r="C487" s="76"/>
      <c r="D487" s="59" t="str">
        <f aca="false">IF(B487="","",IFERROR(INDEX(식자재단가!$I$4:$I$203,MATCH(B487,식자재단가!$C$4:$C$203,0)),"?"))</f>
        <v/>
      </c>
      <c r="E487" s="77" t="str">
        <f aca="false">IF(B487="","",IFERROR(INDEX(식자재단가!$L$4:$L$203,MATCH(B487,식자재단가!$C$4:$C$203,0)),"품목없음"))</f>
        <v/>
      </c>
      <c r="F487" s="28" t="str">
        <f aca="false">IF(OR(B487="",C487=""),"",IF(ISNUMBER(E487),C487*E487,0))</f>
        <v/>
      </c>
      <c r="G487" s="14"/>
    </row>
    <row r="488" customFormat="false" ht="15" hidden="false" customHeight="false" outlineLevel="0" collapsed="false">
      <c r="A488" s="14"/>
      <c r="B488" s="14"/>
      <c r="C488" s="76"/>
      <c r="D488" s="59" t="str">
        <f aca="false">IF(B488="","",IFERROR(INDEX(식자재단가!$I$4:$I$203,MATCH(B488,식자재단가!$C$4:$C$203,0)),"?"))</f>
        <v/>
      </c>
      <c r="E488" s="77" t="str">
        <f aca="false">IF(B488="","",IFERROR(INDEX(식자재단가!$L$4:$L$203,MATCH(B488,식자재단가!$C$4:$C$203,0)),"품목없음"))</f>
        <v/>
      </c>
      <c r="F488" s="28" t="str">
        <f aca="false">IF(OR(B488="",C488=""),"",IF(ISNUMBER(E488),C488*E488,0))</f>
        <v/>
      </c>
      <c r="G488" s="14"/>
    </row>
    <row r="489" customFormat="false" ht="15" hidden="false" customHeight="false" outlineLevel="0" collapsed="false">
      <c r="A489" s="14"/>
      <c r="B489" s="14"/>
      <c r="C489" s="76"/>
      <c r="D489" s="59" t="str">
        <f aca="false">IF(B489="","",IFERROR(INDEX(식자재단가!$I$4:$I$203,MATCH(B489,식자재단가!$C$4:$C$203,0)),"?"))</f>
        <v/>
      </c>
      <c r="E489" s="77" t="str">
        <f aca="false">IF(B489="","",IFERROR(INDEX(식자재단가!$L$4:$L$203,MATCH(B489,식자재단가!$C$4:$C$203,0)),"품목없음"))</f>
        <v/>
      </c>
      <c r="F489" s="28" t="str">
        <f aca="false">IF(OR(B489="",C489=""),"",IF(ISNUMBER(E489),C489*E489,0))</f>
        <v/>
      </c>
      <c r="G489" s="14"/>
    </row>
    <row r="490" customFormat="false" ht="15" hidden="false" customHeight="false" outlineLevel="0" collapsed="false">
      <c r="A490" s="14"/>
      <c r="B490" s="14"/>
      <c r="C490" s="76"/>
      <c r="D490" s="59" t="str">
        <f aca="false">IF(B490="","",IFERROR(INDEX(식자재단가!$I$4:$I$203,MATCH(B490,식자재단가!$C$4:$C$203,0)),"?"))</f>
        <v/>
      </c>
      <c r="E490" s="77" t="str">
        <f aca="false">IF(B490="","",IFERROR(INDEX(식자재단가!$L$4:$L$203,MATCH(B490,식자재단가!$C$4:$C$203,0)),"품목없음"))</f>
        <v/>
      </c>
      <c r="F490" s="28" t="str">
        <f aca="false">IF(OR(B490="",C490=""),"",IF(ISNUMBER(E490),C490*E490,0))</f>
        <v/>
      </c>
      <c r="G490" s="14"/>
    </row>
    <row r="491" customFormat="false" ht="15" hidden="false" customHeight="false" outlineLevel="0" collapsed="false">
      <c r="A491" s="14"/>
      <c r="B491" s="14"/>
      <c r="C491" s="76"/>
      <c r="D491" s="59" t="str">
        <f aca="false">IF(B491="","",IFERROR(INDEX(식자재단가!$I$4:$I$203,MATCH(B491,식자재단가!$C$4:$C$203,0)),"?"))</f>
        <v/>
      </c>
      <c r="E491" s="77" t="str">
        <f aca="false">IF(B491="","",IFERROR(INDEX(식자재단가!$L$4:$L$203,MATCH(B491,식자재단가!$C$4:$C$203,0)),"품목없음"))</f>
        <v/>
      </c>
      <c r="F491" s="28" t="str">
        <f aca="false">IF(OR(B491="",C491=""),"",IF(ISNUMBER(E491),C491*E491,0))</f>
        <v/>
      </c>
      <c r="G491" s="14"/>
    </row>
    <row r="492" customFormat="false" ht="15" hidden="false" customHeight="false" outlineLevel="0" collapsed="false">
      <c r="A492" s="14"/>
      <c r="B492" s="14"/>
      <c r="C492" s="76"/>
      <c r="D492" s="59" t="str">
        <f aca="false">IF(B492="","",IFERROR(INDEX(식자재단가!$I$4:$I$203,MATCH(B492,식자재단가!$C$4:$C$203,0)),"?"))</f>
        <v/>
      </c>
      <c r="E492" s="77" t="str">
        <f aca="false">IF(B492="","",IFERROR(INDEX(식자재단가!$L$4:$L$203,MATCH(B492,식자재단가!$C$4:$C$203,0)),"품목없음"))</f>
        <v/>
      </c>
      <c r="F492" s="28" t="str">
        <f aca="false">IF(OR(B492="",C492=""),"",IF(ISNUMBER(E492),C492*E492,0))</f>
        <v/>
      </c>
      <c r="G492" s="14"/>
    </row>
    <row r="493" customFormat="false" ht="15" hidden="false" customHeight="false" outlineLevel="0" collapsed="false">
      <c r="A493" s="14"/>
      <c r="B493" s="14"/>
      <c r="C493" s="76"/>
      <c r="D493" s="59" t="str">
        <f aca="false">IF(B493="","",IFERROR(INDEX(식자재단가!$I$4:$I$203,MATCH(B493,식자재단가!$C$4:$C$203,0)),"?"))</f>
        <v/>
      </c>
      <c r="E493" s="77" t="str">
        <f aca="false">IF(B493="","",IFERROR(INDEX(식자재단가!$L$4:$L$203,MATCH(B493,식자재단가!$C$4:$C$203,0)),"품목없음"))</f>
        <v/>
      </c>
      <c r="F493" s="28" t="str">
        <f aca="false">IF(OR(B493="",C493=""),"",IF(ISNUMBER(E493),C493*E493,0))</f>
        <v/>
      </c>
      <c r="G493" s="14"/>
    </row>
    <row r="494" customFormat="false" ht="15" hidden="false" customHeight="false" outlineLevel="0" collapsed="false">
      <c r="A494" s="14"/>
      <c r="B494" s="14"/>
      <c r="C494" s="76"/>
      <c r="D494" s="59" t="str">
        <f aca="false">IF(B494="","",IFERROR(INDEX(식자재단가!$I$4:$I$203,MATCH(B494,식자재단가!$C$4:$C$203,0)),"?"))</f>
        <v/>
      </c>
      <c r="E494" s="77" t="str">
        <f aca="false">IF(B494="","",IFERROR(INDEX(식자재단가!$L$4:$L$203,MATCH(B494,식자재단가!$C$4:$C$203,0)),"품목없음"))</f>
        <v/>
      </c>
      <c r="F494" s="28" t="str">
        <f aca="false">IF(OR(B494="",C494=""),"",IF(ISNUMBER(E494),C494*E494,0))</f>
        <v/>
      </c>
      <c r="G494" s="14"/>
    </row>
    <row r="495" customFormat="false" ht="15" hidden="false" customHeight="false" outlineLevel="0" collapsed="false">
      <c r="A495" s="14"/>
      <c r="B495" s="14"/>
      <c r="C495" s="76"/>
      <c r="D495" s="59" t="str">
        <f aca="false">IF(B495="","",IFERROR(INDEX(식자재단가!$I$4:$I$203,MATCH(B495,식자재단가!$C$4:$C$203,0)),"?"))</f>
        <v/>
      </c>
      <c r="E495" s="77" t="str">
        <f aca="false">IF(B495="","",IFERROR(INDEX(식자재단가!$L$4:$L$203,MATCH(B495,식자재단가!$C$4:$C$203,0)),"품목없음"))</f>
        <v/>
      </c>
      <c r="F495" s="28" t="str">
        <f aca="false">IF(OR(B495="",C495=""),"",IF(ISNUMBER(E495),C495*E495,0))</f>
        <v/>
      </c>
      <c r="G495" s="14"/>
    </row>
    <row r="496" customFormat="false" ht="15" hidden="false" customHeight="false" outlineLevel="0" collapsed="false">
      <c r="A496" s="14"/>
      <c r="B496" s="14"/>
      <c r="C496" s="76"/>
      <c r="D496" s="59" t="str">
        <f aca="false">IF(B496="","",IFERROR(INDEX(식자재단가!$I$4:$I$203,MATCH(B496,식자재단가!$C$4:$C$203,0)),"?"))</f>
        <v/>
      </c>
      <c r="E496" s="77" t="str">
        <f aca="false">IF(B496="","",IFERROR(INDEX(식자재단가!$L$4:$L$203,MATCH(B496,식자재단가!$C$4:$C$203,0)),"품목없음"))</f>
        <v/>
      </c>
      <c r="F496" s="28" t="str">
        <f aca="false">IF(OR(B496="",C496=""),"",IF(ISNUMBER(E496),C496*E496,0))</f>
        <v/>
      </c>
      <c r="G496" s="14"/>
    </row>
    <row r="497" customFormat="false" ht="15" hidden="false" customHeight="false" outlineLevel="0" collapsed="false">
      <c r="A497" s="14"/>
      <c r="B497" s="14"/>
      <c r="C497" s="76"/>
      <c r="D497" s="59" t="str">
        <f aca="false">IF(B497="","",IFERROR(INDEX(식자재단가!$I$4:$I$203,MATCH(B497,식자재단가!$C$4:$C$203,0)),"?"))</f>
        <v/>
      </c>
      <c r="E497" s="77" t="str">
        <f aca="false">IF(B497="","",IFERROR(INDEX(식자재단가!$L$4:$L$203,MATCH(B497,식자재단가!$C$4:$C$203,0)),"품목없음"))</f>
        <v/>
      </c>
      <c r="F497" s="28" t="str">
        <f aca="false">IF(OR(B497="",C497=""),"",IF(ISNUMBER(E497),C497*E497,0))</f>
        <v/>
      </c>
      <c r="G497" s="14"/>
    </row>
    <row r="498" customFormat="false" ht="15" hidden="false" customHeight="false" outlineLevel="0" collapsed="false">
      <c r="A498" s="14"/>
      <c r="B498" s="14"/>
      <c r="C498" s="76"/>
      <c r="D498" s="59" t="str">
        <f aca="false">IF(B498="","",IFERROR(INDEX(식자재단가!$I$4:$I$203,MATCH(B498,식자재단가!$C$4:$C$203,0)),"?"))</f>
        <v/>
      </c>
      <c r="E498" s="77" t="str">
        <f aca="false">IF(B498="","",IFERROR(INDEX(식자재단가!$L$4:$L$203,MATCH(B498,식자재단가!$C$4:$C$203,0)),"품목없음"))</f>
        <v/>
      </c>
      <c r="F498" s="28" t="str">
        <f aca="false">IF(OR(B498="",C498=""),"",IF(ISNUMBER(E498),C498*E498,0))</f>
        <v/>
      </c>
      <c r="G498" s="14"/>
    </row>
    <row r="499" customFormat="false" ht="15" hidden="false" customHeight="false" outlineLevel="0" collapsed="false">
      <c r="A499" s="14"/>
      <c r="B499" s="14"/>
      <c r="C499" s="76"/>
      <c r="D499" s="59" t="str">
        <f aca="false">IF(B499="","",IFERROR(INDEX(식자재단가!$I$4:$I$203,MATCH(B499,식자재단가!$C$4:$C$203,0)),"?"))</f>
        <v/>
      </c>
      <c r="E499" s="77" t="str">
        <f aca="false">IF(B499="","",IFERROR(INDEX(식자재단가!$L$4:$L$203,MATCH(B499,식자재단가!$C$4:$C$203,0)),"품목없음"))</f>
        <v/>
      </c>
      <c r="F499" s="28" t="str">
        <f aca="false">IF(OR(B499="",C499=""),"",IF(ISNUMBER(E499),C499*E499,0))</f>
        <v/>
      </c>
      <c r="G499" s="14"/>
    </row>
    <row r="500" customFormat="false" ht="15" hidden="false" customHeight="false" outlineLevel="0" collapsed="false">
      <c r="A500" s="14"/>
      <c r="B500" s="14"/>
      <c r="C500" s="76"/>
      <c r="D500" s="59" t="str">
        <f aca="false">IF(B500="","",IFERROR(INDEX(식자재단가!$I$4:$I$203,MATCH(B500,식자재단가!$C$4:$C$203,0)),"?"))</f>
        <v/>
      </c>
      <c r="E500" s="77" t="str">
        <f aca="false">IF(B500="","",IFERROR(INDEX(식자재단가!$L$4:$L$203,MATCH(B500,식자재단가!$C$4:$C$203,0)),"품목없음"))</f>
        <v/>
      </c>
      <c r="F500" s="28" t="str">
        <f aca="false">IF(OR(B500="",C500=""),"",IF(ISNUMBER(E500),C500*E500,0))</f>
        <v/>
      </c>
      <c r="G500" s="14"/>
    </row>
    <row r="501" customFormat="false" ht="15" hidden="false" customHeight="false" outlineLevel="0" collapsed="false">
      <c r="A501" s="14"/>
      <c r="B501" s="14"/>
      <c r="C501" s="76"/>
      <c r="D501" s="59" t="str">
        <f aca="false">IF(B501="","",IFERROR(INDEX(식자재단가!$I$4:$I$203,MATCH(B501,식자재단가!$C$4:$C$203,0)),"?"))</f>
        <v/>
      </c>
      <c r="E501" s="77" t="str">
        <f aca="false">IF(B501="","",IFERROR(INDEX(식자재단가!$L$4:$L$203,MATCH(B501,식자재단가!$C$4:$C$203,0)),"품목없음"))</f>
        <v/>
      </c>
      <c r="F501" s="28" t="str">
        <f aca="false">IF(OR(B501="",C501=""),"",IF(ISNUMBER(E501),C501*E501,0))</f>
        <v/>
      </c>
      <c r="G501" s="14"/>
    </row>
    <row r="502" customFormat="false" ht="15" hidden="false" customHeight="false" outlineLevel="0" collapsed="false">
      <c r="A502" s="14"/>
      <c r="B502" s="14"/>
      <c r="C502" s="76"/>
      <c r="D502" s="59" t="str">
        <f aca="false">IF(B502="","",IFERROR(INDEX(식자재단가!$I$4:$I$203,MATCH(B502,식자재단가!$C$4:$C$203,0)),"?"))</f>
        <v/>
      </c>
      <c r="E502" s="77" t="str">
        <f aca="false">IF(B502="","",IFERROR(INDEX(식자재단가!$L$4:$L$203,MATCH(B502,식자재단가!$C$4:$C$203,0)),"품목없음"))</f>
        <v/>
      </c>
      <c r="F502" s="28" t="str">
        <f aca="false">IF(OR(B502="",C502=""),"",IF(ISNUMBER(E502),C502*E502,0))</f>
        <v/>
      </c>
      <c r="G502" s="14"/>
    </row>
    <row r="503" customFormat="false" ht="15" hidden="false" customHeight="false" outlineLevel="0" collapsed="false">
      <c r="A503" s="14"/>
      <c r="B503" s="14"/>
      <c r="C503" s="76"/>
      <c r="D503" s="59" t="str">
        <f aca="false">IF(B503="","",IFERROR(INDEX(식자재단가!$I$4:$I$203,MATCH(B503,식자재단가!$C$4:$C$203,0)),"?"))</f>
        <v/>
      </c>
      <c r="E503" s="77" t="str">
        <f aca="false">IF(B503="","",IFERROR(INDEX(식자재단가!$L$4:$L$203,MATCH(B503,식자재단가!$C$4:$C$203,0)),"품목없음"))</f>
        <v/>
      </c>
      <c r="F503" s="28" t="str">
        <f aca="false">IF(OR(B503="",C503=""),"",IF(ISNUMBER(E503),C503*E503,0))</f>
        <v/>
      </c>
      <c r="G503" s="14"/>
    </row>
    <row r="504" customFormat="false" ht="15" hidden="false" customHeight="false" outlineLevel="0" collapsed="false">
      <c r="A504" s="14"/>
      <c r="B504" s="14"/>
      <c r="C504" s="76"/>
      <c r="D504" s="59" t="str">
        <f aca="false">IF(B504="","",IFERROR(INDEX(식자재단가!$I$4:$I$203,MATCH(B504,식자재단가!$C$4:$C$203,0)),"?"))</f>
        <v/>
      </c>
      <c r="E504" s="77" t="str">
        <f aca="false">IF(B504="","",IFERROR(INDEX(식자재단가!$L$4:$L$203,MATCH(B504,식자재단가!$C$4:$C$203,0)),"품목없음"))</f>
        <v/>
      </c>
      <c r="F504" s="28" t="str">
        <f aca="false">IF(OR(B504="",C504=""),"",IF(ISNUMBER(E504),C504*E504,0))</f>
        <v/>
      </c>
      <c r="G504" s="14"/>
    </row>
    <row r="505" customFormat="false" ht="15" hidden="false" customHeight="false" outlineLevel="0" collapsed="false">
      <c r="A505" s="14"/>
      <c r="B505" s="14"/>
      <c r="C505" s="76"/>
      <c r="D505" s="59" t="str">
        <f aca="false">IF(B505="","",IFERROR(INDEX(식자재단가!$I$4:$I$203,MATCH(B505,식자재단가!$C$4:$C$203,0)),"?"))</f>
        <v/>
      </c>
      <c r="E505" s="77" t="str">
        <f aca="false">IF(B505="","",IFERROR(INDEX(식자재단가!$L$4:$L$203,MATCH(B505,식자재단가!$C$4:$C$203,0)),"품목없음"))</f>
        <v/>
      </c>
      <c r="F505" s="28" t="str">
        <f aca="false">IF(OR(B505="",C505=""),"",IF(ISNUMBER(E505),C505*E505,0))</f>
        <v/>
      </c>
      <c r="G505" s="14"/>
    </row>
    <row r="506" customFormat="false" ht="15" hidden="false" customHeight="false" outlineLevel="0" collapsed="false">
      <c r="A506" s="14"/>
      <c r="B506" s="14"/>
      <c r="C506" s="76"/>
      <c r="D506" s="59" t="str">
        <f aca="false">IF(B506="","",IFERROR(INDEX(식자재단가!$I$4:$I$203,MATCH(B506,식자재단가!$C$4:$C$203,0)),"?"))</f>
        <v/>
      </c>
      <c r="E506" s="77" t="str">
        <f aca="false">IF(B506="","",IFERROR(INDEX(식자재단가!$L$4:$L$203,MATCH(B506,식자재단가!$C$4:$C$203,0)),"품목없음"))</f>
        <v/>
      </c>
      <c r="F506" s="28" t="str">
        <f aca="false">IF(OR(B506="",C506=""),"",IF(ISNUMBER(E506),C506*E506,0))</f>
        <v/>
      </c>
      <c r="G506" s="14"/>
    </row>
    <row r="507" customFormat="false" ht="15" hidden="false" customHeight="false" outlineLevel="0" collapsed="false">
      <c r="A507" s="14"/>
      <c r="B507" s="14"/>
      <c r="C507" s="76"/>
      <c r="D507" s="59" t="str">
        <f aca="false">IF(B507="","",IFERROR(INDEX(식자재단가!$I$4:$I$203,MATCH(B507,식자재단가!$C$4:$C$203,0)),"?"))</f>
        <v/>
      </c>
      <c r="E507" s="77" t="str">
        <f aca="false">IF(B507="","",IFERROR(INDEX(식자재단가!$L$4:$L$203,MATCH(B507,식자재단가!$C$4:$C$203,0)),"품목없음"))</f>
        <v/>
      </c>
      <c r="F507" s="28" t="str">
        <f aca="false">IF(OR(B507="",C507=""),"",IF(ISNUMBER(E507),C507*E507,0))</f>
        <v/>
      </c>
      <c r="G507" s="14"/>
    </row>
    <row r="508" customFormat="false" ht="15" hidden="false" customHeight="false" outlineLevel="0" collapsed="false">
      <c r="A508" s="14"/>
      <c r="B508" s="14"/>
      <c r="C508" s="76"/>
      <c r="D508" s="59" t="str">
        <f aca="false">IF(B508="","",IFERROR(INDEX(식자재단가!$I$4:$I$203,MATCH(B508,식자재단가!$C$4:$C$203,0)),"?"))</f>
        <v/>
      </c>
      <c r="E508" s="77" t="str">
        <f aca="false">IF(B508="","",IFERROR(INDEX(식자재단가!$L$4:$L$203,MATCH(B508,식자재단가!$C$4:$C$203,0)),"품목없음"))</f>
        <v/>
      </c>
      <c r="F508" s="28" t="str">
        <f aca="false">IF(OR(B508="",C508=""),"",IF(ISNUMBER(E508),C508*E508,0))</f>
        <v/>
      </c>
      <c r="G508" s="14"/>
    </row>
    <row r="509" customFormat="false" ht="15" hidden="false" customHeight="false" outlineLevel="0" collapsed="false">
      <c r="A509" s="14"/>
      <c r="B509" s="14"/>
      <c r="C509" s="76"/>
      <c r="D509" s="59" t="str">
        <f aca="false">IF(B509="","",IFERROR(INDEX(식자재단가!$I$4:$I$203,MATCH(B509,식자재단가!$C$4:$C$203,0)),"?"))</f>
        <v/>
      </c>
      <c r="E509" s="77" t="str">
        <f aca="false">IF(B509="","",IFERROR(INDEX(식자재단가!$L$4:$L$203,MATCH(B509,식자재단가!$C$4:$C$203,0)),"품목없음"))</f>
        <v/>
      </c>
      <c r="F509" s="28" t="str">
        <f aca="false">IF(OR(B509="",C509=""),"",IF(ISNUMBER(E509),C509*E509,0))</f>
        <v/>
      </c>
      <c r="G509" s="14"/>
    </row>
    <row r="510" customFormat="false" ht="15" hidden="false" customHeight="false" outlineLevel="0" collapsed="false">
      <c r="A510" s="14"/>
      <c r="B510" s="14"/>
      <c r="C510" s="76"/>
      <c r="D510" s="59" t="str">
        <f aca="false">IF(B510="","",IFERROR(INDEX(식자재단가!$I$4:$I$203,MATCH(B510,식자재단가!$C$4:$C$203,0)),"?"))</f>
        <v/>
      </c>
      <c r="E510" s="77" t="str">
        <f aca="false">IF(B510="","",IFERROR(INDEX(식자재단가!$L$4:$L$203,MATCH(B510,식자재단가!$C$4:$C$203,0)),"품목없음"))</f>
        <v/>
      </c>
      <c r="F510" s="28" t="str">
        <f aca="false">IF(OR(B510="",C510=""),"",IF(ISNUMBER(E510),C510*E510,0))</f>
        <v/>
      </c>
      <c r="G510" s="14"/>
    </row>
    <row r="511" customFormat="false" ht="15" hidden="false" customHeight="false" outlineLevel="0" collapsed="false">
      <c r="A511" s="14"/>
      <c r="B511" s="14"/>
      <c r="C511" s="76"/>
      <c r="D511" s="59" t="str">
        <f aca="false">IF(B511="","",IFERROR(INDEX(식자재단가!$I$4:$I$203,MATCH(B511,식자재단가!$C$4:$C$203,0)),"?"))</f>
        <v/>
      </c>
      <c r="E511" s="77" t="str">
        <f aca="false">IF(B511="","",IFERROR(INDEX(식자재단가!$L$4:$L$203,MATCH(B511,식자재단가!$C$4:$C$203,0)),"품목없음"))</f>
        <v/>
      </c>
      <c r="F511" s="28" t="str">
        <f aca="false">IF(OR(B511="",C511=""),"",IF(ISNUMBER(E511),C511*E511,0))</f>
        <v/>
      </c>
      <c r="G511" s="14"/>
    </row>
    <row r="512" customFormat="false" ht="15" hidden="false" customHeight="false" outlineLevel="0" collapsed="false">
      <c r="A512" s="14"/>
      <c r="B512" s="14"/>
      <c r="C512" s="76"/>
      <c r="D512" s="59" t="str">
        <f aca="false">IF(B512="","",IFERROR(INDEX(식자재단가!$I$4:$I$203,MATCH(B512,식자재단가!$C$4:$C$203,0)),"?"))</f>
        <v/>
      </c>
      <c r="E512" s="77" t="str">
        <f aca="false">IF(B512="","",IFERROR(INDEX(식자재단가!$L$4:$L$203,MATCH(B512,식자재단가!$C$4:$C$203,0)),"품목없음"))</f>
        <v/>
      </c>
      <c r="F512" s="28" t="str">
        <f aca="false">IF(OR(B512="",C512=""),"",IF(ISNUMBER(E512),C512*E512,0))</f>
        <v/>
      </c>
      <c r="G512" s="14"/>
    </row>
    <row r="513" customFormat="false" ht="15" hidden="false" customHeight="false" outlineLevel="0" collapsed="false">
      <c r="A513" s="14"/>
      <c r="B513" s="14"/>
      <c r="C513" s="76"/>
      <c r="D513" s="59" t="str">
        <f aca="false">IF(B513="","",IFERROR(INDEX(식자재단가!$I$4:$I$203,MATCH(B513,식자재단가!$C$4:$C$203,0)),"?"))</f>
        <v/>
      </c>
      <c r="E513" s="77" t="str">
        <f aca="false">IF(B513="","",IFERROR(INDEX(식자재단가!$L$4:$L$203,MATCH(B513,식자재단가!$C$4:$C$203,0)),"품목없음"))</f>
        <v/>
      </c>
      <c r="F513" s="28" t="str">
        <f aca="false">IF(OR(B513="",C513=""),"",IF(ISNUMBER(E513),C513*E513,0))</f>
        <v/>
      </c>
      <c r="G513" s="14"/>
    </row>
    <row r="514" customFormat="false" ht="15" hidden="false" customHeight="false" outlineLevel="0" collapsed="false">
      <c r="A514" s="14"/>
      <c r="B514" s="14"/>
      <c r="C514" s="76"/>
      <c r="D514" s="59" t="str">
        <f aca="false">IF(B514="","",IFERROR(INDEX(식자재단가!$I$4:$I$203,MATCH(B514,식자재단가!$C$4:$C$203,0)),"?"))</f>
        <v/>
      </c>
      <c r="E514" s="77" t="str">
        <f aca="false">IF(B514="","",IFERROR(INDEX(식자재단가!$L$4:$L$203,MATCH(B514,식자재단가!$C$4:$C$203,0)),"품목없음"))</f>
        <v/>
      </c>
      <c r="F514" s="28" t="str">
        <f aca="false">IF(OR(B514="",C514=""),"",IF(ISNUMBER(E514),C514*E514,0))</f>
        <v/>
      </c>
      <c r="G514" s="14"/>
    </row>
    <row r="515" customFormat="false" ht="15" hidden="false" customHeight="false" outlineLevel="0" collapsed="false">
      <c r="A515" s="14"/>
      <c r="B515" s="14"/>
      <c r="C515" s="76"/>
      <c r="D515" s="59" t="str">
        <f aca="false">IF(B515="","",IFERROR(INDEX(식자재단가!$I$4:$I$203,MATCH(B515,식자재단가!$C$4:$C$203,0)),"?"))</f>
        <v/>
      </c>
      <c r="E515" s="77" t="str">
        <f aca="false">IF(B515="","",IFERROR(INDEX(식자재단가!$L$4:$L$203,MATCH(B515,식자재단가!$C$4:$C$203,0)),"품목없음"))</f>
        <v/>
      </c>
      <c r="F515" s="28" t="str">
        <f aca="false">IF(OR(B515="",C515=""),"",IF(ISNUMBER(E515),C515*E515,0))</f>
        <v/>
      </c>
      <c r="G515" s="14"/>
    </row>
    <row r="516" customFormat="false" ht="15" hidden="false" customHeight="false" outlineLevel="0" collapsed="false">
      <c r="A516" s="14"/>
      <c r="B516" s="14"/>
      <c r="C516" s="76"/>
      <c r="D516" s="59" t="str">
        <f aca="false">IF(B516="","",IFERROR(INDEX(식자재단가!$I$4:$I$203,MATCH(B516,식자재단가!$C$4:$C$203,0)),"?"))</f>
        <v/>
      </c>
      <c r="E516" s="77" t="str">
        <f aca="false">IF(B516="","",IFERROR(INDEX(식자재단가!$L$4:$L$203,MATCH(B516,식자재단가!$C$4:$C$203,0)),"품목없음"))</f>
        <v/>
      </c>
      <c r="F516" s="28" t="str">
        <f aca="false">IF(OR(B516="",C516=""),"",IF(ISNUMBER(E516),C516*E516,0))</f>
        <v/>
      </c>
      <c r="G516" s="14"/>
    </row>
    <row r="517" customFormat="false" ht="15" hidden="false" customHeight="false" outlineLevel="0" collapsed="false">
      <c r="A517" s="14"/>
      <c r="B517" s="14"/>
      <c r="C517" s="76"/>
      <c r="D517" s="59" t="str">
        <f aca="false">IF(B517="","",IFERROR(INDEX(식자재단가!$I$4:$I$203,MATCH(B517,식자재단가!$C$4:$C$203,0)),"?"))</f>
        <v/>
      </c>
      <c r="E517" s="77" t="str">
        <f aca="false">IF(B517="","",IFERROR(INDEX(식자재단가!$L$4:$L$203,MATCH(B517,식자재단가!$C$4:$C$203,0)),"품목없음"))</f>
        <v/>
      </c>
      <c r="F517" s="28" t="str">
        <f aca="false">IF(OR(B517="",C517=""),"",IF(ISNUMBER(E517),C517*E517,0))</f>
        <v/>
      </c>
      <c r="G517" s="14"/>
    </row>
    <row r="518" customFormat="false" ht="15" hidden="false" customHeight="false" outlineLevel="0" collapsed="false">
      <c r="A518" s="14"/>
      <c r="B518" s="14"/>
      <c r="C518" s="76"/>
      <c r="D518" s="59" t="str">
        <f aca="false">IF(B518="","",IFERROR(INDEX(식자재단가!$I$4:$I$203,MATCH(B518,식자재단가!$C$4:$C$203,0)),"?"))</f>
        <v/>
      </c>
      <c r="E518" s="77" t="str">
        <f aca="false">IF(B518="","",IFERROR(INDEX(식자재단가!$L$4:$L$203,MATCH(B518,식자재단가!$C$4:$C$203,0)),"품목없음"))</f>
        <v/>
      </c>
      <c r="F518" s="28" t="str">
        <f aca="false">IF(OR(B518="",C518=""),"",IF(ISNUMBER(E518),C518*E518,0))</f>
        <v/>
      </c>
      <c r="G518" s="14"/>
    </row>
    <row r="519" customFormat="false" ht="15" hidden="false" customHeight="false" outlineLevel="0" collapsed="false">
      <c r="A519" s="14"/>
      <c r="B519" s="14"/>
      <c r="C519" s="76"/>
      <c r="D519" s="59" t="str">
        <f aca="false">IF(B519="","",IFERROR(INDEX(식자재단가!$I$4:$I$203,MATCH(B519,식자재단가!$C$4:$C$203,0)),"?"))</f>
        <v/>
      </c>
      <c r="E519" s="77" t="str">
        <f aca="false">IF(B519="","",IFERROR(INDEX(식자재단가!$L$4:$L$203,MATCH(B519,식자재단가!$C$4:$C$203,0)),"품목없음"))</f>
        <v/>
      </c>
      <c r="F519" s="28" t="str">
        <f aca="false">IF(OR(B519="",C519=""),"",IF(ISNUMBER(E519),C519*E519,0))</f>
        <v/>
      </c>
      <c r="G519" s="14"/>
    </row>
    <row r="520" customFormat="false" ht="15" hidden="false" customHeight="false" outlineLevel="0" collapsed="false">
      <c r="A520" s="14"/>
      <c r="B520" s="14"/>
      <c r="C520" s="76"/>
      <c r="D520" s="59" t="str">
        <f aca="false">IF(B520="","",IFERROR(INDEX(식자재단가!$I$4:$I$203,MATCH(B520,식자재단가!$C$4:$C$203,0)),"?"))</f>
        <v/>
      </c>
      <c r="E520" s="77" t="str">
        <f aca="false">IF(B520="","",IFERROR(INDEX(식자재단가!$L$4:$L$203,MATCH(B520,식자재단가!$C$4:$C$203,0)),"품목없음"))</f>
        <v/>
      </c>
      <c r="F520" s="28" t="str">
        <f aca="false">IF(OR(B520="",C520=""),"",IF(ISNUMBER(E520),C520*E520,0))</f>
        <v/>
      </c>
      <c r="G520" s="14"/>
    </row>
    <row r="521" customFormat="false" ht="15" hidden="false" customHeight="false" outlineLevel="0" collapsed="false">
      <c r="A521" s="14"/>
      <c r="B521" s="14"/>
      <c r="C521" s="76"/>
      <c r="D521" s="59" t="str">
        <f aca="false">IF(B521="","",IFERROR(INDEX(식자재단가!$I$4:$I$203,MATCH(B521,식자재단가!$C$4:$C$203,0)),"?"))</f>
        <v/>
      </c>
      <c r="E521" s="77" t="str">
        <f aca="false">IF(B521="","",IFERROR(INDEX(식자재단가!$L$4:$L$203,MATCH(B521,식자재단가!$C$4:$C$203,0)),"품목없음"))</f>
        <v/>
      </c>
      <c r="F521" s="28" t="str">
        <f aca="false">IF(OR(B521="",C521=""),"",IF(ISNUMBER(E521),C521*E521,0))</f>
        <v/>
      </c>
      <c r="G521" s="14"/>
    </row>
    <row r="522" customFormat="false" ht="15" hidden="false" customHeight="false" outlineLevel="0" collapsed="false">
      <c r="A522" s="14"/>
      <c r="B522" s="14"/>
      <c r="C522" s="76"/>
      <c r="D522" s="59" t="str">
        <f aca="false">IF(B522="","",IFERROR(INDEX(식자재단가!$I$4:$I$203,MATCH(B522,식자재단가!$C$4:$C$203,0)),"?"))</f>
        <v/>
      </c>
      <c r="E522" s="77" t="str">
        <f aca="false">IF(B522="","",IFERROR(INDEX(식자재단가!$L$4:$L$203,MATCH(B522,식자재단가!$C$4:$C$203,0)),"품목없음"))</f>
        <v/>
      </c>
      <c r="F522" s="28" t="str">
        <f aca="false">IF(OR(B522="",C522=""),"",IF(ISNUMBER(E522),C522*E522,0))</f>
        <v/>
      </c>
      <c r="G522" s="14"/>
    </row>
    <row r="523" customFormat="false" ht="15" hidden="false" customHeight="false" outlineLevel="0" collapsed="false">
      <c r="A523" s="14"/>
      <c r="B523" s="14"/>
      <c r="C523" s="76"/>
      <c r="D523" s="59" t="str">
        <f aca="false">IF(B523="","",IFERROR(INDEX(식자재단가!$I$4:$I$203,MATCH(B523,식자재단가!$C$4:$C$203,0)),"?"))</f>
        <v/>
      </c>
      <c r="E523" s="77" t="str">
        <f aca="false">IF(B523="","",IFERROR(INDEX(식자재단가!$L$4:$L$203,MATCH(B523,식자재단가!$C$4:$C$203,0)),"품목없음"))</f>
        <v/>
      </c>
      <c r="F523" s="28" t="str">
        <f aca="false">IF(OR(B523="",C523=""),"",IF(ISNUMBER(E523),C523*E523,0))</f>
        <v/>
      </c>
      <c r="G523" s="14"/>
    </row>
    <row r="524" customFormat="false" ht="15" hidden="false" customHeight="false" outlineLevel="0" collapsed="false">
      <c r="A524" s="14"/>
      <c r="B524" s="14"/>
      <c r="C524" s="76"/>
      <c r="D524" s="59" t="str">
        <f aca="false">IF(B524="","",IFERROR(INDEX(식자재단가!$I$4:$I$203,MATCH(B524,식자재단가!$C$4:$C$203,0)),"?"))</f>
        <v/>
      </c>
      <c r="E524" s="77" t="str">
        <f aca="false">IF(B524="","",IFERROR(INDEX(식자재단가!$L$4:$L$203,MATCH(B524,식자재단가!$C$4:$C$203,0)),"품목없음"))</f>
        <v/>
      </c>
      <c r="F524" s="28" t="str">
        <f aca="false">IF(OR(B524="",C524=""),"",IF(ISNUMBER(E524),C524*E524,0))</f>
        <v/>
      </c>
      <c r="G524" s="14"/>
    </row>
    <row r="525" customFormat="false" ht="15" hidden="false" customHeight="false" outlineLevel="0" collapsed="false">
      <c r="A525" s="14"/>
      <c r="B525" s="14"/>
      <c r="C525" s="76"/>
      <c r="D525" s="59" t="str">
        <f aca="false">IF(B525="","",IFERROR(INDEX(식자재단가!$I$4:$I$203,MATCH(B525,식자재단가!$C$4:$C$203,0)),"?"))</f>
        <v/>
      </c>
      <c r="E525" s="77" t="str">
        <f aca="false">IF(B525="","",IFERROR(INDEX(식자재단가!$L$4:$L$203,MATCH(B525,식자재단가!$C$4:$C$203,0)),"품목없음"))</f>
        <v/>
      </c>
      <c r="F525" s="28" t="str">
        <f aca="false">IF(OR(B525="",C525=""),"",IF(ISNUMBER(E525),C525*E525,0))</f>
        <v/>
      </c>
      <c r="G525" s="14"/>
    </row>
    <row r="526" customFormat="false" ht="15" hidden="false" customHeight="false" outlineLevel="0" collapsed="false">
      <c r="A526" s="14"/>
      <c r="B526" s="14"/>
      <c r="C526" s="76"/>
      <c r="D526" s="59" t="str">
        <f aca="false">IF(B526="","",IFERROR(INDEX(식자재단가!$I$4:$I$203,MATCH(B526,식자재단가!$C$4:$C$203,0)),"?"))</f>
        <v/>
      </c>
      <c r="E526" s="77" t="str">
        <f aca="false">IF(B526="","",IFERROR(INDEX(식자재단가!$L$4:$L$203,MATCH(B526,식자재단가!$C$4:$C$203,0)),"품목없음"))</f>
        <v/>
      </c>
      <c r="F526" s="28" t="str">
        <f aca="false">IF(OR(B526="",C526=""),"",IF(ISNUMBER(E526),C526*E526,0))</f>
        <v/>
      </c>
      <c r="G526" s="14"/>
    </row>
    <row r="527" customFormat="false" ht="15" hidden="false" customHeight="false" outlineLevel="0" collapsed="false">
      <c r="A527" s="14"/>
      <c r="B527" s="14"/>
      <c r="C527" s="76"/>
      <c r="D527" s="59" t="str">
        <f aca="false">IF(B527="","",IFERROR(INDEX(식자재단가!$I$4:$I$203,MATCH(B527,식자재단가!$C$4:$C$203,0)),"?"))</f>
        <v/>
      </c>
      <c r="E527" s="77" t="str">
        <f aca="false">IF(B527="","",IFERROR(INDEX(식자재단가!$L$4:$L$203,MATCH(B527,식자재단가!$C$4:$C$203,0)),"품목없음"))</f>
        <v/>
      </c>
      <c r="F527" s="28" t="str">
        <f aca="false">IF(OR(B527="",C527=""),"",IF(ISNUMBER(E527),C527*E527,0))</f>
        <v/>
      </c>
      <c r="G527" s="14"/>
    </row>
    <row r="528" customFormat="false" ht="15" hidden="false" customHeight="false" outlineLevel="0" collapsed="false">
      <c r="A528" s="14"/>
      <c r="B528" s="14"/>
      <c r="C528" s="76"/>
      <c r="D528" s="59" t="str">
        <f aca="false">IF(B528="","",IFERROR(INDEX(식자재단가!$I$4:$I$203,MATCH(B528,식자재단가!$C$4:$C$203,0)),"?"))</f>
        <v/>
      </c>
      <c r="E528" s="77" t="str">
        <f aca="false">IF(B528="","",IFERROR(INDEX(식자재단가!$L$4:$L$203,MATCH(B528,식자재단가!$C$4:$C$203,0)),"품목없음"))</f>
        <v/>
      </c>
      <c r="F528" s="28" t="str">
        <f aca="false">IF(OR(B528="",C528=""),"",IF(ISNUMBER(E528),C528*E528,0))</f>
        <v/>
      </c>
      <c r="G528" s="14"/>
    </row>
    <row r="529" customFormat="false" ht="15" hidden="false" customHeight="false" outlineLevel="0" collapsed="false">
      <c r="A529" s="14"/>
      <c r="B529" s="14"/>
      <c r="C529" s="76"/>
      <c r="D529" s="59" t="str">
        <f aca="false">IF(B529="","",IFERROR(INDEX(식자재단가!$I$4:$I$203,MATCH(B529,식자재단가!$C$4:$C$203,0)),"?"))</f>
        <v/>
      </c>
      <c r="E529" s="77" t="str">
        <f aca="false">IF(B529="","",IFERROR(INDEX(식자재단가!$L$4:$L$203,MATCH(B529,식자재단가!$C$4:$C$203,0)),"품목없음"))</f>
        <v/>
      </c>
      <c r="F529" s="28" t="str">
        <f aca="false">IF(OR(B529="",C529=""),"",IF(ISNUMBER(E529),C529*E529,0))</f>
        <v/>
      </c>
      <c r="G529" s="14"/>
    </row>
    <row r="530" customFormat="false" ht="15" hidden="false" customHeight="false" outlineLevel="0" collapsed="false">
      <c r="A530" s="14"/>
      <c r="B530" s="14"/>
      <c r="C530" s="76"/>
      <c r="D530" s="59" t="str">
        <f aca="false">IF(B530="","",IFERROR(INDEX(식자재단가!$I$4:$I$203,MATCH(B530,식자재단가!$C$4:$C$203,0)),"?"))</f>
        <v/>
      </c>
      <c r="E530" s="77" t="str">
        <f aca="false">IF(B530="","",IFERROR(INDEX(식자재단가!$L$4:$L$203,MATCH(B530,식자재단가!$C$4:$C$203,0)),"품목없음"))</f>
        <v/>
      </c>
      <c r="F530" s="28" t="str">
        <f aca="false">IF(OR(B530="",C530=""),"",IF(ISNUMBER(E530),C530*E530,0))</f>
        <v/>
      </c>
      <c r="G530" s="14"/>
    </row>
    <row r="531" customFormat="false" ht="15" hidden="false" customHeight="false" outlineLevel="0" collapsed="false">
      <c r="A531" s="14"/>
      <c r="B531" s="14"/>
      <c r="C531" s="76"/>
      <c r="D531" s="59" t="str">
        <f aca="false">IF(B531="","",IFERROR(INDEX(식자재단가!$I$4:$I$203,MATCH(B531,식자재단가!$C$4:$C$203,0)),"?"))</f>
        <v/>
      </c>
      <c r="E531" s="77" t="str">
        <f aca="false">IF(B531="","",IFERROR(INDEX(식자재단가!$L$4:$L$203,MATCH(B531,식자재단가!$C$4:$C$203,0)),"품목없음"))</f>
        <v/>
      </c>
      <c r="F531" s="28" t="str">
        <f aca="false">IF(OR(B531="",C531=""),"",IF(ISNUMBER(E531),C531*E531,0))</f>
        <v/>
      </c>
      <c r="G531" s="14"/>
    </row>
    <row r="532" customFormat="false" ht="15" hidden="false" customHeight="false" outlineLevel="0" collapsed="false">
      <c r="A532" s="14"/>
      <c r="B532" s="14"/>
      <c r="C532" s="76"/>
      <c r="D532" s="59" t="str">
        <f aca="false">IF(B532="","",IFERROR(INDEX(식자재단가!$I$4:$I$203,MATCH(B532,식자재단가!$C$4:$C$203,0)),"?"))</f>
        <v/>
      </c>
      <c r="E532" s="77" t="str">
        <f aca="false">IF(B532="","",IFERROR(INDEX(식자재단가!$L$4:$L$203,MATCH(B532,식자재단가!$C$4:$C$203,0)),"품목없음"))</f>
        <v/>
      </c>
      <c r="F532" s="28" t="str">
        <f aca="false">IF(OR(B532="",C532=""),"",IF(ISNUMBER(E532),C532*E532,0))</f>
        <v/>
      </c>
      <c r="G532" s="14"/>
    </row>
    <row r="533" customFormat="false" ht="15" hidden="false" customHeight="false" outlineLevel="0" collapsed="false">
      <c r="A533" s="14"/>
      <c r="B533" s="14"/>
      <c r="C533" s="76"/>
      <c r="D533" s="59" t="str">
        <f aca="false">IF(B533="","",IFERROR(INDEX(식자재단가!$I$4:$I$203,MATCH(B533,식자재단가!$C$4:$C$203,0)),"?"))</f>
        <v/>
      </c>
      <c r="E533" s="77" t="str">
        <f aca="false">IF(B533="","",IFERROR(INDEX(식자재단가!$L$4:$L$203,MATCH(B533,식자재단가!$C$4:$C$203,0)),"품목없음"))</f>
        <v/>
      </c>
      <c r="F533" s="28" t="str">
        <f aca="false">IF(OR(B533="",C533=""),"",IF(ISNUMBER(E533),C533*E533,0))</f>
        <v/>
      </c>
      <c r="G533" s="14"/>
    </row>
    <row r="534" customFormat="false" ht="15" hidden="false" customHeight="false" outlineLevel="0" collapsed="false">
      <c r="A534" s="14"/>
      <c r="B534" s="14"/>
      <c r="C534" s="76"/>
      <c r="D534" s="59" t="str">
        <f aca="false">IF(B534="","",IFERROR(INDEX(식자재단가!$I$4:$I$203,MATCH(B534,식자재단가!$C$4:$C$203,0)),"?"))</f>
        <v/>
      </c>
      <c r="E534" s="77" t="str">
        <f aca="false">IF(B534="","",IFERROR(INDEX(식자재단가!$L$4:$L$203,MATCH(B534,식자재단가!$C$4:$C$203,0)),"품목없음"))</f>
        <v/>
      </c>
      <c r="F534" s="28" t="str">
        <f aca="false">IF(OR(B534="",C534=""),"",IF(ISNUMBER(E534),C534*E534,0))</f>
        <v/>
      </c>
      <c r="G534" s="14"/>
    </row>
    <row r="535" customFormat="false" ht="15" hidden="false" customHeight="false" outlineLevel="0" collapsed="false">
      <c r="A535" s="14"/>
      <c r="B535" s="14"/>
      <c r="C535" s="76"/>
      <c r="D535" s="59" t="str">
        <f aca="false">IF(B535="","",IFERROR(INDEX(식자재단가!$I$4:$I$203,MATCH(B535,식자재단가!$C$4:$C$203,0)),"?"))</f>
        <v/>
      </c>
      <c r="E535" s="77" t="str">
        <f aca="false">IF(B535="","",IFERROR(INDEX(식자재단가!$L$4:$L$203,MATCH(B535,식자재단가!$C$4:$C$203,0)),"품목없음"))</f>
        <v/>
      </c>
      <c r="F535" s="28" t="str">
        <f aca="false">IF(OR(B535="",C535=""),"",IF(ISNUMBER(E535),C535*E535,0))</f>
        <v/>
      </c>
      <c r="G535" s="14"/>
    </row>
    <row r="536" customFormat="false" ht="15" hidden="false" customHeight="false" outlineLevel="0" collapsed="false">
      <c r="A536" s="14"/>
      <c r="B536" s="14"/>
      <c r="C536" s="76"/>
      <c r="D536" s="59" t="str">
        <f aca="false">IF(B536="","",IFERROR(INDEX(식자재단가!$I$4:$I$203,MATCH(B536,식자재단가!$C$4:$C$203,0)),"?"))</f>
        <v/>
      </c>
      <c r="E536" s="77" t="str">
        <f aca="false">IF(B536="","",IFERROR(INDEX(식자재단가!$L$4:$L$203,MATCH(B536,식자재단가!$C$4:$C$203,0)),"품목없음"))</f>
        <v/>
      </c>
      <c r="F536" s="28" t="str">
        <f aca="false">IF(OR(B536="",C536=""),"",IF(ISNUMBER(E536),C536*E536,0))</f>
        <v/>
      </c>
      <c r="G536" s="14"/>
    </row>
    <row r="537" customFormat="false" ht="15" hidden="false" customHeight="false" outlineLevel="0" collapsed="false">
      <c r="A537" s="14"/>
      <c r="B537" s="14"/>
      <c r="C537" s="76"/>
      <c r="D537" s="59" t="str">
        <f aca="false">IF(B537="","",IFERROR(INDEX(식자재단가!$I$4:$I$203,MATCH(B537,식자재단가!$C$4:$C$203,0)),"?"))</f>
        <v/>
      </c>
      <c r="E537" s="77" t="str">
        <f aca="false">IF(B537="","",IFERROR(INDEX(식자재단가!$L$4:$L$203,MATCH(B537,식자재단가!$C$4:$C$203,0)),"품목없음"))</f>
        <v/>
      </c>
      <c r="F537" s="28" t="str">
        <f aca="false">IF(OR(B537="",C537=""),"",IF(ISNUMBER(E537),C537*E537,0))</f>
        <v/>
      </c>
      <c r="G537" s="14"/>
    </row>
    <row r="538" customFormat="false" ht="15" hidden="false" customHeight="false" outlineLevel="0" collapsed="false">
      <c r="A538" s="14"/>
      <c r="B538" s="14"/>
      <c r="C538" s="76"/>
      <c r="D538" s="59" t="str">
        <f aca="false">IF(B538="","",IFERROR(INDEX(식자재단가!$I$4:$I$203,MATCH(B538,식자재단가!$C$4:$C$203,0)),"?"))</f>
        <v/>
      </c>
      <c r="E538" s="77" t="str">
        <f aca="false">IF(B538="","",IFERROR(INDEX(식자재단가!$L$4:$L$203,MATCH(B538,식자재단가!$C$4:$C$203,0)),"품목없음"))</f>
        <v/>
      </c>
      <c r="F538" s="28" t="str">
        <f aca="false">IF(OR(B538="",C538=""),"",IF(ISNUMBER(E538),C538*E538,0))</f>
        <v/>
      </c>
      <c r="G538" s="14"/>
    </row>
    <row r="539" customFormat="false" ht="15" hidden="false" customHeight="false" outlineLevel="0" collapsed="false">
      <c r="A539" s="14"/>
      <c r="B539" s="14"/>
      <c r="C539" s="76"/>
      <c r="D539" s="59" t="str">
        <f aca="false">IF(B539="","",IFERROR(INDEX(식자재단가!$I$4:$I$203,MATCH(B539,식자재단가!$C$4:$C$203,0)),"?"))</f>
        <v/>
      </c>
      <c r="E539" s="77" t="str">
        <f aca="false">IF(B539="","",IFERROR(INDEX(식자재단가!$L$4:$L$203,MATCH(B539,식자재단가!$C$4:$C$203,0)),"품목없음"))</f>
        <v/>
      </c>
      <c r="F539" s="28" t="str">
        <f aca="false">IF(OR(B539="",C539=""),"",IF(ISNUMBER(E539),C539*E539,0))</f>
        <v/>
      </c>
      <c r="G539" s="14"/>
    </row>
    <row r="540" customFormat="false" ht="15" hidden="false" customHeight="false" outlineLevel="0" collapsed="false">
      <c r="A540" s="14"/>
      <c r="B540" s="14"/>
      <c r="C540" s="76"/>
      <c r="D540" s="59" t="str">
        <f aca="false">IF(B540="","",IFERROR(INDEX(식자재단가!$I$4:$I$203,MATCH(B540,식자재단가!$C$4:$C$203,0)),"?"))</f>
        <v/>
      </c>
      <c r="E540" s="77" t="str">
        <f aca="false">IF(B540="","",IFERROR(INDEX(식자재단가!$L$4:$L$203,MATCH(B540,식자재단가!$C$4:$C$203,0)),"품목없음"))</f>
        <v/>
      </c>
      <c r="F540" s="28" t="str">
        <f aca="false">IF(OR(B540="",C540=""),"",IF(ISNUMBER(E540),C540*E540,0))</f>
        <v/>
      </c>
      <c r="G540" s="14"/>
    </row>
    <row r="541" customFormat="false" ht="15" hidden="false" customHeight="false" outlineLevel="0" collapsed="false">
      <c r="A541" s="14"/>
      <c r="B541" s="14"/>
      <c r="C541" s="76"/>
      <c r="D541" s="59" t="str">
        <f aca="false">IF(B541="","",IFERROR(INDEX(식자재단가!$I$4:$I$203,MATCH(B541,식자재단가!$C$4:$C$203,0)),"?"))</f>
        <v/>
      </c>
      <c r="E541" s="77" t="str">
        <f aca="false">IF(B541="","",IFERROR(INDEX(식자재단가!$L$4:$L$203,MATCH(B541,식자재단가!$C$4:$C$203,0)),"품목없음"))</f>
        <v/>
      </c>
      <c r="F541" s="28" t="str">
        <f aca="false">IF(OR(B541="",C541=""),"",IF(ISNUMBER(E541),C541*E541,0))</f>
        <v/>
      </c>
      <c r="G541" s="14"/>
    </row>
    <row r="542" customFormat="false" ht="15" hidden="false" customHeight="false" outlineLevel="0" collapsed="false">
      <c r="A542" s="14"/>
      <c r="B542" s="14"/>
      <c r="C542" s="76"/>
      <c r="D542" s="59" t="str">
        <f aca="false">IF(B542="","",IFERROR(INDEX(식자재단가!$I$4:$I$203,MATCH(B542,식자재단가!$C$4:$C$203,0)),"?"))</f>
        <v/>
      </c>
      <c r="E542" s="77" t="str">
        <f aca="false">IF(B542="","",IFERROR(INDEX(식자재단가!$L$4:$L$203,MATCH(B542,식자재단가!$C$4:$C$203,0)),"품목없음"))</f>
        <v/>
      </c>
      <c r="F542" s="28" t="str">
        <f aca="false">IF(OR(B542="",C542=""),"",IF(ISNUMBER(E542),C542*E542,0))</f>
        <v/>
      </c>
      <c r="G542" s="14"/>
    </row>
    <row r="543" customFormat="false" ht="15" hidden="false" customHeight="false" outlineLevel="0" collapsed="false">
      <c r="A543" s="14"/>
      <c r="B543" s="14"/>
      <c r="C543" s="76"/>
      <c r="D543" s="59" t="str">
        <f aca="false">IF(B543="","",IFERROR(INDEX(식자재단가!$I$4:$I$203,MATCH(B543,식자재단가!$C$4:$C$203,0)),"?"))</f>
        <v/>
      </c>
      <c r="E543" s="77" t="str">
        <f aca="false">IF(B543="","",IFERROR(INDEX(식자재단가!$L$4:$L$203,MATCH(B543,식자재단가!$C$4:$C$203,0)),"품목없음"))</f>
        <v/>
      </c>
      <c r="F543" s="28" t="str">
        <f aca="false">IF(OR(B543="",C543=""),"",IF(ISNUMBER(E543),C543*E543,0))</f>
        <v/>
      </c>
      <c r="G543" s="14"/>
    </row>
    <row r="544" customFormat="false" ht="15" hidden="false" customHeight="false" outlineLevel="0" collapsed="false">
      <c r="A544" s="14"/>
      <c r="B544" s="14"/>
      <c r="C544" s="76"/>
      <c r="D544" s="59" t="str">
        <f aca="false">IF(B544="","",IFERROR(INDEX(식자재단가!$I$4:$I$203,MATCH(B544,식자재단가!$C$4:$C$203,0)),"?"))</f>
        <v/>
      </c>
      <c r="E544" s="77" t="str">
        <f aca="false">IF(B544="","",IFERROR(INDEX(식자재단가!$L$4:$L$203,MATCH(B544,식자재단가!$C$4:$C$203,0)),"품목없음"))</f>
        <v/>
      </c>
      <c r="F544" s="28" t="str">
        <f aca="false">IF(OR(B544="",C544=""),"",IF(ISNUMBER(E544),C544*E544,0))</f>
        <v/>
      </c>
      <c r="G544" s="14"/>
    </row>
    <row r="545" customFormat="false" ht="15" hidden="false" customHeight="false" outlineLevel="0" collapsed="false">
      <c r="A545" s="14"/>
      <c r="B545" s="14"/>
      <c r="C545" s="76"/>
      <c r="D545" s="59" t="str">
        <f aca="false">IF(B545="","",IFERROR(INDEX(식자재단가!$I$4:$I$203,MATCH(B545,식자재단가!$C$4:$C$203,0)),"?"))</f>
        <v/>
      </c>
      <c r="E545" s="77" t="str">
        <f aca="false">IF(B545="","",IFERROR(INDEX(식자재단가!$L$4:$L$203,MATCH(B545,식자재단가!$C$4:$C$203,0)),"품목없음"))</f>
        <v/>
      </c>
      <c r="F545" s="28" t="str">
        <f aca="false">IF(OR(B545="",C545=""),"",IF(ISNUMBER(E545),C545*E545,0))</f>
        <v/>
      </c>
      <c r="G545" s="14"/>
    </row>
    <row r="546" customFormat="false" ht="15" hidden="false" customHeight="false" outlineLevel="0" collapsed="false">
      <c r="A546" s="14"/>
      <c r="B546" s="14"/>
      <c r="C546" s="76"/>
      <c r="D546" s="59" t="str">
        <f aca="false">IF(B546="","",IFERROR(INDEX(식자재단가!$I$4:$I$203,MATCH(B546,식자재단가!$C$4:$C$203,0)),"?"))</f>
        <v/>
      </c>
      <c r="E546" s="77" t="str">
        <f aca="false">IF(B546="","",IFERROR(INDEX(식자재단가!$L$4:$L$203,MATCH(B546,식자재단가!$C$4:$C$203,0)),"품목없음"))</f>
        <v/>
      </c>
      <c r="F546" s="28" t="str">
        <f aca="false">IF(OR(B546="",C546=""),"",IF(ISNUMBER(E546),C546*E546,0))</f>
        <v/>
      </c>
      <c r="G546" s="14"/>
    </row>
    <row r="547" customFormat="false" ht="15" hidden="false" customHeight="false" outlineLevel="0" collapsed="false">
      <c r="A547" s="14"/>
      <c r="B547" s="14"/>
      <c r="C547" s="76"/>
      <c r="D547" s="59" t="str">
        <f aca="false">IF(B547="","",IFERROR(INDEX(식자재단가!$I$4:$I$203,MATCH(B547,식자재단가!$C$4:$C$203,0)),"?"))</f>
        <v/>
      </c>
      <c r="E547" s="77" t="str">
        <f aca="false">IF(B547="","",IFERROR(INDEX(식자재단가!$L$4:$L$203,MATCH(B547,식자재단가!$C$4:$C$203,0)),"품목없음"))</f>
        <v/>
      </c>
      <c r="F547" s="28" t="str">
        <f aca="false">IF(OR(B547="",C547=""),"",IF(ISNUMBER(E547),C547*E547,0))</f>
        <v/>
      </c>
      <c r="G547" s="14"/>
    </row>
    <row r="548" customFormat="false" ht="15" hidden="false" customHeight="false" outlineLevel="0" collapsed="false">
      <c r="A548" s="14"/>
      <c r="B548" s="14"/>
      <c r="C548" s="76"/>
      <c r="D548" s="59" t="str">
        <f aca="false">IF(B548="","",IFERROR(INDEX(식자재단가!$I$4:$I$203,MATCH(B548,식자재단가!$C$4:$C$203,0)),"?"))</f>
        <v/>
      </c>
      <c r="E548" s="77" t="str">
        <f aca="false">IF(B548="","",IFERROR(INDEX(식자재단가!$L$4:$L$203,MATCH(B548,식자재단가!$C$4:$C$203,0)),"품목없음"))</f>
        <v/>
      </c>
      <c r="F548" s="28" t="str">
        <f aca="false">IF(OR(B548="",C548=""),"",IF(ISNUMBER(E548),C548*E548,0))</f>
        <v/>
      </c>
      <c r="G548" s="14"/>
    </row>
    <row r="549" customFormat="false" ht="15" hidden="false" customHeight="false" outlineLevel="0" collapsed="false">
      <c r="A549" s="14"/>
      <c r="B549" s="14"/>
      <c r="C549" s="76"/>
      <c r="D549" s="59" t="str">
        <f aca="false">IF(B549="","",IFERROR(INDEX(식자재단가!$I$4:$I$203,MATCH(B549,식자재단가!$C$4:$C$203,0)),"?"))</f>
        <v/>
      </c>
      <c r="E549" s="77" t="str">
        <f aca="false">IF(B549="","",IFERROR(INDEX(식자재단가!$L$4:$L$203,MATCH(B549,식자재단가!$C$4:$C$203,0)),"품목없음"))</f>
        <v/>
      </c>
      <c r="F549" s="28" t="str">
        <f aca="false">IF(OR(B549="",C549=""),"",IF(ISNUMBER(E549),C549*E549,0))</f>
        <v/>
      </c>
      <c r="G549" s="14"/>
    </row>
    <row r="550" customFormat="false" ht="15" hidden="false" customHeight="false" outlineLevel="0" collapsed="false">
      <c r="A550" s="14"/>
      <c r="B550" s="14"/>
      <c r="C550" s="76"/>
      <c r="D550" s="59" t="str">
        <f aca="false">IF(B550="","",IFERROR(INDEX(식자재단가!$I$4:$I$203,MATCH(B550,식자재단가!$C$4:$C$203,0)),"?"))</f>
        <v/>
      </c>
      <c r="E550" s="77" t="str">
        <f aca="false">IF(B550="","",IFERROR(INDEX(식자재단가!$L$4:$L$203,MATCH(B550,식자재단가!$C$4:$C$203,0)),"품목없음"))</f>
        <v/>
      </c>
      <c r="F550" s="28" t="str">
        <f aca="false">IF(OR(B550="",C550=""),"",IF(ISNUMBER(E550),C550*E550,0))</f>
        <v/>
      </c>
      <c r="G550" s="14"/>
    </row>
    <row r="551" customFormat="false" ht="15" hidden="false" customHeight="false" outlineLevel="0" collapsed="false">
      <c r="A551" s="14"/>
      <c r="B551" s="14"/>
      <c r="C551" s="76"/>
      <c r="D551" s="59" t="str">
        <f aca="false">IF(B551="","",IFERROR(INDEX(식자재단가!$I$4:$I$203,MATCH(B551,식자재단가!$C$4:$C$203,0)),"?"))</f>
        <v/>
      </c>
      <c r="E551" s="77" t="str">
        <f aca="false">IF(B551="","",IFERROR(INDEX(식자재단가!$L$4:$L$203,MATCH(B551,식자재단가!$C$4:$C$203,0)),"품목없음"))</f>
        <v/>
      </c>
      <c r="F551" s="28" t="str">
        <f aca="false">IF(OR(B551="",C551=""),"",IF(ISNUMBER(E551),C551*E551,0))</f>
        <v/>
      </c>
      <c r="G551" s="14"/>
    </row>
    <row r="552" customFormat="false" ht="15" hidden="false" customHeight="false" outlineLevel="0" collapsed="false">
      <c r="A552" s="14"/>
      <c r="B552" s="14"/>
      <c r="C552" s="76"/>
      <c r="D552" s="59" t="str">
        <f aca="false">IF(B552="","",IFERROR(INDEX(식자재단가!$I$4:$I$203,MATCH(B552,식자재단가!$C$4:$C$203,0)),"?"))</f>
        <v/>
      </c>
      <c r="E552" s="77" t="str">
        <f aca="false">IF(B552="","",IFERROR(INDEX(식자재단가!$L$4:$L$203,MATCH(B552,식자재단가!$C$4:$C$203,0)),"품목없음"))</f>
        <v/>
      </c>
      <c r="F552" s="28" t="str">
        <f aca="false">IF(OR(B552="",C552=""),"",IF(ISNUMBER(E552),C552*E552,0))</f>
        <v/>
      </c>
      <c r="G552" s="14"/>
    </row>
    <row r="553" customFormat="false" ht="15" hidden="false" customHeight="false" outlineLevel="0" collapsed="false">
      <c r="A553" s="14"/>
      <c r="B553" s="14"/>
      <c r="C553" s="76"/>
      <c r="D553" s="59" t="str">
        <f aca="false">IF(B553="","",IFERROR(INDEX(식자재단가!$I$4:$I$203,MATCH(B553,식자재단가!$C$4:$C$203,0)),"?"))</f>
        <v/>
      </c>
      <c r="E553" s="77" t="str">
        <f aca="false">IF(B553="","",IFERROR(INDEX(식자재단가!$L$4:$L$203,MATCH(B553,식자재단가!$C$4:$C$203,0)),"품목없음"))</f>
        <v/>
      </c>
      <c r="F553" s="28" t="str">
        <f aca="false">IF(OR(B553="",C553=""),"",IF(ISNUMBER(E553),C553*E553,0))</f>
        <v/>
      </c>
      <c r="G553" s="14"/>
    </row>
    <row r="554" customFormat="false" ht="15" hidden="false" customHeight="false" outlineLevel="0" collapsed="false">
      <c r="A554" s="14"/>
      <c r="B554" s="14"/>
      <c r="C554" s="76"/>
      <c r="D554" s="59" t="str">
        <f aca="false">IF(B554="","",IFERROR(INDEX(식자재단가!$I$4:$I$203,MATCH(B554,식자재단가!$C$4:$C$203,0)),"?"))</f>
        <v/>
      </c>
      <c r="E554" s="77" t="str">
        <f aca="false">IF(B554="","",IFERROR(INDEX(식자재단가!$L$4:$L$203,MATCH(B554,식자재단가!$C$4:$C$203,0)),"품목없음"))</f>
        <v/>
      </c>
      <c r="F554" s="28" t="str">
        <f aca="false">IF(OR(B554="",C554=""),"",IF(ISNUMBER(E554),C554*E554,0))</f>
        <v/>
      </c>
      <c r="G554" s="14"/>
    </row>
    <row r="555" customFormat="false" ht="15" hidden="false" customHeight="false" outlineLevel="0" collapsed="false">
      <c r="A555" s="14"/>
      <c r="B555" s="14"/>
      <c r="C555" s="76"/>
      <c r="D555" s="59" t="str">
        <f aca="false">IF(B555="","",IFERROR(INDEX(식자재단가!$I$4:$I$203,MATCH(B555,식자재단가!$C$4:$C$203,0)),"?"))</f>
        <v/>
      </c>
      <c r="E555" s="77" t="str">
        <f aca="false">IF(B555="","",IFERROR(INDEX(식자재단가!$L$4:$L$203,MATCH(B555,식자재단가!$C$4:$C$203,0)),"품목없음"))</f>
        <v/>
      </c>
      <c r="F555" s="28" t="str">
        <f aca="false">IF(OR(B555="",C555=""),"",IF(ISNUMBER(E555),C555*E555,0))</f>
        <v/>
      </c>
      <c r="G555" s="14"/>
    </row>
    <row r="556" customFormat="false" ht="15" hidden="false" customHeight="false" outlineLevel="0" collapsed="false">
      <c r="A556" s="14"/>
      <c r="B556" s="14"/>
      <c r="C556" s="76"/>
      <c r="D556" s="59" t="str">
        <f aca="false">IF(B556="","",IFERROR(INDEX(식자재단가!$I$4:$I$203,MATCH(B556,식자재단가!$C$4:$C$203,0)),"?"))</f>
        <v/>
      </c>
      <c r="E556" s="77" t="str">
        <f aca="false">IF(B556="","",IFERROR(INDEX(식자재단가!$L$4:$L$203,MATCH(B556,식자재단가!$C$4:$C$203,0)),"품목없음"))</f>
        <v/>
      </c>
      <c r="F556" s="28" t="str">
        <f aca="false">IF(OR(B556="",C556=""),"",IF(ISNUMBER(E556),C556*E556,0))</f>
        <v/>
      </c>
      <c r="G556" s="14"/>
    </row>
    <row r="557" customFormat="false" ht="15" hidden="false" customHeight="false" outlineLevel="0" collapsed="false">
      <c r="A557" s="14"/>
      <c r="B557" s="14"/>
      <c r="C557" s="76"/>
      <c r="D557" s="59" t="str">
        <f aca="false">IF(B557="","",IFERROR(INDEX(식자재단가!$I$4:$I$203,MATCH(B557,식자재단가!$C$4:$C$203,0)),"?"))</f>
        <v/>
      </c>
      <c r="E557" s="77" t="str">
        <f aca="false">IF(B557="","",IFERROR(INDEX(식자재단가!$L$4:$L$203,MATCH(B557,식자재단가!$C$4:$C$203,0)),"품목없음"))</f>
        <v/>
      </c>
      <c r="F557" s="28" t="str">
        <f aca="false">IF(OR(B557="",C557=""),"",IF(ISNUMBER(E557),C557*E557,0))</f>
        <v/>
      </c>
      <c r="G557" s="14"/>
    </row>
    <row r="558" customFormat="false" ht="15" hidden="false" customHeight="false" outlineLevel="0" collapsed="false">
      <c r="A558" s="14"/>
      <c r="B558" s="14"/>
      <c r="C558" s="76"/>
      <c r="D558" s="59" t="str">
        <f aca="false">IF(B558="","",IFERROR(INDEX(식자재단가!$I$4:$I$203,MATCH(B558,식자재단가!$C$4:$C$203,0)),"?"))</f>
        <v/>
      </c>
      <c r="E558" s="77" t="str">
        <f aca="false">IF(B558="","",IFERROR(INDEX(식자재단가!$L$4:$L$203,MATCH(B558,식자재단가!$C$4:$C$203,0)),"품목없음"))</f>
        <v/>
      </c>
      <c r="F558" s="28" t="str">
        <f aca="false">IF(OR(B558="",C558=""),"",IF(ISNUMBER(E558),C558*E558,0))</f>
        <v/>
      </c>
      <c r="G558" s="14"/>
    </row>
    <row r="559" customFormat="false" ht="15" hidden="false" customHeight="false" outlineLevel="0" collapsed="false">
      <c r="A559" s="14"/>
      <c r="B559" s="14"/>
      <c r="C559" s="76"/>
      <c r="D559" s="59" t="str">
        <f aca="false">IF(B559="","",IFERROR(INDEX(식자재단가!$I$4:$I$203,MATCH(B559,식자재단가!$C$4:$C$203,0)),"?"))</f>
        <v/>
      </c>
      <c r="E559" s="77" t="str">
        <f aca="false">IF(B559="","",IFERROR(INDEX(식자재단가!$L$4:$L$203,MATCH(B559,식자재단가!$C$4:$C$203,0)),"품목없음"))</f>
        <v/>
      </c>
      <c r="F559" s="28" t="str">
        <f aca="false">IF(OR(B559="",C559=""),"",IF(ISNUMBER(E559),C559*E559,0))</f>
        <v/>
      </c>
      <c r="G559" s="14"/>
    </row>
    <row r="560" customFormat="false" ht="15" hidden="false" customHeight="false" outlineLevel="0" collapsed="false">
      <c r="A560" s="14"/>
      <c r="B560" s="14"/>
      <c r="C560" s="76"/>
      <c r="D560" s="59" t="str">
        <f aca="false">IF(B560="","",IFERROR(INDEX(식자재단가!$I$4:$I$203,MATCH(B560,식자재단가!$C$4:$C$203,0)),"?"))</f>
        <v/>
      </c>
      <c r="E560" s="77" t="str">
        <f aca="false">IF(B560="","",IFERROR(INDEX(식자재단가!$L$4:$L$203,MATCH(B560,식자재단가!$C$4:$C$203,0)),"품목없음"))</f>
        <v/>
      </c>
      <c r="F560" s="28" t="str">
        <f aca="false">IF(OR(B560="",C560=""),"",IF(ISNUMBER(E560),C560*E560,0))</f>
        <v/>
      </c>
      <c r="G560" s="14"/>
    </row>
    <row r="561" customFormat="false" ht="15" hidden="false" customHeight="false" outlineLevel="0" collapsed="false">
      <c r="A561" s="14"/>
      <c r="B561" s="14"/>
      <c r="C561" s="76"/>
      <c r="D561" s="59" t="str">
        <f aca="false">IF(B561="","",IFERROR(INDEX(식자재단가!$I$4:$I$203,MATCH(B561,식자재단가!$C$4:$C$203,0)),"?"))</f>
        <v/>
      </c>
      <c r="E561" s="77" t="str">
        <f aca="false">IF(B561="","",IFERROR(INDEX(식자재단가!$L$4:$L$203,MATCH(B561,식자재단가!$C$4:$C$203,0)),"품목없음"))</f>
        <v/>
      </c>
      <c r="F561" s="28" t="str">
        <f aca="false">IF(OR(B561="",C561=""),"",IF(ISNUMBER(E561),C561*E561,0))</f>
        <v/>
      </c>
      <c r="G561" s="14"/>
    </row>
    <row r="562" customFormat="false" ht="15" hidden="false" customHeight="false" outlineLevel="0" collapsed="false">
      <c r="A562" s="14"/>
      <c r="B562" s="14"/>
      <c r="C562" s="76"/>
      <c r="D562" s="59" t="str">
        <f aca="false">IF(B562="","",IFERROR(INDEX(식자재단가!$I$4:$I$203,MATCH(B562,식자재단가!$C$4:$C$203,0)),"?"))</f>
        <v/>
      </c>
      <c r="E562" s="77" t="str">
        <f aca="false">IF(B562="","",IFERROR(INDEX(식자재단가!$L$4:$L$203,MATCH(B562,식자재단가!$C$4:$C$203,0)),"품목없음"))</f>
        <v/>
      </c>
      <c r="F562" s="28" t="str">
        <f aca="false">IF(OR(B562="",C562=""),"",IF(ISNUMBER(E562),C562*E562,0))</f>
        <v/>
      </c>
      <c r="G562" s="14"/>
    </row>
    <row r="563" customFormat="false" ht="15" hidden="false" customHeight="false" outlineLevel="0" collapsed="false">
      <c r="A563" s="14"/>
      <c r="B563" s="14"/>
      <c r="C563" s="76"/>
      <c r="D563" s="59" t="str">
        <f aca="false">IF(B563="","",IFERROR(INDEX(식자재단가!$I$4:$I$203,MATCH(B563,식자재단가!$C$4:$C$203,0)),"?"))</f>
        <v/>
      </c>
      <c r="E563" s="77" t="str">
        <f aca="false">IF(B563="","",IFERROR(INDEX(식자재단가!$L$4:$L$203,MATCH(B563,식자재단가!$C$4:$C$203,0)),"품목없음"))</f>
        <v/>
      </c>
      <c r="F563" s="28" t="str">
        <f aca="false">IF(OR(B563="",C563=""),"",IF(ISNUMBER(E563),C563*E563,0))</f>
        <v/>
      </c>
      <c r="G563" s="14"/>
    </row>
    <row r="564" customFormat="false" ht="15" hidden="false" customHeight="false" outlineLevel="0" collapsed="false">
      <c r="A564" s="14"/>
      <c r="B564" s="14"/>
      <c r="C564" s="76"/>
      <c r="D564" s="59" t="str">
        <f aca="false">IF(B564="","",IFERROR(INDEX(식자재단가!$I$4:$I$203,MATCH(B564,식자재단가!$C$4:$C$203,0)),"?"))</f>
        <v/>
      </c>
      <c r="E564" s="77" t="str">
        <f aca="false">IF(B564="","",IFERROR(INDEX(식자재단가!$L$4:$L$203,MATCH(B564,식자재단가!$C$4:$C$203,0)),"품목없음"))</f>
        <v/>
      </c>
      <c r="F564" s="28" t="str">
        <f aca="false">IF(OR(B564="",C564=""),"",IF(ISNUMBER(E564),C564*E564,0))</f>
        <v/>
      </c>
      <c r="G564" s="14"/>
    </row>
    <row r="565" customFormat="false" ht="15" hidden="false" customHeight="false" outlineLevel="0" collapsed="false">
      <c r="A565" s="14"/>
      <c r="B565" s="14"/>
      <c r="C565" s="76"/>
      <c r="D565" s="59" t="str">
        <f aca="false">IF(B565="","",IFERROR(INDEX(식자재단가!$I$4:$I$203,MATCH(B565,식자재단가!$C$4:$C$203,0)),"?"))</f>
        <v/>
      </c>
      <c r="E565" s="77" t="str">
        <f aca="false">IF(B565="","",IFERROR(INDEX(식자재단가!$L$4:$L$203,MATCH(B565,식자재단가!$C$4:$C$203,0)),"품목없음"))</f>
        <v/>
      </c>
      <c r="F565" s="28" t="str">
        <f aca="false">IF(OR(B565="",C565=""),"",IF(ISNUMBER(E565),C565*E565,0))</f>
        <v/>
      </c>
      <c r="G565" s="14"/>
    </row>
    <row r="566" customFormat="false" ht="15" hidden="false" customHeight="false" outlineLevel="0" collapsed="false">
      <c r="A566" s="14"/>
      <c r="B566" s="14"/>
      <c r="C566" s="76"/>
      <c r="D566" s="59" t="str">
        <f aca="false">IF(B566="","",IFERROR(INDEX(식자재단가!$I$4:$I$203,MATCH(B566,식자재단가!$C$4:$C$203,0)),"?"))</f>
        <v/>
      </c>
      <c r="E566" s="77" t="str">
        <f aca="false">IF(B566="","",IFERROR(INDEX(식자재단가!$L$4:$L$203,MATCH(B566,식자재단가!$C$4:$C$203,0)),"품목없음"))</f>
        <v/>
      </c>
      <c r="F566" s="28" t="str">
        <f aca="false">IF(OR(B566="",C566=""),"",IF(ISNUMBER(E566),C566*E566,0))</f>
        <v/>
      </c>
      <c r="G566" s="14"/>
    </row>
    <row r="567" customFormat="false" ht="15" hidden="false" customHeight="false" outlineLevel="0" collapsed="false">
      <c r="A567" s="14"/>
      <c r="B567" s="14"/>
      <c r="C567" s="76"/>
      <c r="D567" s="59" t="str">
        <f aca="false">IF(B567="","",IFERROR(INDEX(식자재단가!$I$4:$I$203,MATCH(B567,식자재단가!$C$4:$C$203,0)),"?"))</f>
        <v/>
      </c>
      <c r="E567" s="77" t="str">
        <f aca="false">IF(B567="","",IFERROR(INDEX(식자재단가!$L$4:$L$203,MATCH(B567,식자재단가!$C$4:$C$203,0)),"품목없음"))</f>
        <v/>
      </c>
      <c r="F567" s="28" t="str">
        <f aca="false">IF(OR(B567="",C567=""),"",IF(ISNUMBER(E567),C567*E567,0))</f>
        <v/>
      </c>
      <c r="G567" s="14"/>
    </row>
    <row r="568" customFormat="false" ht="15" hidden="false" customHeight="false" outlineLevel="0" collapsed="false">
      <c r="A568" s="14"/>
      <c r="B568" s="14"/>
      <c r="C568" s="76"/>
      <c r="D568" s="59" t="str">
        <f aca="false">IF(B568="","",IFERROR(INDEX(식자재단가!$I$4:$I$203,MATCH(B568,식자재단가!$C$4:$C$203,0)),"?"))</f>
        <v/>
      </c>
      <c r="E568" s="77" t="str">
        <f aca="false">IF(B568="","",IFERROR(INDEX(식자재단가!$L$4:$L$203,MATCH(B568,식자재단가!$C$4:$C$203,0)),"품목없음"))</f>
        <v/>
      </c>
      <c r="F568" s="28" t="str">
        <f aca="false">IF(OR(B568="",C568=""),"",IF(ISNUMBER(E568),C568*E568,0))</f>
        <v/>
      </c>
      <c r="G568" s="14"/>
    </row>
    <row r="569" customFormat="false" ht="15" hidden="false" customHeight="false" outlineLevel="0" collapsed="false">
      <c r="A569" s="14"/>
      <c r="B569" s="14"/>
      <c r="C569" s="76"/>
      <c r="D569" s="59" t="str">
        <f aca="false">IF(B569="","",IFERROR(INDEX(식자재단가!$I$4:$I$203,MATCH(B569,식자재단가!$C$4:$C$203,0)),"?"))</f>
        <v/>
      </c>
      <c r="E569" s="77" t="str">
        <f aca="false">IF(B569="","",IFERROR(INDEX(식자재단가!$L$4:$L$203,MATCH(B569,식자재단가!$C$4:$C$203,0)),"품목없음"))</f>
        <v/>
      </c>
      <c r="F569" s="28" t="str">
        <f aca="false">IF(OR(B569="",C569=""),"",IF(ISNUMBER(E569),C569*E569,0))</f>
        <v/>
      </c>
      <c r="G569" s="14"/>
    </row>
    <row r="570" customFormat="false" ht="15" hidden="false" customHeight="false" outlineLevel="0" collapsed="false">
      <c r="A570" s="14"/>
      <c r="B570" s="14"/>
      <c r="C570" s="76"/>
      <c r="D570" s="59" t="str">
        <f aca="false">IF(B570="","",IFERROR(INDEX(식자재단가!$I$4:$I$203,MATCH(B570,식자재단가!$C$4:$C$203,0)),"?"))</f>
        <v/>
      </c>
      <c r="E570" s="77" t="str">
        <f aca="false">IF(B570="","",IFERROR(INDEX(식자재단가!$L$4:$L$203,MATCH(B570,식자재단가!$C$4:$C$203,0)),"품목없음"))</f>
        <v/>
      </c>
      <c r="F570" s="28" t="str">
        <f aca="false">IF(OR(B570="",C570=""),"",IF(ISNUMBER(E570),C570*E570,0))</f>
        <v/>
      </c>
      <c r="G570" s="14"/>
    </row>
    <row r="571" customFormat="false" ht="15" hidden="false" customHeight="false" outlineLevel="0" collapsed="false">
      <c r="A571" s="14"/>
      <c r="B571" s="14"/>
      <c r="C571" s="76"/>
      <c r="D571" s="59" t="str">
        <f aca="false">IF(B571="","",IFERROR(INDEX(식자재단가!$I$4:$I$203,MATCH(B571,식자재단가!$C$4:$C$203,0)),"?"))</f>
        <v/>
      </c>
      <c r="E571" s="77" t="str">
        <f aca="false">IF(B571="","",IFERROR(INDEX(식자재단가!$L$4:$L$203,MATCH(B571,식자재단가!$C$4:$C$203,0)),"품목없음"))</f>
        <v/>
      </c>
      <c r="F571" s="28" t="str">
        <f aca="false">IF(OR(B571="",C571=""),"",IF(ISNUMBER(E571),C571*E571,0))</f>
        <v/>
      </c>
      <c r="G571" s="14"/>
    </row>
    <row r="572" customFormat="false" ht="15" hidden="false" customHeight="false" outlineLevel="0" collapsed="false">
      <c r="A572" s="14"/>
      <c r="B572" s="14"/>
      <c r="C572" s="76"/>
      <c r="D572" s="59" t="str">
        <f aca="false">IF(B572="","",IFERROR(INDEX(식자재단가!$I$4:$I$203,MATCH(B572,식자재단가!$C$4:$C$203,0)),"?"))</f>
        <v/>
      </c>
      <c r="E572" s="77" t="str">
        <f aca="false">IF(B572="","",IFERROR(INDEX(식자재단가!$L$4:$L$203,MATCH(B572,식자재단가!$C$4:$C$203,0)),"품목없음"))</f>
        <v/>
      </c>
      <c r="F572" s="28" t="str">
        <f aca="false">IF(OR(B572="",C572=""),"",IF(ISNUMBER(E572),C572*E572,0))</f>
        <v/>
      </c>
      <c r="G572" s="14"/>
    </row>
    <row r="573" customFormat="false" ht="15" hidden="false" customHeight="false" outlineLevel="0" collapsed="false">
      <c r="A573" s="14"/>
      <c r="B573" s="14"/>
      <c r="C573" s="76"/>
      <c r="D573" s="59" t="str">
        <f aca="false">IF(B573="","",IFERROR(INDEX(식자재단가!$I$4:$I$203,MATCH(B573,식자재단가!$C$4:$C$203,0)),"?"))</f>
        <v/>
      </c>
      <c r="E573" s="77" t="str">
        <f aca="false">IF(B573="","",IFERROR(INDEX(식자재단가!$L$4:$L$203,MATCH(B573,식자재단가!$C$4:$C$203,0)),"품목없음"))</f>
        <v/>
      </c>
      <c r="F573" s="28" t="str">
        <f aca="false">IF(OR(B573="",C573=""),"",IF(ISNUMBER(E573),C573*E573,0))</f>
        <v/>
      </c>
      <c r="G573" s="14"/>
    </row>
    <row r="574" customFormat="false" ht="15" hidden="false" customHeight="false" outlineLevel="0" collapsed="false">
      <c r="A574" s="14"/>
      <c r="B574" s="14"/>
      <c r="C574" s="76"/>
      <c r="D574" s="59" t="str">
        <f aca="false">IF(B574="","",IFERROR(INDEX(식자재단가!$I$4:$I$203,MATCH(B574,식자재단가!$C$4:$C$203,0)),"?"))</f>
        <v/>
      </c>
      <c r="E574" s="77" t="str">
        <f aca="false">IF(B574="","",IFERROR(INDEX(식자재단가!$L$4:$L$203,MATCH(B574,식자재단가!$C$4:$C$203,0)),"품목없음"))</f>
        <v/>
      </c>
      <c r="F574" s="28" t="str">
        <f aca="false">IF(OR(B574="",C574=""),"",IF(ISNUMBER(E574),C574*E574,0))</f>
        <v/>
      </c>
      <c r="G574" s="14"/>
    </row>
    <row r="575" customFormat="false" ht="15" hidden="false" customHeight="false" outlineLevel="0" collapsed="false">
      <c r="A575" s="14"/>
      <c r="B575" s="14"/>
      <c r="C575" s="76"/>
      <c r="D575" s="59" t="str">
        <f aca="false">IF(B575="","",IFERROR(INDEX(식자재단가!$I$4:$I$203,MATCH(B575,식자재단가!$C$4:$C$203,0)),"?"))</f>
        <v/>
      </c>
      <c r="E575" s="77" t="str">
        <f aca="false">IF(B575="","",IFERROR(INDEX(식자재단가!$L$4:$L$203,MATCH(B575,식자재단가!$C$4:$C$203,0)),"품목없음"))</f>
        <v/>
      </c>
      <c r="F575" s="28" t="str">
        <f aca="false">IF(OR(B575="",C575=""),"",IF(ISNUMBER(E575),C575*E575,0))</f>
        <v/>
      </c>
      <c r="G575" s="14"/>
    </row>
    <row r="576" customFormat="false" ht="15" hidden="false" customHeight="false" outlineLevel="0" collapsed="false">
      <c r="A576" s="14"/>
      <c r="B576" s="14"/>
      <c r="C576" s="76"/>
      <c r="D576" s="59" t="str">
        <f aca="false">IF(B576="","",IFERROR(INDEX(식자재단가!$I$4:$I$203,MATCH(B576,식자재단가!$C$4:$C$203,0)),"?"))</f>
        <v/>
      </c>
      <c r="E576" s="77" t="str">
        <f aca="false">IF(B576="","",IFERROR(INDEX(식자재단가!$L$4:$L$203,MATCH(B576,식자재단가!$C$4:$C$203,0)),"품목없음"))</f>
        <v/>
      </c>
      <c r="F576" s="28" t="str">
        <f aca="false">IF(OR(B576="",C576=""),"",IF(ISNUMBER(E576),C576*E576,0))</f>
        <v/>
      </c>
      <c r="G576" s="14"/>
    </row>
    <row r="577" customFormat="false" ht="15" hidden="false" customHeight="false" outlineLevel="0" collapsed="false">
      <c r="A577" s="14"/>
      <c r="B577" s="14"/>
      <c r="C577" s="76"/>
      <c r="D577" s="59" t="str">
        <f aca="false">IF(B577="","",IFERROR(INDEX(식자재단가!$I$4:$I$203,MATCH(B577,식자재단가!$C$4:$C$203,0)),"?"))</f>
        <v/>
      </c>
      <c r="E577" s="77" t="str">
        <f aca="false">IF(B577="","",IFERROR(INDEX(식자재단가!$L$4:$L$203,MATCH(B577,식자재단가!$C$4:$C$203,0)),"품목없음"))</f>
        <v/>
      </c>
      <c r="F577" s="28" t="str">
        <f aca="false">IF(OR(B577="",C577=""),"",IF(ISNUMBER(E577),C577*E577,0))</f>
        <v/>
      </c>
      <c r="G577" s="14"/>
    </row>
    <row r="578" customFormat="false" ht="15" hidden="false" customHeight="false" outlineLevel="0" collapsed="false">
      <c r="A578" s="14"/>
      <c r="B578" s="14"/>
      <c r="C578" s="76"/>
      <c r="D578" s="59" t="str">
        <f aca="false">IF(B578="","",IFERROR(INDEX(식자재단가!$I$4:$I$203,MATCH(B578,식자재단가!$C$4:$C$203,0)),"?"))</f>
        <v/>
      </c>
      <c r="E578" s="77" t="str">
        <f aca="false">IF(B578="","",IFERROR(INDEX(식자재단가!$L$4:$L$203,MATCH(B578,식자재단가!$C$4:$C$203,0)),"품목없음"))</f>
        <v/>
      </c>
      <c r="F578" s="28" t="str">
        <f aca="false">IF(OR(B578="",C578=""),"",IF(ISNUMBER(E578),C578*E578,0))</f>
        <v/>
      </c>
      <c r="G578" s="14"/>
    </row>
    <row r="579" customFormat="false" ht="15" hidden="false" customHeight="false" outlineLevel="0" collapsed="false">
      <c r="A579" s="14"/>
      <c r="B579" s="14"/>
      <c r="C579" s="76"/>
      <c r="D579" s="59" t="str">
        <f aca="false">IF(B579="","",IFERROR(INDEX(식자재단가!$I$4:$I$203,MATCH(B579,식자재단가!$C$4:$C$203,0)),"?"))</f>
        <v/>
      </c>
      <c r="E579" s="77" t="str">
        <f aca="false">IF(B579="","",IFERROR(INDEX(식자재단가!$L$4:$L$203,MATCH(B579,식자재단가!$C$4:$C$203,0)),"품목없음"))</f>
        <v/>
      </c>
      <c r="F579" s="28" t="str">
        <f aca="false">IF(OR(B579="",C579=""),"",IF(ISNUMBER(E579),C579*E579,0))</f>
        <v/>
      </c>
      <c r="G579" s="14"/>
    </row>
    <row r="580" customFormat="false" ht="15" hidden="false" customHeight="false" outlineLevel="0" collapsed="false">
      <c r="A580" s="14"/>
      <c r="B580" s="14"/>
      <c r="C580" s="76"/>
      <c r="D580" s="59" t="str">
        <f aca="false">IF(B580="","",IFERROR(INDEX(식자재단가!$I$4:$I$203,MATCH(B580,식자재단가!$C$4:$C$203,0)),"?"))</f>
        <v/>
      </c>
      <c r="E580" s="77" t="str">
        <f aca="false">IF(B580="","",IFERROR(INDEX(식자재단가!$L$4:$L$203,MATCH(B580,식자재단가!$C$4:$C$203,0)),"품목없음"))</f>
        <v/>
      </c>
      <c r="F580" s="28" t="str">
        <f aca="false">IF(OR(B580="",C580=""),"",IF(ISNUMBER(E580),C580*E580,0))</f>
        <v/>
      </c>
      <c r="G580" s="14"/>
    </row>
    <row r="581" customFormat="false" ht="15" hidden="false" customHeight="false" outlineLevel="0" collapsed="false">
      <c r="A581" s="14"/>
      <c r="B581" s="14"/>
      <c r="C581" s="76"/>
      <c r="D581" s="59" t="str">
        <f aca="false">IF(B581="","",IFERROR(INDEX(식자재단가!$I$4:$I$203,MATCH(B581,식자재단가!$C$4:$C$203,0)),"?"))</f>
        <v/>
      </c>
      <c r="E581" s="77" t="str">
        <f aca="false">IF(B581="","",IFERROR(INDEX(식자재단가!$L$4:$L$203,MATCH(B581,식자재단가!$C$4:$C$203,0)),"품목없음"))</f>
        <v/>
      </c>
      <c r="F581" s="28" t="str">
        <f aca="false">IF(OR(B581="",C581=""),"",IF(ISNUMBER(E581),C581*E581,0))</f>
        <v/>
      </c>
      <c r="G581" s="14"/>
    </row>
    <row r="582" customFormat="false" ht="15" hidden="false" customHeight="false" outlineLevel="0" collapsed="false">
      <c r="A582" s="14"/>
      <c r="B582" s="14"/>
      <c r="C582" s="76"/>
      <c r="D582" s="59" t="str">
        <f aca="false">IF(B582="","",IFERROR(INDEX(식자재단가!$I$4:$I$203,MATCH(B582,식자재단가!$C$4:$C$203,0)),"?"))</f>
        <v/>
      </c>
      <c r="E582" s="77" t="str">
        <f aca="false">IF(B582="","",IFERROR(INDEX(식자재단가!$L$4:$L$203,MATCH(B582,식자재단가!$C$4:$C$203,0)),"품목없음"))</f>
        <v/>
      </c>
      <c r="F582" s="28" t="str">
        <f aca="false">IF(OR(B582="",C582=""),"",IF(ISNUMBER(E582),C582*E582,0))</f>
        <v/>
      </c>
      <c r="G582" s="14"/>
    </row>
    <row r="583" customFormat="false" ht="15" hidden="false" customHeight="false" outlineLevel="0" collapsed="false">
      <c r="A583" s="14"/>
      <c r="B583" s="14"/>
      <c r="C583" s="76"/>
      <c r="D583" s="59" t="str">
        <f aca="false">IF(B583="","",IFERROR(INDEX(식자재단가!$I$4:$I$203,MATCH(B583,식자재단가!$C$4:$C$203,0)),"?"))</f>
        <v/>
      </c>
      <c r="E583" s="77" t="str">
        <f aca="false">IF(B583="","",IFERROR(INDEX(식자재단가!$L$4:$L$203,MATCH(B583,식자재단가!$C$4:$C$203,0)),"품목없음"))</f>
        <v/>
      </c>
      <c r="F583" s="28" t="str">
        <f aca="false">IF(OR(B583="",C583=""),"",IF(ISNUMBER(E583),C583*E583,0))</f>
        <v/>
      </c>
      <c r="G583" s="14"/>
    </row>
    <row r="584" customFormat="false" ht="15" hidden="false" customHeight="false" outlineLevel="0" collapsed="false">
      <c r="A584" s="14"/>
      <c r="B584" s="14"/>
      <c r="C584" s="76"/>
      <c r="D584" s="59" t="str">
        <f aca="false">IF(B584="","",IFERROR(INDEX(식자재단가!$I$4:$I$203,MATCH(B584,식자재단가!$C$4:$C$203,0)),"?"))</f>
        <v/>
      </c>
      <c r="E584" s="77" t="str">
        <f aca="false">IF(B584="","",IFERROR(INDEX(식자재단가!$L$4:$L$203,MATCH(B584,식자재단가!$C$4:$C$203,0)),"품목없음"))</f>
        <v/>
      </c>
      <c r="F584" s="28" t="str">
        <f aca="false">IF(OR(B584="",C584=""),"",IF(ISNUMBER(E584),C584*E584,0))</f>
        <v/>
      </c>
      <c r="G584" s="14"/>
    </row>
    <row r="585" customFormat="false" ht="15" hidden="false" customHeight="false" outlineLevel="0" collapsed="false">
      <c r="A585" s="14"/>
      <c r="B585" s="14"/>
      <c r="C585" s="76"/>
      <c r="D585" s="59" t="str">
        <f aca="false">IF(B585="","",IFERROR(INDEX(식자재단가!$I$4:$I$203,MATCH(B585,식자재단가!$C$4:$C$203,0)),"?"))</f>
        <v/>
      </c>
      <c r="E585" s="77" t="str">
        <f aca="false">IF(B585="","",IFERROR(INDEX(식자재단가!$L$4:$L$203,MATCH(B585,식자재단가!$C$4:$C$203,0)),"품목없음"))</f>
        <v/>
      </c>
      <c r="F585" s="28" t="str">
        <f aca="false">IF(OR(B585="",C585=""),"",IF(ISNUMBER(E585),C585*E585,0))</f>
        <v/>
      </c>
      <c r="G585" s="14"/>
    </row>
    <row r="586" customFormat="false" ht="15" hidden="false" customHeight="false" outlineLevel="0" collapsed="false">
      <c r="A586" s="14"/>
      <c r="B586" s="14"/>
      <c r="C586" s="76"/>
      <c r="D586" s="59" t="str">
        <f aca="false">IF(B586="","",IFERROR(INDEX(식자재단가!$I$4:$I$203,MATCH(B586,식자재단가!$C$4:$C$203,0)),"?"))</f>
        <v/>
      </c>
      <c r="E586" s="77" t="str">
        <f aca="false">IF(B586="","",IFERROR(INDEX(식자재단가!$L$4:$L$203,MATCH(B586,식자재단가!$C$4:$C$203,0)),"품목없음"))</f>
        <v/>
      </c>
      <c r="F586" s="28" t="str">
        <f aca="false">IF(OR(B586="",C586=""),"",IF(ISNUMBER(E586),C586*E586,0))</f>
        <v/>
      </c>
      <c r="G586" s="14"/>
    </row>
    <row r="587" customFormat="false" ht="15" hidden="false" customHeight="false" outlineLevel="0" collapsed="false">
      <c r="A587" s="14"/>
      <c r="B587" s="14"/>
      <c r="C587" s="76"/>
      <c r="D587" s="59" t="str">
        <f aca="false">IF(B587="","",IFERROR(INDEX(식자재단가!$I$4:$I$203,MATCH(B587,식자재단가!$C$4:$C$203,0)),"?"))</f>
        <v/>
      </c>
      <c r="E587" s="77" t="str">
        <f aca="false">IF(B587="","",IFERROR(INDEX(식자재단가!$L$4:$L$203,MATCH(B587,식자재단가!$C$4:$C$203,0)),"품목없음"))</f>
        <v/>
      </c>
      <c r="F587" s="28" t="str">
        <f aca="false">IF(OR(B587="",C587=""),"",IF(ISNUMBER(E587),C587*E587,0))</f>
        <v/>
      </c>
      <c r="G587" s="14"/>
    </row>
    <row r="588" customFormat="false" ht="15" hidden="false" customHeight="false" outlineLevel="0" collapsed="false">
      <c r="A588" s="14"/>
      <c r="B588" s="14"/>
      <c r="C588" s="76"/>
      <c r="D588" s="59" t="str">
        <f aca="false">IF(B588="","",IFERROR(INDEX(식자재단가!$I$4:$I$203,MATCH(B588,식자재단가!$C$4:$C$203,0)),"?"))</f>
        <v/>
      </c>
      <c r="E588" s="77" t="str">
        <f aca="false">IF(B588="","",IFERROR(INDEX(식자재단가!$L$4:$L$203,MATCH(B588,식자재단가!$C$4:$C$203,0)),"품목없음"))</f>
        <v/>
      </c>
      <c r="F588" s="28" t="str">
        <f aca="false">IF(OR(B588="",C588=""),"",IF(ISNUMBER(E588),C588*E588,0))</f>
        <v/>
      </c>
      <c r="G588" s="14"/>
    </row>
    <row r="589" customFormat="false" ht="15" hidden="false" customHeight="false" outlineLevel="0" collapsed="false">
      <c r="A589" s="14"/>
      <c r="B589" s="14"/>
      <c r="C589" s="76"/>
      <c r="D589" s="59" t="str">
        <f aca="false">IF(B589="","",IFERROR(INDEX(식자재단가!$I$4:$I$203,MATCH(B589,식자재단가!$C$4:$C$203,0)),"?"))</f>
        <v/>
      </c>
      <c r="E589" s="77" t="str">
        <f aca="false">IF(B589="","",IFERROR(INDEX(식자재단가!$L$4:$L$203,MATCH(B589,식자재단가!$C$4:$C$203,0)),"품목없음"))</f>
        <v/>
      </c>
      <c r="F589" s="28" t="str">
        <f aca="false">IF(OR(B589="",C589=""),"",IF(ISNUMBER(E589),C589*E589,0))</f>
        <v/>
      </c>
      <c r="G589" s="14"/>
    </row>
    <row r="590" customFormat="false" ht="15" hidden="false" customHeight="false" outlineLevel="0" collapsed="false">
      <c r="A590" s="14"/>
      <c r="B590" s="14"/>
      <c r="C590" s="76"/>
      <c r="D590" s="59" t="str">
        <f aca="false">IF(B590="","",IFERROR(INDEX(식자재단가!$I$4:$I$203,MATCH(B590,식자재단가!$C$4:$C$203,0)),"?"))</f>
        <v/>
      </c>
      <c r="E590" s="77" t="str">
        <f aca="false">IF(B590="","",IFERROR(INDEX(식자재단가!$L$4:$L$203,MATCH(B590,식자재단가!$C$4:$C$203,0)),"품목없음"))</f>
        <v/>
      </c>
      <c r="F590" s="28" t="str">
        <f aca="false">IF(OR(B590="",C590=""),"",IF(ISNUMBER(E590),C590*E590,0))</f>
        <v/>
      </c>
      <c r="G590" s="14"/>
    </row>
    <row r="591" customFormat="false" ht="15" hidden="false" customHeight="false" outlineLevel="0" collapsed="false">
      <c r="A591" s="14"/>
      <c r="B591" s="14"/>
      <c r="C591" s="76"/>
      <c r="D591" s="59" t="str">
        <f aca="false">IF(B591="","",IFERROR(INDEX(식자재단가!$I$4:$I$203,MATCH(B591,식자재단가!$C$4:$C$203,0)),"?"))</f>
        <v/>
      </c>
      <c r="E591" s="77" t="str">
        <f aca="false">IF(B591="","",IFERROR(INDEX(식자재단가!$L$4:$L$203,MATCH(B591,식자재단가!$C$4:$C$203,0)),"품목없음"))</f>
        <v/>
      </c>
      <c r="F591" s="28" t="str">
        <f aca="false">IF(OR(B591="",C591=""),"",IF(ISNUMBER(E591),C591*E591,0))</f>
        <v/>
      </c>
      <c r="G591" s="14"/>
    </row>
    <row r="592" customFormat="false" ht="15" hidden="false" customHeight="false" outlineLevel="0" collapsed="false">
      <c r="A592" s="14"/>
      <c r="B592" s="14"/>
      <c r="C592" s="76"/>
      <c r="D592" s="59" t="str">
        <f aca="false">IF(B592="","",IFERROR(INDEX(식자재단가!$I$4:$I$203,MATCH(B592,식자재단가!$C$4:$C$203,0)),"?"))</f>
        <v/>
      </c>
      <c r="E592" s="77" t="str">
        <f aca="false">IF(B592="","",IFERROR(INDEX(식자재단가!$L$4:$L$203,MATCH(B592,식자재단가!$C$4:$C$203,0)),"품목없음"))</f>
        <v/>
      </c>
      <c r="F592" s="28" t="str">
        <f aca="false">IF(OR(B592="",C592=""),"",IF(ISNUMBER(E592),C592*E592,0))</f>
        <v/>
      </c>
      <c r="G592" s="14"/>
    </row>
    <row r="593" customFormat="false" ht="15" hidden="false" customHeight="false" outlineLevel="0" collapsed="false">
      <c r="A593" s="14"/>
      <c r="B593" s="14"/>
      <c r="C593" s="76"/>
      <c r="D593" s="59" t="str">
        <f aca="false">IF(B593="","",IFERROR(INDEX(식자재단가!$I$4:$I$203,MATCH(B593,식자재단가!$C$4:$C$203,0)),"?"))</f>
        <v/>
      </c>
      <c r="E593" s="77" t="str">
        <f aca="false">IF(B593="","",IFERROR(INDEX(식자재단가!$L$4:$L$203,MATCH(B593,식자재단가!$C$4:$C$203,0)),"품목없음"))</f>
        <v/>
      </c>
      <c r="F593" s="28" t="str">
        <f aca="false">IF(OR(B593="",C593=""),"",IF(ISNUMBER(E593),C593*E593,0))</f>
        <v/>
      </c>
      <c r="G593" s="14"/>
    </row>
    <row r="594" customFormat="false" ht="15" hidden="false" customHeight="false" outlineLevel="0" collapsed="false">
      <c r="A594" s="14"/>
      <c r="B594" s="14"/>
      <c r="C594" s="76"/>
      <c r="D594" s="59" t="str">
        <f aca="false">IF(B594="","",IFERROR(INDEX(식자재단가!$I$4:$I$203,MATCH(B594,식자재단가!$C$4:$C$203,0)),"?"))</f>
        <v/>
      </c>
      <c r="E594" s="77" t="str">
        <f aca="false">IF(B594="","",IFERROR(INDEX(식자재단가!$L$4:$L$203,MATCH(B594,식자재단가!$C$4:$C$203,0)),"품목없음"))</f>
        <v/>
      </c>
      <c r="F594" s="28" t="str">
        <f aca="false">IF(OR(B594="",C594=""),"",IF(ISNUMBER(E594),C594*E594,0))</f>
        <v/>
      </c>
      <c r="G594" s="14"/>
    </row>
    <row r="595" customFormat="false" ht="15" hidden="false" customHeight="false" outlineLevel="0" collapsed="false">
      <c r="A595" s="14"/>
      <c r="B595" s="14"/>
      <c r="C595" s="76"/>
      <c r="D595" s="59" t="str">
        <f aca="false">IF(B595="","",IFERROR(INDEX(식자재단가!$I$4:$I$203,MATCH(B595,식자재단가!$C$4:$C$203,0)),"?"))</f>
        <v/>
      </c>
      <c r="E595" s="77" t="str">
        <f aca="false">IF(B595="","",IFERROR(INDEX(식자재단가!$L$4:$L$203,MATCH(B595,식자재단가!$C$4:$C$203,0)),"품목없음"))</f>
        <v/>
      </c>
      <c r="F595" s="28" t="str">
        <f aca="false">IF(OR(B595="",C595=""),"",IF(ISNUMBER(E595),C595*E595,0))</f>
        <v/>
      </c>
      <c r="G595" s="14"/>
    </row>
    <row r="596" customFormat="false" ht="15" hidden="false" customHeight="false" outlineLevel="0" collapsed="false">
      <c r="A596" s="14"/>
      <c r="B596" s="14"/>
      <c r="C596" s="76"/>
      <c r="D596" s="59" t="str">
        <f aca="false">IF(B596="","",IFERROR(INDEX(식자재단가!$I$4:$I$203,MATCH(B596,식자재단가!$C$4:$C$203,0)),"?"))</f>
        <v/>
      </c>
      <c r="E596" s="77" t="str">
        <f aca="false">IF(B596="","",IFERROR(INDEX(식자재단가!$L$4:$L$203,MATCH(B596,식자재단가!$C$4:$C$203,0)),"품목없음"))</f>
        <v/>
      </c>
      <c r="F596" s="28" t="str">
        <f aca="false">IF(OR(B596="",C596=""),"",IF(ISNUMBER(E596),C596*E596,0))</f>
        <v/>
      </c>
      <c r="G596" s="14"/>
    </row>
    <row r="597" customFormat="false" ht="15" hidden="false" customHeight="false" outlineLevel="0" collapsed="false">
      <c r="A597" s="14"/>
      <c r="B597" s="14"/>
      <c r="C597" s="76"/>
      <c r="D597" s="59" t="str">
        <f aca="false">IF(B597="","",IFERROR(INDEX(식자재단가!$I$4:$I$203,MATCH(B597,식자재단가!$C$4:$C$203,0)),"?"))</f>
        <v/>
      </c>
      <c r="E597" s="77" t="str">
        <f aca="false">IF(B597="","",IFERROR(INDEX(식자재단가!$L$4:$L$203,MATCH(B597,식자재단가!$C$4:$C$203,0)),"품목없음"))</f>
        <v/>
      </c>
      <c r="F597" s="28" t="str">
        <f aca="false">IF(OR(B597="",C597=""),"",IF(ISNUMBER(E597),C597*E597,0))</f>
        <v/>
      </c>
      <c r="G597" s="14"/>
    </row>
    <row r="598" customFormat="false" ht="15" hidden="false" customHeight="false" outlineLevel="0" collapsed="false">
      <c r="A598" s="14"/>
      <c r="B598" s="14"/>
      <c r="C598" s="76"/>
      <c r="D598" s="59" t="str">
        <f aca="false">IF(B598="","",IFERROR(INDEX(식자재단가!$I$4:$I$203,MATCH(B598,식자재단가!$C$4:$C$203,0)),"?"))</f>
        <v/>
      </c>
      <c r="E598" s="77" t="str">
        <f aca="false">IF(B598="","",IFERROR(INDEX(식자재단가!$L$4:$L$203,MATCH(B598,식자재단가!$C$4:$C$203,0)),"품목없음"))</f>
        <v/>
      </c>
      <c r="F598" s="28" t="str">
        <f aca="false">IF(OR(B598="",C598=""),"",IF(ISNUMBER(E598),C598*E598,0))</f>
        <v/>
      </c>
      <c r="G598" s="14"/>
    </row>
    <row r="599" customFormat="false" ht="15" hidden="false" customHeight="false" outlineLevel="0" collapsed="false">
      <c r="A599" s="14"/>
      <c r="B599" s="14"/>
      <c r="C599" s="76"/>
      <c r="D599" s="59" t="str">
        <f aca="false">IF(B599="","",IFERROR(INDEX(식자재단가!$I$4:$I$203,MATCH(B599,식자재단가!$C$4:$C$203,0)),"?"))</f>
        <v/>
      </c>
      <c r="E599" s="77" t="str">
        <f aca="false">IF(B599="","",IFERROR(INDEX(식자재단가!$L$4:$L$203,MATCH(B599,식자재단가!$C$4:$C$203,0)),"품목없음"))</f>
        <v/>
      </c>
      <c r="F599" s="28" t="str">
        <f aca="false">IF(OR(B599="",C599=""),"",IF(ISNUMBER(E599),C599*E599,0))</f>
        <v/>
      </c>
      <c r="G599" s="14"/>
    </row>
    <row r="600" customFormat="false" ht="15" hidden="false" customHeight="false" outlineLevel="0" collapsed="false">
      <c r="A600" s="14"/>
      <c r="B600" s="14"/>
      <c r="C600" s="76"/>
      <c r="D600" s="59" t="str">
        <f aca="false">IF(B600="","",IFERROR(INDEX(식자재단가!$I$4:$I$203,MATCH(B600,식자재단가!$C$4:$C$203,0)),"?"))</f>
        <v/>
      </c>
      <c r="E600" s="77" t="str">
        <f aca="false">IF(B600="","",IFERROR(INDEX(식자재단가!$L$4:$L$203,MATCH(B600,식자재단가!$C$4:$C$203,0)),"품목없음"))</f>
        <v/>
      </c>
      <c r="F600" s="28" t="str">
        <f aca="false">IF(OR(B600="",C600=""),"",IF(ISNUMBER(E600),C600*E600,0))</f>
        <v/>
      </c>
      <c r="G600" s="14"/>
    </row>
    <row r="601" customFormat="false" ht="15" hidden="false" customHeight="false" outlineLevel="0" collapsed="false">
      <c r="A601" s="14"/>
      <c r="B601" s="14"/>
      <c r="C601" s="76"/>
      <c r="D601" s="59" t="str">
        <f aca="false">IF(B601="","",IFERROR(INDEX(식자재단가!$I$4:$I$203,MATCH(B601,식자재단가!$C$4:$C$203,0)),"?"))</f>
        <v/>
      </c>
      <c r="E601" s="77" t="str">
        <f aca="false">IF(B601="","",IFERROR(INDEX(식자재단가!$L$4:$L$203,MATCH(B601,식자재단가!$C$4:$C$203,0)),"품목없음"))</f>
        <v/>
      </c>
      <c r="F601" s="28" t="str">
        <f aca="false">IF(OR(B601="",C601=""),"",IF(ISNUMBER(E601),C601*E601,0))</f>
        <v/>
      </c>
      <c r="G601" s="14"/>
    </row>
    <row r="602" customFormat="false" ht="15" hidden="false" customHeight="false" outlineLevel="0" collapsed="false">
      <c r="A602" s="14"/>
      <c r="B602" s="14"/>
      <c r="C602" s="76"/>
      <c r="D602" s="59" t="str">
        <f aca="false">IF(B602="","",IFERROR(INDEX(식자재단가!$I$4:$I$203,MATCH(B602,식자재단가!$C$4:$C$203,0)),"?"))</f>
        <v/>
      </c>
      <c r="E602" s="77" t="str">
        <f aca="false">IF(B602="","",IFERROR(INDEX(식자재단가!$L$4:$L$203,MATCH(B602,식자재단가!$C$4:$C$203,0)),"품목없음"))</f>
        <v/>
      </c>
      <c r="F602" s="28" t="str">
        <f aca="false">IF(OR(B602="",C602=""),"",IF(ISNUMBER(E602),C602*E602,0))</f>
        <v/>
      </c>
      <c r="G602" s="14"/>
    </row>
    <row r="603" customFormat="false" ht="15" hidden="false" customHeight="false" outlineLevel="0" collapsed="false">
      <c r="A603" s="14"/>
      <c r="B603" s="14"/>
      <c r="C603" s="76"/>
      <c r="D603" s="59" t="str">
        <f aca="false">IF(B603="","",IFERROR(INDEX(식자재단가!$I$4:$I$203,MATCH(B603,식자재단가!$C$4:$C$203,0)),"?"))</f>
        <v/>
      </c>
      <c r="E603" s="77" t="str">
        <f aca="false">IF(B603="","",IFERROR(INDEX(식자재단가!$L$4:$L$203,MATCH(B603,식자재단가!$C$4:$C$203,0)),"품목없음"))</f>
        <v/>
      </c>
      <c r="F603" s="28" t="str">
        <f aca="false">IF(OR(B603="",C603=""),"",IF(ISNUMBER(E603),C603*E603,0))</f>
        <v/>
      </c>
      <c r="G603" s="14"/>
    </row>
  </sheetData>
  <autoFilter ref="A3:G603"/>
  <conditionalFormatting sqref="E4:E603">
    <cfRule type="cellIs" priority="2" operator="equal" aboveAverage="0" equalAverage="0" bottom="0" percent="0" rank="0" text="" dxfId="15">
      <formula>"품목없음"</formula>
    </cfRule>
  </conditionalFormatting>
  <dataValidations count="2">
    <dataValidation allowBlank="true" errorStyle="information" operator="between" showDropDown="false" showErrorMessage="false" showInputMessage="false" sqref="A4:A603" type="list">
      <formula1>메뉴원가표!$B$6:$B$65</formula1>
      <formula2>0</formula2>
    </dataValidation>
    <dataValidation allowBlank="true" errorStyle="stop" operator="between" showDropDown="false" showErrorMessage="true" showInputMessage="false" sqref="B4:B603" type="list">
      <formula1>식자재단가!$C$4:$C$203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10" min="9" style="0" width="8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28"/>
  </cols>
  <sheetData>
    <row r="1" customFormat="false" ht="27.75" hidden="false" customHeight="true" outlineLevel="0" collapsed="false">
      <c r="A1" s="1" t="s">
        <v>653</v>
      </c>
    </row>
    <row r="2" customFormat="false" ht="15" hidden="false" customHeight="false" outlineLevel="0" collapsed="false">
      <c r="A2" s="2" t="s">
        <v>654</v>
      </c>
    </row>
    <row r="3" customFormat="false" ht="27.75" hidden="false" customHeight="true" outlineLevel="0" collapsed="false">
      <c r="B3" s="60" t="s">
        <v>655</v>
      </c>
      <c r="D3" s="60" t="s">
        <v>656</v>
      </c>
      <c r="F3" s="60" t="s">
        <v>657</v>
      </c>
      <c r="H3" s="60" t="s">
        <v>658</v>
      </c>
      <c r="J3" s="60" t="s">
        <v>659</v>
      </c>
      <c r="L3" s="60" t="s">
        <v>660</v>
      </c>
    </row>
    <row r="4" customFormat="false" ht="15" hidden="false" customHeight="false" outlineLevel="0" collapsed="false">
      <c r="B4" s="78" t="n">
        <f aca="false">SUM(M6:M65)</f>
        <v>0</v>
      </c>
      <c r="D4" s="39" t="n">
        <f aca="false">IFERROR(SUMPRODUCT(L6:L65,M6:M65)/B4,0)</f>
        <v>0</v>
      </c>
      <c r="F4" s="79" t="n">
        <f aca="false">IFERROR(B4/COUNTA(B6:B65)*0.7,0)</f>
        <v>0</v>
      </c>
      <c r="H4" s="39" t="n">
        <f aca="false">SUM(O6:O65)</f>
        <v>0</v>
      </c>
      <c r="J4" s="39" t="n">
        <f aca="false">SUM(N6:N65)</f>
        <v>0</v>
      </c>
      <c r="L4" s="53" t="n">
        <f aca="false">IFERROR(H4/J4,0)</f>
        <v>0</v>
      </c>
    </row>
    <row r="5" customFormat="false" ht="39.75" hidden="false" customHeight="true" outlineLevel="0" collapsed="false">
      <c r="A5" s="11" t="s">
        <v>661</v>
      </c>
      <c r="B5" s="11" t="s">
        <v>609</v>
      </c>
      <c r="C5" s="11" t="s">
        <v>662</v>
      </c>
      <c r="D5" s="11" t="s">
        <v>663</v>
      </c>
      <c r="E5" s="11" t="s">
        <v>664</v>
      </c>
      <c r="F5" s="11" t="s">
        <v>665</v>
      </c>
      <c r="G5" s="11" t="s">
        <v>666</v>
      </c>
      <c r="H5" s="75" t="s">
        <v>667</v>
      </c>
      <c r="I5" s="11" t="s">
        <v>42</v>
      </c>
      <c r="J5" s="11" t="s">
        <v>668</v>
      </c>
      <c r="K5" s="11" t="s">
        <v>345</v>
      </c>
      <c r="L5" s="11" t="s">
        <v>669</v>
      </c>
      <c r="M5" s="11" t="s">
        <v>670</v>
      </c>
      <c r="N5" s="11" t="s">
        <v>671</v>
      </c>
      <c r="O5" s="11" t="s">
        <v>359</v>
      </c>
      <c r="P5" s="11" t="s">
        <v>672</v>
      </c>
      <c r="Q5" s="11" t="s">
        <v>673</v>
      </c>
    </row>
    <row r="6" customFormat="false" ht="15" hidden="false" customHeight="false" outlineLevel="0" collapsed="false">
      <c r="A6" s="14" t="s">
        <v>674</v>
      </c>
      <c r="B6" s="14" t="s">
        <v>616</v>
      </c>
      <c r="C6" s="10" t="s">
        <v>82</v>
      </c>
      <c r="D6" s="40" t="n">
        <v>90000</v>
      </c>
      <c r="E6" s="28" t="n">
        <f aca="false">IF(D6="","",D6/1.1)</f>
        <v>81818.1818181818</v>
      </c>
      <c r="F6" s="28" t="n">
        <f aca="false">IF(B6="","",SUMIF(레시피!$A$4:$A$603,B6,레시피!$F$4:$F$603))</f>
        <v>27476.3157894737</v>
      </c>
      <c r="G6" s="28" t="n">
        <f aca="false">IF(B6="","",IF(C6="식재료",F6*기본설정!$C$7,0))</f>
        <v>1373.81578947368</v>
      </c>
      <c r="H6" s="28" t="n">
        <f aca="false">IF(B6="","",F6+G6)</f>
        <v>28850.1315789474</v>
      </c>
      <c r="I6" s="27" t="n">
        <f aca="false">IF(OR(B6="",D6=""),"",IFERROR(H6/E6,0))</f>
        <v>0.352612719298246</v>
      </c>
      <c r="J6" s="27" t="n">
        <f aca="false">IF(B6="","",IF(C6="주류·음료",기본설정!$C$9,기본설정!$C$8))</f>
        <v>0.35</v>
      </c>
      <c r="K6" s="13" t="str">
        <f aca="false">IF(B6="","",IF(D6="","판매가 미입력",IF(F6=0,"레시피 미입력",IF(I6&gt;J6+기본설정!$C$10,"위험",IF(I6&gt;J6,"주의","적정")))))</f>
        <v>주의</v>
      </c>
      <c r="L6" s="28" t="n">
        <f aca="false">IF(OR(B6="",D6=""),"",E6-H6)</f>
        <v>52968.0502392344</v>
      </c>
      <c r="M6" s="43"/>
      <c r="N6" s="28" t="str">
        <f aca="false">IF(OR(M6="",E6=""),"",E6*M6)</f>
        <v/>
      </c>
      <c r="O6" s="28" t="str">
        <f aca="false">IF(OR(M6="",H6=""),"",H6*M6)</f>
        <v/>
      </c>
      <c r="P6" s="27" t="str">
        <f aca="false">IF(N6="","",IFERROR(N6/$J$4,0))</f>
        <v/>
      </c>
      <c r="Q6" s="65" t="str">
        <f aca="false">IF(OR(M6="",M6=0,L6=""),"",IF(AND(M6&gt;=$F$4,L6&gt;=$D$4),"스타 (유지·강조)",IF(M6&gt;=$F$4,"인기·저마진 (원가↓·가격↑ 검토)",IF(L6&gt;=$D$4,"고마진·비인기 (홍보 강화)","저인기·저마진 (정리 검토)"))))</f>
        <v/>
      </c>
    </row>
    <row r="7" customFormat="false" ht="15" hidden="false" customHeight="false" outlineLevel="0" collapsed="false">
      <c r="A7" s="14" t="s">
        <v>674</v>
      </c>
      <c r="B7" s="14" t="s">
        <v>617</v>
      </c>
      <c r="C7" s="10" t="s">
        <v>82</v>
      </c>
      <c r="D7" s="40" t="n">
        <v>80000</v>
      </c>
      <c r="E7" s="28" t="n">
        <f aca="false">IF(D7="","",D7/1.1)</f>
        <v>72727.2727272727</v>
      </c>
      <c r="F7" s="28" t="n">
        <f aca="false">IF(B7="","",SUMIF(레시피!$A$4:$A$603,B7,레시피!$F$4:$F$603))</f>
        <v>21391.5789473684</v>
      </c>
      <c r="G7" s="28" t="n">
        <f aca="false">IF(B7="","",IF(C7="식재료",F7*기본설정!$C$7,0))</f>
        <v>1069.57894736842</v>
      </c>
      <c r="H7" s="28" t="n">
        <f aca="false">IF(B7="","",F7+G7)</f>
        <v>22461.1578947368</v>
      </c>
      <c r="I7" s="27" t="n">
        <f aca="false">IF(OR(B7="",D7=""),"",IFERROR(H7/E7,0))</f>
        <v>0.308840921052632</v>
      </c>
      <c r="J7" s="27" t="n">
        <f aca="false">IF(B7="","",IF(C7="주류·음료",기본설정!$C$9,기본설정!$C$8))</f>
        <v>0.35</v>
      </c>
      <c r="K7" s="13" t="str">
        <f aca="false">IF(B7="","",IF(D7="","판매가 미입력",IF(F7=0,"레시피 미입력",IF(I7&gt;J7+기본설정!$C$10,"위험",IF(I7&gt;J7,"주의","적정")))))</f>
        <v>적정</v>
      </c>
      <c r="L7" s="28" t="n">
        <f aca="false">IF(OR(B7="",D7=""),"",E7-H7)</f>
        <v>50266.1148325359</v>
      </c>
      <c r="M7" s="43"/>
      <c r="N7" s="28" t="str">
        <f aca="false">IF(OR(M7="",E7=""),"",E7*M7)</f>
        <v/>
      </c>
      <c r="O7" s="28" t="str">
        <f aca="false">IF(OR(M7="",H7=""),"",H7*M7)</f>
        <v/>
      </c>
      <c r="P7" s="27" t="str">
        <f aca="false">IF(N7="","",IFERROR(N7/$J$4,0))</f>
        <v/>
      </c>
      <c r="Q7" s="65" t="str">
        <f aca="false">IF(OR(M7="",M7=0,L7=""),"",IF(AND(M7&gt;=$F$4,L7&gt;=$D$4),"스타 (유지·강조)",IF(M7&gt;=$F$4,"인기·저마진 (원가↓·가격↑ 검토)",IF(L7&gt;=$D$4,"고마진·비인기 (홍보 강화)","저인기·저마진 (정리 검토)"))))</f>
        <v/>
      </c>
    </row>
    <row r="8" customFormat="false" ht="15" hidden="false" customHeight="false" outlineLevel="0" collapsed="false">
      <c r="A8" s="14" t="s">
        <v>675</v>
      </c>
      <c r="B8" s="14" t="s">
        <v>618</v>
      </c>
      <c r="C8" s="10" t="s">
        <v>82</v>
      </c>
      <c r="D8" s="40" t="n">
        <v>30000</v>
      </c>
      <c r="E8" s="28" t="n">
        <f aca="false">IF(D8="","",D8/1.1)</f>
        <v>27272.7272727273</v>
      </c>
      <c r="F8" s="28" t="n">
        <f aca="false">IF(B8="","",SUMIF(레시피!$A$4:$A$603,B8,레시피!$F$4:$F$603))</f>
        <v>10584.7826086957</v>
      </c>
      <c r="G8" s="28" t="n">
        <f aca="false">IF(B8="","",IF(C8="식재료",F8*기본설정!$C$7,0))</f>
        <v>529.239130434783</v>
      </c>
      <c r="H8" s="28" t="n">
        <f aca="false">IF(B8="","",F8+G8)</f>
        <v>11114.0217391304</v>
      </c>
      <c r="I8" s="27" t="n">
        <f aca="false">IF(OR(B8="",D8=""),"",IFERROR(H8/E8,0))</f>
        <v>0.407514130434783</v>
      </c>
      <c r="J8" s="27" t="n">
        <f aca="false">IF(B8="","",IF(C8="주류·음료",기본설정!$C$9,기본설정!$C$8))</f>
        <v>0.35</v>
      </c>
      <c r="K8" s="13" t="str">
        <f aca="false">IF(B8="","",IF(D8="","판매가 미입력",IF(F8=0,"레시피 미입력",IF(I8&gt;J8+기본설정!$C$10,"위험",IF(I8&gt;J8,"주의","적정")))))</f>
        <v>위험</v>
      </c>
      <c r="L8" s="28" t="n">
        <f aca="false">IF(OR(B8="",D8=""),"",E8-H8)</f>
        <v>16158.7055335968</v>
      </c>
      <c r="M8" s="43"/>
      <c r="N8" s="28" t="str">
        <f aca="false">IF(OR(M8="",E8=""),"",E8*M8)</f>
        <v/>
      </c>
      <c r="O8" s="28" t="str">
        <f aca="false">IF(OR(M8="",H8=""),"",H8*M8)</f>
        <v/>
      </c>
      <c r="P8" s="27" t="str">
        <f aca="false">IF(N8="","",IFERROR(N8/$J$4,0))</f>
        <v/>
      </c>
      <c r="Q8" s="65" t="str">
        <f aca="false">IF(OR(M8="",M8=0,L8=""),"",IF(AND(M8&gt;=$F$4,L8&gt;=$D$4),"스타 (유지·강조)",IF(M8&gt;=$F$4,"인기·저마진 (원가↓·가격↑ 검토)",IF(L8&gt;=$D$4,"고마진·비인기 (홍보 강화)","저인기·저마진 (정리 검토)"))))</f>
        <v/>
      </c>
    </row>
    <row r="9" customFormat="false" ht="15" hidden="false" customHeight="false" outlineLevel="0" collapsed="false">
      <c r="A9" s="14" t="s">
        <v>675</v>
      </c>
      <c r="B9" s="14" t="s">
        <v>619</v>
      </c>
      <c r="C9" s="10" t="s">
        <v>82</v>
      </c>
      <c r="D9" s="40" t="n">
        <v>17000</v>
      </c>
      <c r="E9" s="28" t="n">
        <f aca="false">IF(D9="","",D9/1.1)</f>
        <v>15454.5454545455</v>
      </c>
      <c r="F9" s="28" t="n">
        <f aca="false">IF(B9="","",SUMIF(레시피!$A$4:$A$603,B9,레시피!$F$4:$F$603))</f>
        <v>4650</v>
      </c>
      <c r="G9" s="28" t="n">
        <f aca="false">IF(B9="","",IF(C9="식재료",F9*기본설정!$C$7,0))</f>
        <v>232.5</v>
      </c>
      <c r="H9" s="28" t="n">
        <f aca="false">IF(B9="","",F9+G9)</f>
        <v>4882.5</v>
      </c>
      <c r="I9" s="27" t="n">
        <f aca="false">IF(OR(B9="",D9=""),"",IFERROR(H9/E9,0))</f>
        <v>0.315926470588235</v>
      </c>
      <c r="J9" s="27" t="n">
        <f aca="false">IF(B9="","",IF(C9="주류·음료",기본설정!$C$9,기본설정!$C$8))</f>
        <v>0.35</v>
      </c>
      <c r="K9" s="13" t="str">
        <f aca="false">IF(B9="","",IF(D9="","판매가 미입력",IF(F9=0,"레시피 미입력",IF(I9&gt;J9+기본설정!$C$10,"위험",IF(I9&gt;J9,"주의","적정")))))</f>
        <v>적정</v>
      </c>
      <c r="L9" s="28" t="n">
        <f aca="false">IF(OR(B9="",D9=""),"",E9-H9)</f>
        <v>10572.0454545455</v>
      </c>
      <c r="M9" s="43"/>
      <c r="N9" s="28" t="str">
        <f aca="false">IF(OR(M9="",E9=""),"",E9*M9)</f>
        <v/>
      </c>
      <c r="O9" s="28" t="str">
        <f aca="false">IF(OR(M9="",H9=""),"",H9*M9)</f>
        <v/>
      </c>
      <c r="P9" s="27" t="str">
        <f aca="false">IF(N9="","",IFERROR(N9/$J$4,0))</f>
        <v/>
      </c>
      <c r="Q9" s="65" t="str">
        <f aca="false">IF(OR(M9="",M9=0,L9=""),"",IF(AND(M9&gt;=$F$4,L9&gt;=$D$4),"스타 (유지·강조)",IF(M9&gt;=$F$4,"인기·저마진 (원가↓·가격↑ 검토)",IF(L9&gt;=$D$4,"고마진·비인기 (홍보 강화)","저인기·저마진 (정리 검토)"))))</f>
        <v/>
      </c>
    </row>
    <row r="10" customFormat="false" ht="15" hidden="false" customHeight="false" outlineLevel="0" collapsed="false">
      <c r="A10" s="14" t="s">
        <v>675</v>
      </c>
      <c r="B10" s="14" t="s">
        <v>620</v>
      </c>
      <c r="C10" s="10" t="s">
        <v>82</v>
      </c>
      <c r="D10" s="40" t="n">
        <v>18000</v>
      </c>
      <c r="E10" s="28" t="n">
        <f aca="false">IF(D10="","",D10/1.1)</f>
        <v>16363.6363636364</v>
      </c>
      <c r="F10" s="28" t="n">
        <f aca="false">IF(B10="","",SUMIF(레시피!$A$4:$A$603,B10,레시피!$F$4:$F$603))</f>
        <v>5320</v>
      </c>
      <c r="G10" s="28" t="n">
        <f aca="false">IF(B10="","",IF(C10="식재료",F10*기본설정!$C$7,0))</f>
        <v>266</v>
      </c>
      <c r="H10" s="28" t="n">
        <f aca="false">IF(B10="","",F10+G10)</f>
        <v>5586</v>
      </c>
      <c r="I10" s="27" t="n">
        <f aca="false">IF(OR(B10="",D10=""),"",IFERROR(H10/E10,0))</f>
        <v>0.341366666666667</v>
      </c>
      <c r="J10" s="27" t="n">
        <f aca="false">IF(B10="","",IF(C10="주류·음료",기본설정!$C$9,기본설정!$C$8))</f>
        <v>0.35</v>
      </c>
      <c r="K10" s="13" t="str">
        <f aca="false">IF(B10="","",IF(D10="","판매가 미입력",IF(F10=0,"레시피 미입력",IF(I10&gt;J10+기본설정!$C$10,"위험",IF(I10&gt;J10,"주의","적정")))))</f>
        <v>적정</v>
      </c>
      <c r="L10" s="28" t="n">
        <f aca="false">IF(OR(B10="",D10=""),"",E10-H10)</f>
        <v>10777.6363636364</v>
      </c>
      <c r="M10" s="43"/>
      <c r="N10" s="28" t="str">
        <f aca="false">IF(OR(M10="",E10=""),"",E10*M10)</f>
        <v/>
      </c>
      <c r="O10" s="28" t="str">
        <f aca="false">IF(OR(M10="",H10=""),"",H10*M10)</f>
        <v/>
      </c>
      <c r="P10" s="27" t="str">
        <f aca="false">IF(N10="","",IFERROR(N10/$J$4,0))</f>
        <v/>
      </c>
      <c r="Q10" s="65" t="str">
        <f aca="false">IF(OR(M10="",M10=0,L10=""),"",IF(AND(M10&gt;=$F$4,L10&gt;=$D$4),"스타 (유지·강조)",IF(M10&gt;=$F$4,"인기·저마진 (원가↓·가격↑ 검토)",IF(L10&gt;=$D$4,"고마진·비인기 (홍보 강화)","저인기·저마진 (정리 검토)"))))</f>
        <v/>
      </c>
    </row>
    <row r="11" customFormat="false" ht="15" hidden="false" customHeight="false" outlineLevel="0" collapsed="false">
      <c r="A11" s="14" t="s">
        <v>675</v>
      </c>
      <c r="B11" s="14" t="s">
        <v>621</v>
      </c>
      <c r="C11" s="10" t="s">
        <v>82</v>
      </c>
      <c r="D11" s="40" t="n">
        <v>18000</v>
      </c>
      <c r="E11" s="28" t="n">
        <f aca="false">IF(D11="","",D11/1.1)</f>
        <v>16363.6363636364</v>
      </c>
      <c r="F11" s="28" t="n">
        <f aca="false">IF(B11="","",SUMIF(레시피!$A$4:$A$603,B11,레시피!$F$4:$F$603))</f>
        <v>6350</v>
      </c>
      <c r="G11" s="28" t="n">
        <f aca="false">IF(B11="","",IF(C11="식재료",F11*기본설정!$C$7,0))</f>
        <v>317.5</v>
      </c>
      <c r="H11" s="28" t="n">
        <f aca="false">IF(B11="","",F11+G11)</f>
        <v>6667.5</v>
      </c>
      <c r="I11" s="27" t="n">
        <f aca="false">IF(OR(B11="",D11=""),"",IFERROR(H11/E11,0))</f>
        <v>0.407458333333333</v>
      </c>
      <c r="J11" s="27" t="n">
        <f aca="false">IF(B11="","",IF(C11="주류·음료",기본설정!$C$9,기본설정!$C$8))</f>
        <v>0.35</v>
      </c>
      <c r="K11" s="13" t="str">
        <f aca="false">IF(B11="","",IF(D11="","판매가 미입력",IF(F11=0,"레시피 미입력",IF(I11&gt;J11+기본설정!$C$10,"위험",IF(I11&gt;J11,"주의","적정")))))</f>
        <v>위험</v>
      </c>
      <c r="L11" s="28" t="n">
        <f aca="false">IF(OR(B11="",D11=""),"",E11-H11)</f>
        <v>9696.13636363636</v>
      </c>
      <c r="M11" s="43"/>
      <c r="N11" s="28" t="str">
        <f aca="false">IF(OR(M11="",E11=""),"",E11*M11)</f>
        <v/>
      </c>
      <c r="O11" s="28" t="str">
        <f aca="false">IF(OR(M11="",H11=""),"",H11*M11)</f>
        <v/>
      </c>
      <c r="P11" s="27" t="str">
        <f aca="false">IF(N11="","",IFERROR(N11/$J$4,0))</f>
        <v/>
      </c>
      <c r="Q11" s="65" t="str">
        <f aca="false">IF(OR(M11="",M11=0,L11=""),"",IF(AND(M11&gt;=$F$4,L11&gt;=$D$4),"스타 (유지·강조)",IF(M11&gt;=$F$4,"인기·저마진 (원가↓·가격↑ 검토)",IF(L11&gt;=$D$4,"고마진·비인기 (홍보 강화)","저인기·저마진 (정리 검토)"))))</f>
        <v/>
      </c>
    </row>
    <row r="12" customFormat="false" ht="15" hidden="false" customHeight="false" outlineLevel="0" collapsed="false">
      <c r="A12" s="14" t="s">
        <v>675</v>
      </c>
      <c r="B12" s="14" t="s">
        <v>622</v>
      </c>
      <c r="C12" s="10" t="s">
        <v>82</v>
      </c>
      <c r="D12" s="40" t="n">
        <v>18000</v>
      </c>
      <c r="E12" s="28" t="n">
        <f aca="false">IF(D12="","",D12/1.1)</f>
        <v>16363.6363636364</v>
      </c>
      <c r="F12" s="28" t="n">
        <f aca="false">IF(B12="","",SUMIF(레시피!$A$4:$A$603,B12,레시피!$F$4:$F$603))</f>
        <v>7000</v>
      </c>
      <c r="G12" s="28" t="n">
        <f aca="false">IF(B12="","",IF(C12="식재료",F12*기본설정!$C$7,0))</f>
        <v>350</v>
      </c>
      <c r="H12" s="28" t="n">
        <f aca="false">IF(B12="","",F12+G12)</f>
        <v>7350</v>
      </c>
      <c r="I12" s="27" t="n">
        <f aca="false">IF(OR(B12="",D12=""),"",IFERROR(H12/E12,0))</f>
        <v>0.449166666666667</v>
      </c>
      <c r="J12" s="27" t="n">
        <f aca="false">IF(B12="","",IF(C12="주류·음료",기본설정!$C$9,기본설정!$C$8))</f>
        <v>0.35</v>
      </c>
      <c r="K12" s="13" t="str">
        <f aca="false">IF(B12="","",IF(D12="","판매가 미입력",IF(F12=0,"레시피 미입력",IF(I12&gt;J12+기본설정!$C$10,"위험",IF(I12&gt;J12,"주의","적정")))))</f>
        <v>위험</v>
      </c>
      <c r="L12" s="28" t="n">
        <f aca="false">IF(OR(B12="",D12=""),"",E12-H12)</f>
        <v>9013.63636363636</v>
      </c>
      <c r="M12" s="43"/>
      <c r="N12" s="28" t="str">
        <f aca="false">IF(OR(M12="",E12=""),"",E12*M12)</f>
        <v/>
      </c>
      <c r="O12" s="28" t="str">
        <f aca="false">IF(OR(M12="",H12=""),"",H12*M12)</f>
        <v/>
      </c>
      <c r="P12" s="27" t="str">
        <f aca="false">IF(N12="","",IFERROR(N12/$J$4,0))</f>
        <v/>
      </c>
      <c r="Q12" s="65" t="str">
        <f aca="false">IF(OR(M12="",M12=0,L12=""),"",IF(AND(M12&gt;=$F$4,L12&gt;=$D$4),"스타 (유지·강조)",IF(M12&gt;=$F$4,"인기·저마진 (원가↓·가격↑ 검토)",IF(L12&gt;=$D$4,"고마진·비인기 (홍보 강화)","저인기·저마진 (정리 검토)"))))</f>
        <v/>
      </c>
    </row>
    <row r="13" customFormat="false" ht="15" hidden="false" customHeight="false" outlineLevel="0" collapsed="false">
      <c r="A13" s="14" t="s">
        <v>676</v>
      </c>
      <c r="B13" s="14" t="s">
        <v>623</v>
      </c>
      <c r="C13" s="10" t="s">
        <v>82</v>
      </c>
      <c r="D13" s="40" t="n">
        <v>20000</v>
      </c>
      <c r="E13" s="28" t="n">
        <f aca="false">IF(D13="","",D13/1.1)</f>
        <v>18181.8181818182</v>
      </c>
      <c r="F13" s="28" t="n">
        <f aca="false">IF(B13="","",SUMIF(레시피!$A$4:$A$603,B13,레시피!$F$4:$F$603))</f>
        <v>4117.22222222222</v>
      </c>
      <c r="G13" s="28" t="n">
        <f aca="false">IF(B13="","",IF(C13="식재료",F13*기본설정!$C$7,0))</f>
        <v>205.861111111111</v>
      </c>
      <c r="H13" s="28" t="n">
        <f aca="false">IF(B13="","",F13+G13)</f>
        <v>4323.08333333333</v>
      </c>
      <c r="I13" s="27" t="n">
        <f aca="false">IF(OR(B13="",D13=""),"",IFERROR(H13/E13,0))</f>
        <v>0.237769583333333</v>
      </c>
      <c r="J13" s="27" t="n">
        <f aca="false">IF(B13="","",IF(C13="주류·음료",기본설정!$C$9,기본설정!$C$8))</f>
        <v>0.35</v>
      </c>
      <c r="K13" s="13" t="str">
        <f aca="false">IF(B13="","",IF(D13="","판매가 미입력",IF(F13=0,"레시피 미입력",IF(I13&gt;J13+기본설정!$C$10,"위험",IF(I13&gt;J13,"주의","적정")))))</f>
        <v>적정</v>
      </c>
      <c r="L13" s="28" t="n">
        <f aca="false">IF(OR(B13="",D13=""),"",E13-H13)</f>
        <v>13858.7348484848</v>
      </c>
      <c r="M13" s="43"/>
      <c r="N13" s="28" t="str">
        <f aca="false">IF(OR(M13="",E13=""),"",E13*M13)</f>
        <v/>
      </c>
      <c r="O13" s="28" t="str">
        <f aca="false">IF(OR(M13="",H13=""),"",H13*M13)</f>
        <v/>
      </c>
      <c r="P13" s="27" t="str">
        <f aca="false">IF(N13="","",IFERROR(N13/$J$4,0))</f>
        <v/>
      </c>
      <c r="Q13" s="65" t="str">
        <f aca="false">IF(OR(M13="",M13=0,L13=""),"",IF(AND(M13&gt;=$F$4,L13&gt;=$D$4),"스타 (유지·강조)",IF(M13&gt;=$F$4,"인기·저마진 (원가↓·가격↑ 검토)",IF(L13&gt;=$D$4,"고마진·비인기 (홍보 강화)","저인기·저마진 (정리 검토)"))))</f>
        <v/>
      </c>
    </row>
    <row r="14" customFormat="false" ht="15" hidden="false" customHeight="false" outlineLevel="0" collapsed="false">
      <c r="A14" s="14" t="s">
        <v>676</v>
      </c>
      <c r="B14" s="14" t="s">
        <v>624</v>
      </c>
      <c r="C14" s="10" t="s">
        <v>82</v>
      </c>
      <c r="D14" s="40" t="n">
        <v>18000</v>
      </c>
      <c r="E14" s="28" t="n">
        <f aca="false">IF(D14="","",D14/1.1)</f>
        <v>16363.6363636364</v>
      </c>
      <c r="F14" s="28" t="n">
        <f aca="false">IF(B14="","",SUMIF(레시피!$A$4:$A$603,B14,레시피!$F$4:$F$603))</f>
        <v>2925</v>
      </c>
      <c r="G14" s="28" t="n">
        <f aca="false">IF(B14="","",IF(C14="식재료",F14*기본설정!$C$7,0))</f>
        <v>146.25</v>
      </c>
      <c r="H14" s="28" t="n">
        <f aca="false">IF(B14="","",F14+G14)</f>
        <v>3071.25</v>
      </c>
      <c r="I14" s="27" t="n">
        <f aca="false">IF(OR(B14="",D14=""),"",IFERROR(H14/E14,0))</f>
        <v>0.1876875</v>
      </c>
      <c r="J14" s="27" t="n">
        <f aca="false">IF(B14="","",IF(C14="주류·음료",기본설정!$C$9,기본설정!$C$8))</f>
        <v>0.35</v>
      </c>
      <c r="K14" s="13" t="str">
        <f aca="false">IF(B14="","",IF(D14="","판매가 미입력",IF(F14=0,"레시피 미입력",IF(I14&gt;J14+기본설정!$C$10,"위험",IF(I14&gt;J14,"주의","적정")))))</f>
        <v>적정</v>
      </c>
      <c r="L14" s="28" t="n">
        <f aca="false">IF(OR(B14="",D14=""),"",E14-H14)</f>
        <v>13292.3863636364</v>
      </c>
      <c r="M14" s="43"/>
      <c r="N14" s="28" t="str">
        <f aca="false">IF(OR(M14="",E14=""),"",E14*M14)</f>
        <v/>
      </c>
      <c r="O14" s="28" t="str">
        <f aca="false">IF(OR(M14="",H14=""),"",H14*M14)</f>
        <v/>
      </c>
      <c r="P14" s="27" t="str">
        <f aca="false">IF(N14="","",IFERROR(N14/$J$4,0))</f>
        <v/>
      </c>
      <c r="Q14" s="65" t="str">
        <f aca="false">IF(OR(M14="",M14=0,L14=""),"",IF(AND(M14&gt;=$F$4,L14&gt;=$D$4),"스타 (유지·강조)",IF(M14&gt;=$F$4,"인기·저마진 (원가↓·가격↑ 검토)",IF(L14&gt;=$D$4,"고마진·비인기 (홍보 강화)","저인기·저마진 (정리 검토)"))))</f>
        <v/>
      </c>
    </row>
    <row r="15" customFormat="false" ht="15" hidden="false" customHeight="false" outlineLevel="0" collapsed="false">
      <c r="A15" s="14" t="s">
        <v>676</v>
      </c>
      <c r="B15" s="14" t="s">
        <v>625</v>
      </c>
      <c r="C15" s="10" t="s">
        <v>82</v>
      </c>
      <c r="D15" s="40" t="n">
        <v>16000</v>
      </c>
      <c r="E15" s="28" t="n">
        <f aca="false">IF(D15="","",D15/1.1)</f>
        <v>14545.4545454545</v>
      </c>
      <c r="F15" s="28" t="n">
        <f aca="false">IF(B15="","",SUMIF(레시피!$A$4:$A$603,B15,레시피!$F$4:$F$603))</f>
        <v>3138.34709322325</v>
      </c>
      <c r="G15" s="28" t="n">
        <f aca="false">IF(B15="","",IF(C15="식재료",F15*기본설정!$C$7,0))</f>
        <v>156.917354661163</v>
      </c>
      <c r="H15" s="28" t="n">
        <f aca="false">IF(B15="","",F15+G15)</f>
        <v>3295.26444788442</v>
      </c>
      <c r="I15" s="27" t="n">
        <f aca="false">IF(OR(B15="",D15=""),"",IFERROR(H15/E15,0))</f>
        <v>0.226549430792054</v>
      </c>
      <c r="J15" s="27" t="n">
        <f aca="false">IF(B15="","",IF(C15="주류·음료",기본설정!$C$9,기본설정!$C$8))</f>
        <v>0.35</v>
      </c>
      <c r="K15" s="13" t="str">
        <f aca="false">IF(B15="","",IF(D15="","판매가 미입력",IF(F15=0,"레시피 미입력",IF(I15&gt;J15+기본설정!$C$10,"위험",IF(I15&gt;J15,"주의","적정")))))</f>
        <v>적정</v>
      </c>
      <c r="L15" s="28" t="n">
        <f aca="false">IF(OR(B15="",D15=""),"",E15-H15)</f>
        <v>11250.1900975701</v>
      </c>
      <c r="M15" s="43"/>
      <c r="N15" s="28" t="str">
        <f aca="false">IF(OR(M15="",E15=""),"",E15*M15)</f>
        <v/>
      </c>
      <c r="O15" s="28" t="str">
        <f aca="false">IF(OR(M15="",H15=""),"",H15*M15)</f>
        <v/>
      </c>
      <c r="P15" s="27" t="str">
        <f aca="false">IF(N15="","",IFERROR(N15/$J$4,0))</f>
        <v/>
      </c>
      <c r="Q15" s="65" t="str">
        <f aca="false">IF(OR(M15="",M15=0,L15=""),"",IF(AND(M15&gt;=$F$4,L15&gt;=$D$4),"스타 (유지·강조)",IF(M15&gt;=$F$4,"인기·저마진 (원가↓·가격↑ 검토)",IF(L15&gt;=$D$4,"고마진·비인기 (홍보 강화)","저인기·저마진 (정리 검토)"))))</f>
        <v/>
      </c>
    </row>
    <row r="16" customFormat="false" ht="15" hidden="false" customHeight="false" outlineLevel="0" collapsed="false">
      <c r="A16" s="14" t="s">
        <v>676</v>
      </c>
      <c r="B16" s="14" t="s">
        <v>626</v>
      </c>
      <c r="C16" s="10" t="s">
        <v>82</v>
      </c>
      <c r="D16" s="40" t="n">
        <v>15000</v>
      </c>
      <c r="E16" s="28" t="n">
        <f aca="false">IF(D16="","",D16/1.1)</f>
        <v>13636.3636363636</v>
      </c>
      <c r="F16" s="28" t="n">
        <f aca="false">IF(B16="","",SUMIF(레시피!$A$4:$A$603,B16,레시피!$F$4:$F$603))</f>
        <v>2824.9699002408</v>
      </c>
      <c r="G16" s="28" t="n">
        <f aca="false">IF(B16="","",IF(C16="식재료",F16*기본설정!$C$7,0))</f>
        <v>141.24849501204</v>
      </c>
      <c r="H16" s="28" t="n">
        <f aca="false">IF(B16="","",F16+G16)</f>
        <v>2966.21839525284</v>
      </c>
      <c r="I16" s="27" t="n">
        <f aca="false">IF(OR(B16="",D16=""),"",IFERROR(H16/E16,0))</f>
        <v>0.217522682318541</v>
      </c>
      <c r="J16" s="27" t="n">
        <f aca="false">IF(B16="","",IF(C16="주류·음료",기본설정!$C$9,기본설정!$C$8))</f>
        <v>0.35</v>
      </c>
      <c r="K16" s="13" t="str">
        <f aca="false">IF(B16="","",IF(D16="","판매가 미입력",IF(F16=0,"레시피 미입력",IF(I16&gt;J16+기본설정!$C$10,"위험",IF(I16&gt;J16,"주의","적정")))))</f>
        <v>적정</v>
      </c>
      <c r="L16" s="28" t="n">
        <f aca="false">IF(OR(B16="",D16=""),"",E16-H16)</f>
        <v>10670.1452411108</v>
      </c>
      <c r="M16" s="43"/>
      <c r="N16" s="28" t="str">
        <f aca="false">IF(OR(M16="",E16=""),"",E16*M16)</f>
        <v/>
      </c>
      <c r="O16" s="28" t="str">
        <f aca="false">IF(OR(M16="",H16=""),"",H16*M16)</f>
        <v/>
      </c>
      <c r="P16" s="27" t="str">
        <f aca="false">IF(N16="","",IFERROR(N16/$J$4,0))</f>
        <v/>
      </c>
      <c r="Q16" s="65" t="str">
        <f aca="false">IF(OR(M16="",M16=0,L16=""),"",IF(AND(M16&gt;=$F$4,L16&gt;=$D$4),"스타 (유지·강조)",IF(M16&gt;=$F$4,"인기·저마진 (원가↓·가격↑ 검토)",IF(L16&gt;=$D$4,"고마진·비인기 (홍보 강화)","저인기·저마진 (정리 검토)"))))</f>
        <v/>
      </c>
    </row>
    <row r="17" customFormat="false" ht="15" hidden="false" customHeight="false" outlineLevel="0" collapsed="false">
      <c r="A17" s="14" t="s">
        <v>676</v>
      </c>
      <c r="B17" s="14" t="s">
        <v>627</v>
      </c>
      <c r="C17" s="10" t="s">
        <v>82</v>
      </c>
      <c r="D17" s="40" t="n">
        <v>22000</v>
      </c>
      <c r="E17" s="28" t="n">
        <f aca="false">IF(D17="","",D17/1.1)</f>
        <v>20000</v>
      </c>
      <c r="F17" s="28" t="n">
        <f aca="false">IF(B17="","",SUMIF(레시피!$A$4:$A$603,B17,레시피!$F$4:$F$603))</f>
        <v>8166.79738562092</v>
      </c>
      <c r="G17" s="28" t="n">
        <f aca="false">IF(B17="","",IF(C17="식재료",F17*기본설정!$C$7,0))</f>
        <v>408.339869281046</v>
      </c>
      <c r="H17" s="28" t="n">
        <f aca="false">IF(B17="","",F17+G17)</f>
        <v>8575.13725490196</v>
      </c>
      <c r="I17" s="27" t="n">
        <f aca="false">IF(OR(B17="",D17=""),"",IFERROR(H17/E17,0))</f>
        <v>0.428756862745098</v>
      </c>
      <c r="J17" s="27" t="n">
        <f aca="false">IF(B17="","",IF(C17="주류·음료",기본설정!$C$9,기본설정!$C$8))</f>
        <v>0.35</v>
      </c>
      <c r="K17" s="13" t="str">
        <f aca="false">IF(B17="","",IF(D17="","판매가 미입력",IF(F17=0,"레시피 미입력",IF(I17&gt;J17+기본설정!$C$10,"위험",IF(I17&gt;J17,"주의","적정")))))</f>
        <v>위험</v>
      </c>
      <c r="L17" s="28" t="n">
        <f aca="false">IF(OR(B17="",D17=""),"",E17-H17)</f>
        <v>11424.862745098</v>
      </c>
      <c r="M17" s="43"/>
      <c r="N17" s="28" t="str">
        <f aca="false">IF(OR(M17="",E17=""),"",E17*M17)</f>
        <v/>
      </c>
      <c r="O17" s="28" t="str">
        <f aca="false">IF(OR(M17="",H17=""),"",H17*M17)</f>
        <v/>
      </c>
      <c r="P17" s="27" t="str">
        <f aca="false">IF(N17="","",IFERROR(N17/$J$4,0))</f>
        <v/>
      </c>
      <c r="Q17" s="65" t="str">
        <f aca="false">IF(OR(M17="",M17=0,L17=""),"",IF(AND(M17&gt;=$F$4,L17&gt;=$D$4),"스타 (유지·강조)",IF(M17&gt;=$F$4,"인기·저마진 (원가↓·가격↑ 검토)",IF(L17&gt;=$D$4,"고마진·비인기 (홍보 강화)","저인기·저마진 (정리 검토)"))))</f>
        <v/>
      </c>
    </row>
    <row r="18" customFormat="false" ht="15" hidden="false" customHeight="false" outlineLevel="0" collapsed="false">
      <c r="A18" s="14" t="s">
        <v>676</v>
      </c>
      <c r="B18" s="14" t="s">
        <v>628</v>
      </c>
      <c r="C18" s="10" t="s">
        <v>82</v>
      </c>
      <c r="D18" s="40" t="n">
        <v>19000</v>
      </c>
      <c r="E18" s="28" t="n">
        <f aca="false">IF(D18="","",D18/1.1)</f>
        <v>17272.7272727273</v>
      </c>
      <c r="F18" s="28" t="n">
        <f aca="false">IF(B18="","",SUMIF(레시피!$A$4:$A$603,B18,레시피!$F$4:$F$603))</f>
        <v>3653.12693498452</v>
      </c>
      <c r="G18" s="28" t="n">
        <f aca="false">IF(B18="","",IF(C18="식재료",F18*기본설정!$C$7,0))</f>
        <v>182.656346749226</v>
      </c>
      <c r="H18" s="28" t="n">
        <f aca="false">IF(B18="","",F18+G18)</f>
        <v>3835.78328173375</v>
      </c>
      <c r="I18" s="27" t="n">
        <f aca="false">IF(OR(B18="",D18=""),"",IFERROR(H18/E18,0))</f>
        <v>0.222071663679322</v>
      </c>
      <c r="J18" s="27" t="n">
        <f aca="false">IF(B18="","",IF(C18="주류·음료",기본설정!$C$9,기본설정!$C$8))</f>
        <v>0.35</v>
      </c>
      <c r="K18" s="13" t="str">
        <f aca="false">IF(B18="","",IF(D18="","판매가 미입력",IF(F18=0,"레시피 미입력",IF(I18&gt;J18+기본설정!$C$10,"위험",IF(I18&gt;J18,"주의","적정")))))</f>
        <v>적정</v>
      </c>
      <c r="L18" s="28" t="n">
        <f aca="false">IF(OR(B18="",D18=""),"",E18-H18)</f>
        <v>13436.9439909935</v>
      </c>
      <c r="M18" s="43"/>
      <c r="N18" s="28" t="str">
        <f aca="false">IF(OR(M18="",E18=""),"",E18*M18)</f>
        <v/>
      </c>
      <c r="O18" s="28" t="str">
        <f aca="false">IF(OR(M18="",H18=""),"",H18*M18)</f>
        <v/>
      </c>
      <c r="P18" s="27" t="str">
        <f aca="false">IF(N18="","",IFERROR(N18/$J$4,0))</f>
        <v/>
      </c>
      <c r="Q18" s="65" t="str">
        <f aca="false">IF(OR(M18="",M18=0,L18=""),"",IF(AND(M18&gt;=$F$4,L18&gt;=$D$4),"스타 (유지·강조)",IF(M18&gt;=$F$4,"인기·저마진 (원가↓·가격↑ 검토)",IF(L18&gt;=$D$4,"고마진·비인기 (홍보 강화)","저인기·저마진 (정리 검토)"))))</f>
        <v/>
      </c>
    </row>
    <row r="19" customFormat="false" ht="15" hidden="false" customHeight="false" outlineLevel="0" collapsed="false">
      <c r="A19" s="14" t="s">
        <v>676</v>
      </c>
      <c r="B19" s="14" t="s">
        <v>629</v>
      </c>
      <c r="C19" s="10" t="s">
        <v>82</v>
      </c>
      <c r="D19" s="40" t="n">
        <v>19000</v>
      </c>
      <c r="E19" s="28" t="n">
        <f aca="false">IF(D19="","",D19/1.1)</f>
        <v>17272.7272727273</v>
      </c>
      <c r="F19" s="28" t="n">
        <f aca="false">IF(B19="","",SUMIF(레시피!$A$4:$A$603,B19,레시피!$F$4:$F$603))</f>
        <v>4060.31647746818</v>
      </c>
      <c r="G19" s="28" t="n">
        <f aca="false">IF(B19="","",IF(C19="식재료",F19*기본설정!$C$7,0))</f>
        <v>203.015823873409</v>
      </c>
      <c r="H19" s="28" t="n">
        <f aca="false">IF(B19="","",F19+G19)</f>
        <v>4263.33230134159</v>
      </c>
      <c r="I19" s="27" t="n">
        <f aca="false">IF(OR(B19="",D19=""),"",IFERROR(H19/E19,0))</f>
        <v>0.246824501656618</v>
      </c>
      <c r="J19" s="27" t="n">
        <f aca="false">IF(B19="","",IF(C19="주류·음료",기본설정!$C$9,기본설정!$C$8))</f>
        <v>0.35</v>
      </c>
      <c r="K19" s="13" t="str">
        <f aca="false">IF(B19="","",IF(D19="","판매가 미입력",IF(F19=0,"레시피 미입력",IF(I19&gt;J19+기본설정!$C$10,"위험",IF(I19&gt;J19,"주의","적정")))))</f>
        <v>적정</v>
      </c>
      <c r="L19" s="28" t="n">
        <f aca="false">IF(OR(B19="",D19=""),"",E19-H19)</f>
        <v>13009.3949713857</v>
      </c>
      <c r="M19" s="43"/>
      <c r="N19" s="28" t="str">
        <f aca="false">IF(OR(M19="",E19=""),"",E19*M19)</f>
        <v/>
      </c>
      <c r="O19" s="28" t="str">
        <f aca="false">IF(OR(M19="",H19=""),"",H19*M19)</f>
        <v/>
      </c>
      <c r="P19" s="27" t="str">
        <f aca="false">IF(N19="","",IFERROR(N19/$J$4,0))</f>
        <v/>
      </c>
      <c r="Q19" s="65" t="str">
        <f aca="false">IF(OR(M19="",M19=0,L19=""),"",IF(AND(M19&gt;=$F$4,L19&gt;=$D$4),"스타 (유지·강조)",IF(M19&gt;=$F$4,"인기·저마진 (원가↓·가격↑ 검토)",IF(L19&gt;=$D$4,"고마진·비인기 (홍보 강화)","저인기·저마진 (정리 검토)"))))</f>
        <v/>
      </c>
    </row>
    <row r="20" customFormat="false" ht="15" hidden="false" customHeight="false" outlineLevel="0" collapsed="false">
      <c r="A20" s="14" t="s">
        <v>676</v>
      </c>
      <c r="B20" s="14" t="s">
        <v>630</v>
      </c>
      <c r="C20" s="10" t="s">
        <v>82</v>
      </c>
      <c r="D20" s="40" t="n">
        <v>18000</v>
      </c>
      <c r="E20" s="28" t="n">
        <f aca="false">IF(D20="","",D20/1.1)</f>
        <v>16363.6363636364</v>
      </c>
      <c r="F20" s="28" t="n">
        <f aca="false">IF(B20="","",SUMIF(레시피!$A$4:$A$603,B20,레시피!$F$4:$F$603))</f>
        <v>6058.61455108359</v>
      </c>
      <c r="G20" s="28" t="n">
        <f aca="false">IF(B20="","",IF(C20="식재료",F20*기본설정!$C$7,0))</f>
        <v>302.93072755418</v>
      </c>
      <c r="H20" s="28" t="n">
        <f aca="false">IF(B20="","",F20+G20)</f>
        <v>6361.54527863777</v>
      </c>
      <c r="I20" s="27" t="n">
        <f aca="false">IF(OR(B20="",D20=""),"",IFERROR(H20/E20,0))</f>
        <v>0.388761100361197</v>
      </c>
      <c r="J20" s="27" t="n">
        <f aca="false">IF(B20="","",IF(C20="주류·음료",기본설정!$C$9,기본설정!$C$8))</f>
        <v>0.35</v>
      </c>
      <c r="K20" s="13" t="str">
        <f aca="false">IF(B20="","",IF(D20="","판매가 미입력",IF(F20=0,"레시피 미입력",IF(I20&gt;J20+기본설정!$C$10,"위험",IF(I20&gt;J20,"주의","적정")))))</f>
        <v>위험</v>
      </c>
      <c r="L20" s="28" t="n">
        <f aca="false">IF(OR(B20="",D20=""),"",E20-H20)</f>
        <v>10002.0910849986</v>
      </c>
      <c r="M20" s="43"/>
      <c r="N20" s="28" t="str">
        <f aca="false">IF(OR(M20="",E20=""),"",E20*M20)</f>
        <v/>
      </c>
      <c r="O20" s="28" t="str">
        <f aca="false">IF(OR(M20="",H20=""),"",H20*M20)</f>
        <v/>
      </c>
      <c r="P20" s="27" t="str">
        <f aca="false">IF(N20="","",IFERROR(N20/$J$4,0))</f>
        <v/>
      </c>
      <c r="Q20" s="65" t="str">
        <f aca="false">IF(OR(M20="",M20=0,L20=""),"",IF(AND(M20&gt;=$F$4,L20&gt;=$D$4),"스타 (유지·강조)",IF(M20&gt;=$F$4,"인기·저마진 (원가↓·가격↑ 검토)",IF(L20&gt;=$D$4,"고마진·비인기 (홍보 강화)","저인기·저마진 (정리 검토)"))))</f>
        <v/>
      </c>
    </row>
    <row r="21" customFormat="false" ht="15" hidden="false" customHeight="false" outlineLevel="0" collapsed="false">
      <c r="A21" s="14" t="s">
        <v>676</v>
      </c>
      <c r="B21" s="14" t="s">
        <v>631</v>
      </c>
      <c r="C21" s="10" t="s">
        <v>82</v>
      </c>
      <c r="D21" s="40" t="n">
        <v>38000</v>
      </c>
      <c r="E21" s="28" t="n">
        <f aca="false">IF(D21="","",D21/1.1)</f>
        <v>34545.4545454545</v>
      </c>
      <c r="F21" s="28" t="n">
        <f aca="false">IF(B21="","",SUMIF(레시피!$A$4:$A$603,B21,레시피!$F$4:$F$603))</f>
        <v>13877.5060199518</v>
      </c>
      <c r="G21" s="28" t="n">
        <f aca="false">IF(B21="","",IF(C21="식재료",F21*기본설정!$C$7,0))</f>
        <v>693.875300997592</v>
      </c>
      <c r="H21" s="28" t="n">
        <f aca="false">IF(B21="","",F21+G21)</f>
        <v>14571.3813209494</v>
      </c>
      <c r="I21" s="27" t="n">
        <f aca="false">IF(OR(B21="",D21=""),"",IFERROR(H21/E21,0))</f>
        <v>0.421803143501168</v>
      </c>
      <c r="J21" s="27" t="n">
        <f aca="false">IF(B21="","",IF(C21="주류·음료",기본설정!$C$9,기본설정!$C$8))</f>
        <v>0.35</v>
      </c>
      <c r="K21" s="13" t="str">
        <f aca="false">IF(B21="","",IF(D21="","판매가 미입력",IF(F21=0,"레시피 미입력",IF(I21&gt;J21+기본설정!$C$10,"위험",IF(I21&gt;J21,"주의","적정")))))</f>
        <v>위험</v>
      </c>
      <c r="L21" s="28" t="n">
        <f aca="false">IF(OR(B21="",D21=""),"",E21-H21)</f>
        <v>19974.0732245051</v>
      </c>
      <c r="M21" s="43"/>
      <c r="N21" s="28" t="str">
        <f aca="false">IF(OR(M21="",E21=""),"",E21*M21)</f>
        <v/>
      </c>
      <c r="O21" s="28" t="str">
        <f aca="false">IF(OR(M21="",H21=""),"",H21*M21)</f>
        <v/>
      </c>
      <c r="P21" s="27" t="str">
        <f aca="false">IF(N21="","",IFERROR(N21/$J$4,0))</f>
        <v/>
      </c>
      <c r="Q21" s="65" t="str">
        <f aca="false">IF(OR(M21="",M21=0,L21=""),"",IF(AND(M21&gt;=$F$4,L21&gt;=$D$4),"스타 (유지·강조)",IF(M21&gt;=$F$4,"인기·저마진 (원가↓·가격↑ 검토)",IF(L21&gt;=$D$4,"고마진·비인기 (홍보 강화)","저인기·저마진 (정리 검토)"))))</f>
        <v/>
      </c>
    </row>
    <row r="22" customFormat="false" ht="15" hidden="false" customHeight="false" outlineLevel="0" collapsed="false">
      <c r="A22" s="14" t="s">
        <v>676</v>
      </c>
      <c r="B22" s="14" t="s">
        <v>632</v>
      </c>
      <c r="C22" s="10" t="s">
        <v>82</v>
      </c>
      <c r="D22" s="40" t="n">
        <v>18000</v>
      </c>
      <c r="E22" s="28" t="n">
        <f aca="false">IF(D22="","",D22/1.1)</f>
        <v>16363.6363636364</v>
      </c>
      <c r="F22" s="28" t="n">
        <f aca="false">IF(B22="","",SUMIF(레시피!$A$4:$A$603,B22,레시피!$F$4:$F$603))</f>
        <v>3420.78431372549</v>
      </c>
      <c r="G22" s="28" t="n">
        <f aca="false">IF(B22="","",IF(C22="식재료",F22*기본설정!$C$7,0))</f>
        <v>171.039215686275</v>
      </c>
      <c r="H22" s="28" t="n">
        <f aca="false">IF(B22="","",F22+G22)</f>
        <v>3591.82352941177</v>
      </c>
      <c r="I22" s="27" t="n">
        <f aca="false">IF(OR(B22="",D22=""),"",IFERROR(H22/E22,0))</f>
        <v>0.219500326797386</v>
      </c>
      <c r="J22" s="27" t="n">
        <f aca="false">IF(B22="","",IF(C22="주류·음료",기본설정!$C$9,기본설정!$C$8))</f>
        <v>0.35</v>
      </c>
      <c r="K22" s="13" t="str">
        <f aca="false">IF(B22="","",IF(D22="","판매가 미입력",IF(F22=0,"레시피 미입력",IF(I22&gt;J22+기본설정!$C$10,"위험",IF(I22&gt;J22,"주의","적정")))))</f>
        <v>적정</v>
      </c>
      <c r="L22" s="28" t="n">
        <f aca="false">IF(OR(B22="",D22=""),"",E22-H22)</f>
        <v>12771.8128342246</v>
      </c>
      <c r="M22" s="43"/>
      <c r="N22" s="28" t="str">
        <f aca="false">IF(OR(M22="",E22=""),"",E22*M22)</f>
        <v/>
      </c>
      <c r="O22" s="28" t="str">
        <f aca="false">IF(OR(M22="",H22=""),"",H22*M22)</f>
        <v/>
      </c>
      <c r="P22" s="27" t="str">
        <f aca="false">IF(N22="","",IFERROR(N22/$J$4,0))</f>
        <v/>
      </c>
      <c r="Q22" s="65" t="str">
        <f aca="false">IF(OR(M22="",M22=0,L22=""),"",IF(AND(M22&gt;=$F$4,L22&gt;=$D$4),"스타 (유지·강조)",IF(M22&gt;=$F$4,"인기·저마진 (원가↓·가격↑ 검토)",IF(L22&gt;=$D$4,"고마진·비인기 (홍보 강화)","저인기·저마진 (정리 검토)"))))</f>
        <v/>
      </c>
    </row>
    <row r="23" customFormat="false" ht="15" hidden="false" customHeight="false" outlineLevel="0" collapsed="false">
      <c r="A23" s="14" t="s">
        <v>676</v>
      </c>
      <c r="B23" s="14" t="s">
        <v>633</v>
      </c>
      <c r="C23" s="10" t="s">
        <v>82</v>
      </c>
      <c r="D23" s="40" t="n">
        <v>16000</v>
      </c>
      <c r="E23" s="28" t="n">
        <f aca="false">IF(D23="","",D23/1.1)</f>
        <v>14545.4545454545</v>
      </c>
      <c r="F23" s="28" t="n">
        <f aca="false">IF(B23="","",SUMIF(레시피!$A$4:$A$603,B23,레시피!$F$4:$F$603))</f>
        <v>3550.83935328517</v>
      </c>
      <c r="G23" s="28" t="n">
        <f aca="false">IF(B23="","",IF(C23="식재료",F23*기본설정!$C$7,0))</f>
        <v>177.541967664259</v>
      </c>
      <c r="H23" s="28" t="n">
        <f aca="false">IF(B23="","",F23+G23)</f>
        <v>3728.38132094943</v>
      </c>
      <c r="I23" s="27" t="n">
        <f aca="false">IF(OR(B23="",D23=""),"",IFERROR(H23/E23,0))</f>
        <v>0.256326215815274</v>
      </c>
      <c r="J23" s="27" t="n">
        <f aca="false">IF(B23="","",IF(C23="주류·음료",기본설정!$C$9,기본설정!$C$8))</f>
        <v>0.35</v>
      </c>
      <c r="K23" s="13" t="str">
        <f aca="false">IF(B23="","",IF(D23="","판매가 미입력",IF(F23=0,"레시피 미입력",IF(I23&gt;J23+기본설정!$C$10,"위험",IF(I23&gt;J23,"주의","적정")))))</f>
        <v>적정</v>
      </c>
      <c r="L23" s="28" t="n">
        <f aca="false">IF(OR(B23="",D23=""),"",E23-H23)</f>
        <v>10817.0732245051</v>
      </c>
      <c r="M23" s="43"/>
      <c r="N23" s="28" t="str">
        <f aca="false">IF(OR(M23="",E23=""),"",E23*M23)</f>
        <v/>
      </c>
      <c r="O23" s="28" t="str">
        <f aca="false">IF(OR(M23="",H23=""),"",H23*M23)</f>
        <v/>
      </c>
      <c r="P23" s="27" t="str">
        <f aca="false">IF(N23="","",IFERROR(N23/$J$4,0))</f>
        <v/>
      </c>
      <c r="Q23" s="65" t="str">
        <f aca="false">IF(OR(M23="",M23=0,L23=""),"",IF(AND(M23&gt;=$F$4,L23&gt;=$D$4),"스타 (유지·강조)",IF(M23&gt;=$F$4,"인기·저마진 (원가↓·가격↑ 검토)",IF(L23&gt;=$D$4,"고마진·비인기 (홍보 강화)","저인기·저마진 (정리 검토)"))))</f>
        <v/>
      </c>
    </row>
    <row r="24" customFormat="false" ht="15" hidden="false" customHeight="false" outlineLevel="0" collapsed="false">
      <c r="A24" s="14" t="s">
        <v>676</v>
      </c>
      <c r="B24" s="14" t="s">
        <v>634</v>
      </c>
      <c r="C24" s="10" t="s">
        <v>82</v>
      </c>
      <c r="D24" s="40" t="n">
        <v>12000</v>
      </c>
      <c r="E24" s="28" t="n">
        <f aca="false">IF(D24="","",D24/1.1)</f>
        <v>10909.0909090909</v>
      </c>
      <c r="F24" s="28" t="n">
        <f aca="false">IF(B24="","",SUMIF(레시피!$A$4:$A$603,B24,레시피!$F$4:$F$603))</f>
        <v>1765.02923976608</v>
      </c>
      <c r="G24" s="28" t="n">
        <f aca="false">IF(B24="","",IF(C24="식재료",F24*기본설정!$C$7,0))</f>
        <v>88.2514619883041</v>
      </c>
      <c r="H24" s="28" t="n">
        <f aca="false">IF(B24="","",F24+G24)</f>
        <v>1853.28070175439</v>
      </c>
      <c r="I24" s="27" t="n">
        <f aca="false">IF(OR(B24="",D24=""),"",IFERROR(H24/E24,0))</f>
        <v>0.169884064327485</v>
      </c>
      <c r="J24" s="27" t="n">
        <f aca="false">IF(B24="","",IF(C24="주류·음료",기본설정!$C$9,기본설정!$C$8))</f>
        <v>0.35</v>
      </c>
      <c r="K24" s="13" t="str">
        <f aca="false">IF(B24="","",IF(D24="","판매가 미입력",IF(F24=0,"레시피 미입력",IF(I24&gt;J24+기본설정!$C$10,"위험",IF(I24&gt;J24,"주의","적정")))))</f>
        <v>적정</v>
      </c>
      <c r="L24" s="28" t="n">
        <f aca="false">IF(OR(B24="",D24=""),"",E24-H24)</f>
        <v>9055.81020733652</v>
      </c>
      <c r="M24" s="43"/>
      <c r="N24" s="28" t="str">
        <f aca="false">IF(OR(M24="",E24=""),"",E24*M24)</f>
        <v/>
      </c>
      <c r="O24" s="28" t="str">
        <f aca="false">IF(OR(M24="",H24=""),"",H24*M24)</f>
        <v/>
      </c>
      <c r="P24" s="27" t="str">
        <f aca="false">IF(N24="","",IFERROR(N24/$J$4,0))</f>
        <v/>
      </c>
      <c r="Q24" s="65" t="str">
        <f aca="false">IF(OR(M24="",M24=0,L24=""),"",IF(AND(M24&gt;=$F$4,L24&gt;=$D$4),"스타 (유지·강조)",IF(M24&gt;=$F$4,"인기·저마진 (원가↓·가격↑ 검토)",IF(L24&gt;=$D$4,"고마진·비인기 (홍보 강화)","저인기·저마진 (정리 검토)"))))</f>
        <v/>
      </c>
    </row>
    <row r="25" customFormat="false" ht="15" hidden="false" customHeight="false" outlineLevel="0" collapsed="false">
      <c r="A25" s="14" t="s">
        <v>676</v>
      </c>
      <c r="B25" s="14" t="s">
        <v>635</v>
      </c>
      <c r="C25" s="10" t="s">
        <v>82</v>
      </c>
      <c r="D25" s="40" t="n">
        <v>28000</v>
      </c>
      <c r="E25" s="28" t="n">
        <f aca="false">IF(D25="","",D25/1.1)</f>
        <v>25454.5454545455</v>
      </c>
      <c r="F25" s="28" t="n">
        <f aca="false">IF(B25="","",SUMIF(레시피!$A$4:$A$603,B25,레시피!$F$4:$F$603))</f>
        <v>5962.77777777778</v>
      </c>
      <c r="G25" s="28" t="n">
        <f aca="false">IF(B25="","",IF(C25="식재료",F25*기본설정!$C$7,0))</f>
        <v>298.138888888889</v>
      </c>
      <c r="H25" s="28" t="n">
        <f aca="false">IF(B25="","",F25+G25)</f>
        <v>6260.91666666667</v>
      </c>
      <c r="I25" s="27" t="n">
        <f aca="false">IF(OR(B25="",D25=""),"",IFERROR(H25/E25,0))</f>
        <v>0.245964583333333</v>
      </c>
      <c r="J25" s="27" t="n">
        <f aca="false">IF(B25="","",IF(C25="주류·음료",기본설정!$C$9,기본설정!$C$8))</f>
        <v>0.35</v>
      </c>
      <c r="K25" s="13" t="str">
        <f aca="false">IF(B25="","",IF(D25="","판매가 미입력",IF(F25=0,"레시피 미입력",IF(I25&gt;J25+기본설정!$C$10,"위험",IF(I25&gt;J25,"주의","적정")))))</f>
        <v>적정</v>
      </c>
      <c r="L25" s="28" t="n">
        <f aca="false">IF(OR(B25="",D25=""),"",E25-H25)</f>
        <v>19193.6287878788</v>
      </c>
      <c r="M25" s="43"/>
      <c r="N25" s="28" t="str">
        <f aca="false">IF(OR(M25="",E25=""),"",E25*M25)</f>
        <v/>
      </c>
      <c r="O25" s="28" t="str">
        <f aca="false">IF(OR(M25="",H25=""),"",H25*M25)</f>
        <v/>
      </c>
      <c r="P25" s="27" t="str">
        <f aca="false">IF(N25="","",IFERROR(N25/$J$4,0))</f>
        <v/>
      </c>
      <c r="Q25" s="65" t="str">
        <f aca="false">IF(OR(M25="",M25=0,L25=""),"",IF(AND(M25&gt;=$F$4,L25&gt;=$D$4),"스타 (유지·강조)",IF(M25&gt;=$F$4,"인기·저마진 (원가↓·가격↑ 검토)",IF(L25&gt;=$D$4,"고마진·비인기 (홍보 강화)","저인기·저마진 (정리 검토)"))))</f>
        <v/>
      </c>
    </row>
    <row r="26" customFormat="false" ht="15" hidden="false" customHeight="false" outlineLevel="0" collapsed="false">
      <c r="A26" s="14" t="s">
        <v>676</v>
      </c>
      <c r="B26" s="14" t="s">
        <v>636</v>
      </c>
      <c r="C26" s="10" t="s">
        <v>82</v>
      </c>
      <c r="D26" s="40" t="n">
        <v>32000</v>
      </c>
      <c r="E26" s="28" t="n">
        <f aca="false">IF(D26="","",D26/1.1)</f>
        <v>29090.9090909091</v>
      </c>
      <c r="F26" s="28" t="n">
        <f aca="false">IF(B26="","",SUMIF(레시피!$A$4:$A$603,B26,레시피!$F$4:$F$603))</f>
        <v>9432.67973856209</v>
      </c>
      <c r="G26" s="28" t="n">
        <f aca="false">IF(B26="","",IF(C26="식재료",F26*기본설정!$C$7,0))</f>
        <v>471.633986928105</v>
      </c>
      <c r="H26" s="28" t="n">
        <f aca="false">IF(B26="","",F26+G26)</f>
        <v>9904.3137254902</v>
      </c>
      <c r="I26" s="27" t="n">
        <f aca="false">IF(OR(B26="",D26=""),"",IFERROR(H26/E26,0))</f>
        <v>0.340460784313726</v>
      </c>
      <c r="J26" s="27" t="n">
        <f aca="false">IF(B26="","",IF(C26="주류·음료",기본설정!$C$9,기본설정!$C$8))</f>
        <v>0.35</v>
      </c>
      <c r="K26" s="13" t="str">
        <f aca="false">IF(B26="","",IF(D26="","판매가 미입력",IF(F26=0,"레시피 미입력",IF(I26&gt;J26+기본설정!$C$10,"위험",IF(I26&gt;J26,"주의","적정")))))</f>
        <v>적정</v>
      </c>
      <c r="L26" s="28" t="n">
        <f aca="false">IF(OR(B26="",D26=""),"",E26-H26)</f>
        <v>19186.5953654189</v>
      </c>
      <c r="M26" s="43"/>
      <c r="N26" s="28" t="str">
        <f aca="false">IF(OR(M26="",E26=""),"",E26*M26)</f>
        <v/>
      </c>
      <c r="O26" s="28" t="str">
        <f aca="false">IF(OR(M26="",H26=""),"",H26*M26)</f>
        <v/>
      </c>
      <c r="P26" s="27" t="str">
        <f aca="false">IF(N26="","",IFERROR(N26/$J$4,0))</f>
        <v/>
      </c>
      <c r="Q26" s="65" t="str">
        <f aca="false">IF(OR(M26="",M26=0,L26=""),"",IF(AND(M26&gt;=$F$4,L26&gt;=$D$4),"스타 (유지·강조)",IF(M26&gt;=$F$4,"인기·저마진 (원가↓·가격↑ 검토)",IF(L26&gt;=$D$4,"고마진·비인기 (홍보 강화)","저인기·저마진 (정리 검토)"))))</f>
        <v/>
      </c>
    </row>
    <row r="27" customFormat="false" ht="15" hidden="false" customHeight="false" outlineLevel="0" collapsed="false">
      <c r="A27" s="14" t="s">
        <v>676</v>
      </c>
      <c r="B27" s="14" t="s">
        <v>637</v>
      </c>
      <c r="C27" s="10" t="s">
        <v>82</v>
      </c>
      <c r="D27" s="40" t="n">
        <v>16000</v>
      </c>
      <c r="E27" s="28" t="n">
        <f aca="false">IF(D27="","",D27/1.1)</f>
        <v>14545.4545454545</v>
      </c>
      <c r="F27" s="28" t="n">
        <f aca="false">IF(B27="","",SUMIF(레시피!$A$4:$A$603,B27,레시피!$F$4:$F$603))</f>
        <v>3031.95906432749</v>
      </c>
      <c r="G27" s="28" t="n">
        <f aca="false">IF(B27="","",IF(C27="식재료",F27*기본설정!$C$7,0))</f>
        <v>151.597953216374</v>
      </c>
      <c r="H27" s="28" t="n">
        <f aca="false">IF(B27="","",F27+G27)</f>
        <v>3183.55701754386</v>
      </c>
      <c r="I27" s="27" t="n">
        <f aca="false">IF(OR(B27="",D27=""),"",IFERROR(H27/E27,0))</f>
        <v>0.21886954495614</v>
      </c>
      <c r="J27" s="27" t="n">
        <f aca="false">IF(B27="","",IF(C27="주류·음료",기본설정!$C$9,기본설정!$C$8))</f>
        <v>0.35</v>
      </c>
      <c r="K27" s="13" t="str">
        <f aca="false">IF(B27="","",IF(D27="","판매가 미입력",IF(F27=0,"레시피 미입력",IF(I27&gt;J27+기본설정!$C$10,"위험",IF(I27&gt;J27,"주의","적정")))))</f>
        <v>적정</v>
      </c>
      <c r="L27" s="28" t="n">
        <f aca="false">IF(OR(B27="",D27=""),"",E27-H27)</f>
        <v>11361.8975279107</v>
      </c>
      <c r="M27" s="43"/>
      <c r="N27" s="28" t="str">
        <f aca="false">IF(OR(M27="",E27=""),"",E27*M27)</f>
        <v/>
      </c>
      <c r="O27" s="28" t="str">
        <f aca="false">IF(OR(M27="",H27=""),"",H27*M27)</f>
        <v/>
      </c>
      <c r="P27" s="27" t="str">
        <f aca="false">IF(N27="","",IFERROR(N27/$J$4,0))</f>
        <v/>
      </c>
      <c r="Q27" s="65" t="str">
        <f aca="false">IF(OR(M27="",M27=0,L27=""),"",IF(AND(M27&gt;=$F$4,L27&gt;=$D$4),"스타 (유지·강조)",IF(M27&gt;=$F$4,"인기·저마진 (원가↓·가격↑ 검토)",IF(L27&gt;=$D$4,"고마진·비인기 (홍보 강화)","저인기·저마진 (정리 검토)"))))</f>
        <v/>
      </c>
    </row>
    <row r="28" customFormat="false" ht="15" hidden="false" customHeight="false" outlineLevel="0" collapsed="false">
      <c r="A28" s="14" t="s">
        <v>676</v>
      </c>
      <c r="B28" s="14" t="s">
        <v>638</v>
      </c>
      <c r="C28" s="10" t="s">
        <v>82</v>
      </c>
      <c r="D28" s="40" t="n">
        <v>15000</v>
      </c>
      <c r="E28" s="28" t="n">
        <f aca="false">IF(D28="","",D28/1.1)</f>
        <v>13636.3636363636</v>
      </c>
      <c r="F28" s="28" t="n">
        <f aca="false">IF(B28="","",SUMIF(레시피!$A$4:$A$603,B28,레시피!$F$4:$F$603))</f>
        <v>3920.58823529412</v>
      </c>
      <c r="G28" s="28" t="n">
        <f aca="false">IF(B28="","",IF(C28="식재료",F28*기본설정!$C$7,0))</f>
        <v>196.029411764706</v>
      </c>
      <c r="H28" s="28" t="n">
        <f aca="false">IF(B28="","",F28+G28)</f>
        <v>4116.61764705882</v>
      </c>
      <c r="I28" s="27" t="n">
        <f aca="false">IF(OR(B28="",D28=""),"",IFERROR(H28/E28,0))</f>
        <v>0.301885294117647</v>
      </c>
      <c r="J28" s="27" t="n">
        <f aca="false">IF(B28="","",IF(C28="주류·음료",기본설정!$C$9,기본설정!$C$8))</f>
        <v>0.35</v>
      </c>
      <c r="K28" s="13" t="str">
        <f aca="false">IF(B28="","",IF(D28="","판매가 미입력",IF(F28=0,"레시피 미입력",IF(I28&gt;J28+기본설정!$C$10,"위험",IF(I28&gt;J28,"주의","적정")))))</f>
        <v>적정</v>
      </c>
      <c r="L28" s="28" t="n">
        <f aca="false">IF(OR(B28="",D28=""),"",E28-H28)</f>
        <v>9519.74598930481</v>
      </c>
      <c r="M28" s="43"/>
      <c r="N28" s="28" t="str">
        <f aca="false">IF(OR(M28="",E28=""),"",E28*M28)</f>
        <v/>
      </c>
      <c r="O28" s="28" t="str">
        <f aca="false">IF(OR(M28="",H28=""),"",H28*M28)</f>
        <v/>
      </c>
      <c r="P28" s="27" t="str">
        <f aca="false">IF(N28="","",IFERROR(N28/$J$4,0))</f>
        <v/>
      </c>
      <c r="Q28" s="65" t="str">
        <f aca="false">IF(OR(M28="",M28=0,L28=""),"",IF(AND(M28&gt;=$F$4,L28&gt;=$D$4),"스타 (유지·강조)",IF(M28&gt;=$F$4,"인기·저마진 (원가↓·가격↑ 검토)",IF(L28&gt;=$D$4,"고마진·비인기 (홍보 강화)","저인기·저마진 (정리 검토)"))))</f>
        <v/>
      </c>
    </row>
    <row r="29" customFormat="false" ht="15" hidden="false" customHeight="false" outlineLevel="0" collapsed="false">
      <c r="A29" s="14" t="s">
        <v>677</v>
      </c>
      <c r="B29" s="14" t="s">
        <v>639</v>
      </c>
      <c r="C29" s="10" t="s">
        <v>82</v>
      </c>
      <c r="D29" s="40" t="n">
        <v>8000</v>
      </c>
      <c r="E29" s="28" t="n">
        <f aca="false">IF(D29="","",D29/1.1)</f>
        <v>7272.72727272727</v>
      </c>
      <c r="F29" s="28" t="n">
        <f aca="false">IF(B29="","",SUMIF(레시피!$A$4:$A$603,B29,레시피!$F$4:$F$603))</f>
        <v>1256.2091503268</v>
      </c>
      <c r="G29" s="28" t="n">
        <f aca="false">IF(B29="","",IF(C29="식재료",F29*기본설정!$C$7,0))</f>
        <v>62.8104575163399</v>
      </c>
      <c r="H29" s="28" t="n">
        <f aca="false">IF(B29="","",F29+G29)</f>
        <v>1319.01960784314</v>
      </c>
      <c r="I29" s="27" t="n">
        <f aca="false">IF(OR(B29="",D29=""),"",IFERROR(H29/E29,0))</f>
        <v>0.181365196078431</v>
      </c>
      <c r="J29" s="27" t="n">
        <f aca="false">IF(B29="","",IF(C29="주류·음료",기본설정!$C$9,기본설정!$C$8))</f>
        <v>0.35</v>
      </c>
      <c r="K29" s="13" t="str">
        <f aca="false">IF(B29="","",IF(D29="","판매가 미입력",IF(F29=0,"레시피 미입력",IF(I29&gt;J29+기본설정!$C$10,"위험",IF(I29&gt;J29,"주의","적정")))))</f>
        <v>적정</v>
      </c>
      <c r="L29" s="28" t="n">
        <f aca="false">IF(OR(B29="",D29=""),"",E29-H29)</f>
        <v>5953.70766488414</v>
      </c>
      <c r="M29" s="43"/>
      <c r="N29" s="28" t="str">
        <f aca="false">IF(OR(M29="",E29=""),"",E29*M29)</f>
        <v/>
      </c>
      <c r="O29" s="28" t="str">
        <f aca="false">IF(OR(M29="",H29=""),"",H29*M29)</f>
        <v/>
      </c>
      <c r="P29" s="27" t="str">
        <f aca="false">IF(N29="","",IFERROR(N29/$J$4,0))</f>
        <v/>
      </c>
      <c r="Q29" s="65" t="str">
        <f aca="false">IF(OR(M29="",M29=0,L29=""),"",IF(AND(M29&gt;=$F$4,L29&gt;=$D$4),"스타 (유지·강조)",IF(M29&gt;=$F$4,"인기·저마진 (원가↓·가격↑ 검토)",IF(L29&gt;=$D$4,"고마진·비인기 (홍보 강화)","저인기·저마진 (정리 검토)"))))</f>
        <v/>
      </c>
    </row>
    <row r="30" customFormat="false" ht="15" hidden="false" customHeight="false" outlineLevel="0" collapsed="false">
      <c r="A30" s="14" t="s">
        <v>677</v>
      </c>
      <c r="B30" s="14" t="s">
        <v>640</v>
      </c>
      <c r="C30" s="10" t="s">
        <v>82</v>
      </c>
      <c r="D30" s="40" t="n">
        <v>8000</v>
      </c>
      <c r="E30" s="28" t="n">
        <f aca="false">IF(D30="","",D30/1.1)</f>
        <v>7272.72727272727</v>
      </c>
      <c r="F30" s="28" t="n">
        <f aca="false">IF(B30="","",SUMIF(레시피!$A$4:$A$603,B30,레시피!$F$4:$F$603))</f>
        <v>1376.38888888889</v>
      </c>
      <c r="G30" s="28" t="n">
        <f aca="false">IF(B30="","",IF(C30="식재료",F30*기본설정!$C$7,0))</f>
        <v>68.8194444444444</v>
      </c>
      <c r="H30" s="28" t="n">
        <f aca="false">IF(B30="","",F30+G30)</f>
        <v>1445.20833333333</v>
      </c>
      <c r="I30" s="27" t="n">
        <f aca="false">IF(OR(B30="",D30=""),"",IFERROR(H30/E30,0))</f>
        <v>0.198716145833333</v>
      </c>
      <c r="J30" s="27" t="n">
        <f aca="false">IF(B30="","",IF(C30="주류·음료",기본설정!$C$9,기본설정!$C$8))</f>
        <v>0.35</v>
      </c>
      <c r="K30" s="13" t="str">
        <f aca="false">IF(B30="","",IF(D30="","판매가 미입력",IF(F30=0,"레시피 미입력",IF(I30&gt;J30+기본설정!$C$10,"위험",IF(I30&gt;J30,"주의","적정")))))</f>
        <v>적정</v>
      </c>
      <c r="L30" s="28" t="n">
        <f aca="false">IF(OR(B30="",D30=""),"",E30-H30)</f>
        <v>5827.51893939394</v>
      </c>
      <c r="M30" s="43"/>
      <c r="N30" s="28" t="str">
        <f aca="false">IF(OR(M30="",E30=""),"",E30*M30)</f>
        <v/>
      </c>
      <c r="O30" s="28" t="str">
        <f aca="false">IF(OR(M30="",H30=""),"",H30*M30)</f>
        <v/>
      </c>
      <c r="P30" s="27" t="str">
        <f aca="false">IF(N30="","",IFERROR(N30/$J$4,0))</f>
        <v/>
      </c>
      <c r="Q30" s="65" t="str">
        <f aca="false">IF(OR(M30="",M30=0,L30=""),"",IF(AND(M30&gt;=$F$4,L30&gt;=$D$4),"스타 (유지·강조)",IF(M30&gt;=$F$4,"인기·저마진 (원가↓·가격↑ 검토)",IF(L30&gt;=$D$4,"고마진·비인기 (홍보 강화)","저인기·저마진 (정리 검토)"))))</f>
        <v/>
      </c>
    </row>
    <row r="31" customFormat="false" ht="15" hidden="false" customHeight="false" outlineLevel="0" collapsed="false">
      <c r="A31" s="14" t="s">
        <v>677</v>
      </c>
      <c r="B31" s="14" t="s">
        <v>641</v>
      </c>
      <c r="C31" s="10" t="s">
        <v>82</v>
      </c>
      <c r="D31" s="40" t="n">
        <v>8000</v>
      </c>
      <c r="E31" s="28" t="n">
        <f aca="false">IF(D31="","",D31/1.1)</f>
        <v>7272.72727272727</v>
      </c>
      <c r="F31" s="28" t="n">
        <f aca="false">IF(B31="","",SUMIF(레시피!$A$4:$A$603,B31,레시피!$F$4:$F$603))</f>
        <v>1267.64705882353</v>
      </c>
      <c r="G31" s="28" t="n">
        <f aca="false">IF(B31="","",IF(C31="식재료",F31*기본설정!$C$7,0))</f>
        <v>63.3823529411765</v>
      </c>
      <c r="H31" s="28" t="n">
        <f aca="false">IF(B31="","",F31+G31)</f>
        <v>1331.02941176471</v>
      </c>
      <c r="I31" s="27" t="n">
        <f aca="false">IF(OR(B31="",D31=""),"",IFERROR(H31/E31,0))</f>
        <v>0.183016544117647</v>
      </c>
      <c r="J31" s="27" t="n">
        <f aca="false">IF(B31="","",IF(C31="주류·음료",기본설정!$C$9,기본설정!$C$8))</f>
        <v>0.35</v>
      </c>
      <c r="K31" s="13" t="str">
        <f aca="false">IF(B31="","",IF(D31="","판매가 미입력",IF(F31=0,"레시피 미입력",IF(I31&gt;J31+기본설정!$C$10,"위험",IF(I31&gt;J31,"주의","적정")))))</f>
        <v>적정</v>
      </c>
      <c r="L31" s="28" t="n">
        <f aca="false">IF(OR(B31="",D31=""),"",E31-H31)</f>
        <v>5941.69786096257</v>
      </c>
      <c r="M31" s="43"/>
      <c r="N31" s="28" t="str">
        <f aca="false">IF(OR(M31="",E31=""),"",E31*M31)</f>
        <v/>
      </c>
      <c r="O31" s="28" t="str">
        <f aca="false">IF(OR(M31="",H31=""),"",H31*M31)</f>
        <v/>
      </c>
      <c r="P31" s="27" t="str">
        <f aca="false">IF(N31="","",IFERROR(N31/$J$4,0))</f>
        <v/>
      </c>
      <c r="Q31" s="65" t="str">
        <f aca="false">IF(OR(M31="",M31=0,L31=""),"",IF(AND(M31&gt;=$F$4,L31&gt;=$D$4),"스타 (유지·강조)",IF(M31&gt;=$F$4,"인기·저마진 (원가↓·가격↑ 검토)",IF(L31&gt;=$D$4,"고마진·비인기 (홍보 강화)","저인기·저마진 (정리 검토)"))))</f>
        <v/>
      </c>
    </row>
    <row r="32" customFormat="false" ht="15" hidden="false" customHeight="false" outlineLevel="0" collapsed="false">
      <c r="A32" s="14" t="s">
        <v>677</v>
      </c>
      <c r="B32" s="14" t="s">
        <v>642</v>
      </c>
      <c r="C32" s="10" t="s">
        <v>82</v>
      </c>
      <c r="D32" s="40" t="n">
        <v>8000</v>
      </c>
      <c r="E32" s="28" t="n">
        <f aca="false">IF(D32="","",D32/1.1)</f>
        <v>7272.72727272727</v>
      </c>
      <c r="F32" s="28" t="n">
        <f aca="false">IF(B32="","",SUMIF(레시피!$A$4:$A$603,B32,레시피!$F$4:$F$603))</f>
        <v>893.859649122807</v>
      </c>
      <c r="G32" s="28" t="n">
        <f aca="false">IF(B32="","",IF(C32="식재료",F32*기본설정!$C$7,0))</f>
        <v>44.6929824561404</v>
      </c>
      <c r="H32" s="28" t="n">
        <f aca="false">IF(B32="","",F32+G32)</f>
        <v>938.552631578947</v>
      </c>
      <c r="I32" s="27" t="n">
        <f aca="false">IF(OR(B32="",D32=""),"",IFERROR(H32/E32,0))</f>
        <v>0.129050986842105</v>
      </c>
      <c r="J32" s="27" t="n">
        <f aca="false">IF(B32="","",IF(C32="주류·음료",기본설정!$C$9,기본설정!$C$8))</f>
        <v>0.35</v>
      </c>
      <c r="K32" s="13" t="str">
        <f aca="false">IF(B32="","",IF(D32="","판매가 미입력",IF(F32=0,"레시피 미입력",IF(I32&gt;J32+기본설정!$C$10,"위험",IF(I32&gt;J32,"주의","적정")))))</f>
        <v>적정</v>
      </c>
      <c r="L32" s="28" t="n">
        <f aca="false">IF(OR(B32="",D32=""),"",E32-H32)</f>
        <v>6334.17464114833</v>
      </c>
      <c r="M32" s="43"/>
      <c r="N32" s="28" t="str">
        <f aca="false">IF(OR(M32="",E32=""),"",E32*M32)</f>
        <v/>
      </c>
      <c r="O32" s="28" t="str">
        <f aca="false">IF(OR(M32="",H32=""),"",H32*M32)</f>
        <v/>
      </c>
      <c r="P32" s="27" t="str">
        <f aca="false">IF(N32="","",IFERROR(N32/$J$4,0))</f>
        <v/>
      </c>
      <c r="Q32" s="65" t="str">
        <f aca="false">IF(OR(M32="",M32=0,L32=""),"",IF(AND(M32&gt;=$F$4,L32&gt;=$D$4),"스타 (유지·강조)",IF(M32&gt;=$F$4,"인기·저마진 (원가↓·가격↑ 검토)",IF(L32&gt;=$D$4,"고마진·비인기 (홍보 강화)","저인기·저마진 (정리 검토)"))))</f>
        <v/>
      </c>
    </row>
    <row r="33" customFormat="false" ht="15" hidden="false" customHeight="false" outlineLevel="0" collapsed="false">
      <c r="A33" s="14" t="s">
        <v>677</v>
      </c>
      <c r="B33" s="14" t="s">
        <v>643</v>
      </c>
      <c r="C33" s="10" t="s">
        <v>82</v>
      </c>
      <c r="D33" s="40" t="n">
        <v>8000</v>
      </c>
      <c r="E33" s="28" t="n">
        <f aca="false">IF(D33="","",D33/1.1)</f>
        <v>7272.72727272727</v>
      </c>
      <c r="F33" s="28" t="n">
        <f aca="false">IF(B33="","",SUMIF(레시피!$A$4:$A$603,B33,레시피!$F$4:$F$603))</f>
        <v>2150</v>
      </c>
      <c r="G33" s="28" t="n">
        <f aca="false">IF(B33="","",IF(C33="식재료",F33*기본설정!$C$7,0))</f>
        <v>107.5</v>
      </c>
      <c r="H33" s="28" t="n">
        <f aca="false">IF(B33="","",F33+G33)</f>
        <v>2257.5</v>
      </c>
      <c r="I33" s="27" t="n">
        <f aca="false">IF(OR(B33="",D33=""),"",IFERROR(H33/E33,0))</f>
        <v>0.31040625</v>
      </c>
      <c r="J33" s="27" t="n">
        <f aca="false">IF(B33="","",IF(C33="주류·음료",기본설정!$C$9,기본설정!$C$8))</f>
        <v>0.35</v>
      </c>
      <c r="K33" s="13" t="str">
        <f aca="false">IF(B33="","",IF(D33="","판매가 미입력",IF(F33=0,"레시피 미입력",IF(I33&gt;J33+기본설정!$C$10,"위험",IF(I33&gt;J33,"주의","적정")))))</f>
        <v>적정</v>
      </c>
      <c r="L33" s="28" t="n">
        <f aca="false">IF(OR(B33="",D33=""),"",E33-H33)</f>
        <v>5015.22727272727</v>
      </c>
      <c r="M33" s="43"/>
      <c r="N33" s="28" t="str">
        <f aca="false">IF(OR(M33="",E33=""),"",E33*M33)</f>
        <v/>
      </c>
      <c r="O33" s="28" t="str">
        <f aca="false">IF(OR(M33="",H33=""),"",H33*M33)</f>
        <v/>
      </c>
      <c r="P33" s="27" t="str">
        <f aca="false">IF(N33="","",IFERROR(N33/$J$4,0))</f>
        <v/>
      </c>
      <c r="Q33" s="65" t="str">
        <f aca="false">IF(OR(M33="",M33=0,L33=""),"",IF(AND(M33&gt;=$F$4,L33&gt;=$D$4),"스타 (유지·강조)",IF(M33&gt;=$F$4,"인기·저마진 (원가↓·가격↑ 검토)",IF(L33&gt;=$D$4,"고마진·비인기 (홍보 강화)","저인기·저마진 (정리 검토)"))))</f>
        <v/>
      </c>
    </row>
    <row r="34" customFormat="false" ht="15" hidden="false" customHeight="false" outlineLevel="0" collapsed="false">
      <c r="A34" s="14" t="s">
        <v>677</v>
      </c>
      <c r="B34" s="14" t="s">
        <v>644</v>
      </c>
      <c r="C34" s="10" t="s">
        <v>82</v>
      </c>
      <c r="D34" s="40" t="n">
        <v>8000</v>
      </c>
      <c r="E34" s="28" t="n">
        <f aca="false">IF(D34="","",D34/1.1)</f>
        <v>7272.72727272727</v>
      </c>
      <c r="F34" s="28" t="n">
        <f aca="false">IF(B34="","",SUMIF(레시피!$A$4:$A$603,B34,레시피!$F$4:$F$603))</f>
        <v>2322.22222222222</v>
      </c>
      <c r="G34" s="28" t="n">
        <f aca="false">IF(B34="","",IF(C34="식재료",F34*기본설정!$C$7,0))</f>
        <v>116.111111111111</v>
      </c>
      <c r="H34" s="28" t="n">
        <f aca="false">IF(B34="","",F34+G34)</f>
        <v>2438.33333333333</v>
      </c>
      <c r="I34" s="27" t="n">
        <f aca="false">IF(OR(B34="",D34=""),"",IFERROR(H34/E34,0))</f>
        <v>0.335270833333333</v>
      </c>
      <c r="J34" s="27" t="n">
        <f aca="false">IF(B34="","",IF(C34="주류·음료",기본설정!$C$9,기본설정!$C$8))</f>
        <v>0.35</v>
      </c>
      <c r="K34" s="13" t="str">
        <f aca="false">IF(B34="","",IF(D34="","판매가 미입력",IF(F34=0,"레시피 미입력",IF(I34&gt;J34+기본설정!$C$10,"위험",IF(I34&gt;J34,"주의","적정")))))</f>
        <v>적정</v>
      </c>
      <c r="L34" s="28" t="n">
        <f aca="false">IF(OR(B34="",D34=""),"",E34-H34)</f>
        <v>4834.39393939394</v>
      </c>
      <c r="M34" s="43"/>
      <c r="N34" s="28" t="str">
        <f aca="false">IF(OR(M34="",E34=""),"",E34*M34)</f>
        <v/>
      </c>
      <c r="O34" s="28" t="str">
        <f aca="false">IF(OR(M34="",H34=""),"",H34*M34)</f>
        <v/>
      </c>
      <c r="P34" s="27" t="str">
        <f aca="false">IF(N34="","",IFERROR(N34/$J$4,0))</f>
        <v/>
      </c>
      <c r="Q34" s="65" t="str">
        <f aca="false">IF(OR(M34="",M34=0,L34=""),"",IF(AND(M34&gt;=$F$4,L34&gt;=$D$4),"스타 (유지·강조)",IF(M34&gt;=$F$4,"인기·저마진 (원가↓·가격↑ 검토)",IF(L34&gt;=$D$4,"고마진·비인기 (홍보 강화)","저인기·저마진 (정리 검토)"))))</f>
        <v/>
      </c>
    </row>
    <row r="35" customFormat="false" ht="15" hidden="false" customHeight="false" outlineLevel="0" collapsed="false">
      <c r="A35" s="14" t="s">
        <v>678</v>
      </c>
      <c r="B35" s="14" t="s">
        <v>548</v>
      </c>
      <c r="C35" s="10" t="s">
        <v>125</v>
      </c>
      <c r="D35" s="40" t="n">
        <v>40000</v>
      </c>
      <c r="E35" s="28" t="n">
        <f aca="false">IF(D35="","",D35/1.1)</f>
        <v>36363.6363636364</v>
      </c>
      <c r="F35" s="28" t="n">
        <f aca="false">IF(B35="","",SUMIF(레시피!$A$4:$A$603,B35,레시피!$F$4:$F$603))</f>
        <v>12000</v>
      </c>
      <c r="G35" s="28" t="n">
        <f aca="false">IF(B35="","",IF(C35="식재료",F35*기본설정!$C$7,0))</f>
        <v>0</v>
      </c>
      <c r="H35" s="28" t="n">
        <f aca="false">IF(B35="","",F35+G35)</f>
        <v>12000</v>
      </c>
      <c r="I35" s="27" t="n">
        <f aca="false">IF(OR(B35="",D35=""),"",IFERROR(H35/E35,0))</f>
        <v>0.33</v>
      </c>
      <c r="J35" s="27" t="n">
        <f aca="false">IF(B35="","",IF(C35="주류·음료",기본설정!$C$9,기본설정!$C$8))</f>
        <v>0.3</v>
      </c>
      <c r="K35" s="13" t="str">
        <f aca="false">IF(B35="","",IF(D35="","판매가 미입력",IF(F35=0,"레시피 미입력",IF(I35&gt;J35+기본설정!$C$10,"위험",IF(I35&gt;J35,"주의","적정")))))</f>
        <v>주의</v>
      </c>
      <c r="L35" s="28" t="n">
        <f aca="false">IF(OR(B35="",D35=""),"",E35-H35)</f>
        <v>24363.6363636364</v>
      </c>
      <c r="M35" s="43"/>
      <c r="N35" s="28" t="str">
        <f aca="false">IF(OR(M35="",E35=""),"",E35*M35)</f>
        <v/>
      </c>
      <c r="O35" s="28" t="str">
        <f aca="false">IF(OR(M35="",H35=""),"",H35*M35)</f>
        <v/>
      </c>
      <c r="P35" s="27" t="str">
        <f aca="false">IF(N35="","",IFERROR(N35/$J$4,0))</f>
        <v/>
      </c>
      <c r="Q35" s="65" t="str">
        <f aca="false">IF(OR(M35="",M35=0,L35=""),"",IF(AND(M35&gt;=$F$4,L35&gt;=$D$4),"스타 (유지·강조)",IF(M35&gt;=$F$4,"인기·저마진 (원가↓·가격↑ 검토)",IF(L35&gt;=$D$4,"고마진·비인기 (홍보 강화)","저인기·저마진 (정리 검토)"))))</f>
        <v/>
      </c>
    </row>
    <row r="36" customFormat="false" ht="15" hidden="false" customHeight="false" outlineLevel="0" collapsed="false">
      <c r="A36" s="14" t="s">
        <v>678</v>
      </c>
      <c r="B36" s="14" t="s">
        <v>552</v>
      </c>
      <c r="C36" s="10" t="s">
        <v>125</v>
      </c>
      <c r="D36" s="40" t="n">
        <v>20000</v>
      </c>
      <c r="E36" s="28" t="n">
        <f aca="false">IF(D36="","",D36/1.1)</f>
        <v>18181.8181818182</v>
      </c>
      <c r="F36" s="28" t="n">
        <f aca="false">IF(B36="","",SUMIF(레시피!$A$4:$A$603,B36,레시피!$F$4:$F$603))</f>
        <v>6500</v>
      </c>
      <c r="G36" s="28" t="n">
        <f aca="false">IF(B36="","",IF(C36="식재료",F36*기본설정!$C$7,0))</f>
        <v>0</v>
      </c>
      <c r="H36" s="28" t="n">
        <f aca="false">IF(B36="","",F36+G36)</f>
        <v>6500</v>
      </c>
      <c r="I36" s="27" t="n">
        <f aca="false">IF(OR(B36="",D36=""),"",IFERROR(H36/E36,0))</f>
        <v>0.3575</v>
      </c>
      <c r="J36" s="27" t="n">
        <f aca="false">IF(B36="","",IF(C36="주류·음료",기본설정!$C$9,기본설정!$C$8))</f>
        <v>0.3</v>
      </c>
      <c r="K36" s="13" t="str">
        <f aca="false">IF(B36="","",IF(D36="","판매가 미입력",IF(F36=0,"레시피 미입력",IF(I36&gt;J36+기본설정!$C$10,"위험",IF(I36&gt;J36,"주의","적정")))))</f>
        <v>위험</v>
      </c>
      <c r="L36" s="28" t="n">
        <f aca="false">IF(OR(B36="",D36=""),"",E36-H36)</f>
        <v>11681.8181818182</v>
      </c>
      <c r="M36" s="43"/>
      <c r="N36" s="28" t="str">
        <f aca="false">IF(OR(M36="",E36=""),"",E36*M36)</f>
        <v/>
      </c>
      <c r="O36" s="28" t="str">
        <f aca="false">IF(OR(M36="",H36=""),"",H36*M36)</f>
        <v/>
      </c>
      <c r="P36" s="27" t="str">
        <f aca="false">IF(N36="","",IFERROR(N36/$J$4,0))</f>
        <v/>
      </c>
      <c r="Q36" s="65" t="str">
        <f aca="false">IF(OR(M36="",M36=0,L36=""),"",IF(AND(M36&gt;=$F$4,L36&gt;=$D$4),"스타 (유지·강조)",IF(M36&gt;=$F$4,"인기·저마진 (원가↓·가격↑ 검토)",IF(L36&gt;=$D$4,"고마진·비인기 (홍보 강화)","저인기·저마진 (정리 검토)"))))</f>
        <v/>
      </c>
    </row>
    <row r="37" customFormat="false" ht="15" hidden="false" customHeight="false" outlineLevel="0" collapsed="false">
      <c r="A37" s="14" t="s">
        <v>678</v>
      </c>
      <c r="B37" s="14" t="s">
        <v>554</v>
      </c>
      <c r="C37" s="10" t="s">
        <v>125</v>
      </c>
      <c r="D37" s="40" t="n">
        <v>12000</v>
      </c>
      <c r="E37" s="28" t="n">
        <f aca="false">IF(D37="","",D37/1.1)</f>
        <v>10909.0909090909</v>
      </c>
      <c r="F37" s="28" t="n">
        <f aca="false">IF(B37="","",SUMIF(레시피!$A$4:$A$603,B37,레시피!$F$4:$F$603))</f>
        <v>3800</v>
      </c>
      <c r="G37" s="28" t="n">
        <f aca="false">IF(B37="","",IF(C37="식재료",F37*기본설정!$C$7,0))</f>
        <v>0</v>
      </c>
      <c r="H37" s="28" t="n">
        <f aca="false">IF(B37="","",F37+G37)</f>
        <v>3800</v>
      </c>
      <c r="I37" s="27" t="n">
        <f aca="false">IF(OR(B37="",D37=""),"",IFERROR(H37/E37,0))</f>
        <v>0.348333333333333</v>
      </c>
      <c r="J37" s="27" t="n">
        <f aca="false">IF(B37="","",IF(C37="주류·음료",기본설정!$C$9,기본설정!$C$8))</f>
        <v>0.3</v>
      </c>
      <c r="K37" s="13" t="str">
        <f aca="false">IF(B37="","",IF(D37="","판매가 미입력",IF(F37=0,"레시피 미입력",IF(I37&gt;J37+기본설정!$C$10,"위험",IF(I37&gt;J37,"주의","적정")))))</f>
        <v>위험</v>
      </c>
      <c r="L37" s="28" t="n">
        <f aca="false">IF(OR(B37="",D37=""),"",E37-H37)</f>
        <v>7109.09090909091</v>
      </c>
      <c r="M37" s="43"/>
      <c r="N37" s="28" t="str">
        <f aca="false">IF(OR(M37="",E37=""),"",E37*M37)</f>
        <v/>
      </c>
      <c r="O37" s="28" t="str">
        <f aca="false">IF(OR(M37="",H37=""),"",H37*M37)</f>
        <v/>
      </c>
      <c r="P37" s="27" t="str">
        <f aca="false">IF(N37="","",IFERROR(N37/$J$4,0))</f>
        <v/>
      </c>
      <c r="Q37" s="65" t="str">
        <f aca="false">IF(OR(M37="",M37=0,L37=""),"",IF(AND(M37&gt;=$F$4,L37&gt;=$D$4),"스타 (유지·강조)",IF(M37&gt;=$F$4,"인기·저마진 (원가↓·가격↑ 검토)",IF(L37&gt;=$D$4,"고마진·비인기 (홍보 강화)","저인기·저마진 (정리 검토)"))))</f>
        <v/>
      </c>
    </row>
    <row r="38" customFormat="false" ht="15" hidden="false" customHeight="false" outlineLevel="0" collapsed="false">
      <c r="A38" s="14" t="s">
        <v>678</v>
      </c>
      <c r="B38" s="14" t="s">
        <v>556</v>
      </c>
      <c r="C38" s="10" t="s">
        <v>125</v>
      </c>
      <c r="D38" s="40" t="n">
        <v>25000</v>
      </c>
      <c r="E38" s="28" t="n">
        <f aca="false">IF(D38="","",D38/1.1)</f>
        <v>22727.2727272727</v>
      </c>
      <c r="F38" s="28" t="n">
        <f aca="false">IF(B38="","",SUMIF(레시피!$A$4:$A$603,B38,레시피!$F$4:$F$603))</f>
        <v>8000</v>
      </c>
      <c r="G38" s="28" t="n">
        <f aca="false">IF(B38="","",IF(C38="식재료",F38*기본설정!$C$7,0))</f>
        <v>0</v>
      </c>
      <c r="H38" s="28" t="n">
        <f aca="false">IF(B38="","",F38+G38)</f>
        <v>8000</v>
      </c>
      <c r="I38" s="27" t="n">
        <f aca="false">IF(OR(B38="",D38=""),"",IFERROR(H38/E38,0))</f>
        <v>0.352</v>
      </c>
      <c r="J38" s="27" t="n">
        <f aca="false">IF(B38="","",IF(C38="주류·음료",기본설정!$C$9,기본설정!$C$8))</f>
        <v>0.3</v>
      </c>
      <c r="K38" s="13" t="str">
        <f aca="false">IF(B38="","",IF(D38="","판매가 미입력",IF(F38=0,"레시피 미입력",IF(I38&gt;J38+기본설정!$C$10,"위험",IF(I38&gt;J38,"주의","적정")))))</f>
        <v>위험</v>
      </c>
      <c r="L38" s="28" t="n">
        <f aca="false">IF(OR(B38="",D38=""),"",E38-H38)</f>
        <v>14727.2727272727</v>
      </c>
      <c r="M38" s="43"/>
      <c r="N38" s="28" t="str">
        <f aca="false">IF(OR(M38="",E38=""),"",E38*M38)</f>
        <v/>
      </c>
      <c r="O38" s="28" t="str">
        <f aca="false">IF(OR(M38="",H38=""),"",H38*M38)</f>
        <v/>
      </c>
      <c r="P38" s="27" t="str">
        <f aca="false">IF(N38="","",IFERROR(N38/$J$4,0))</f>
        <v/>
      </c>
      <c r="Q38" s="65" t="str">
        <f aca="false">IF(OR(M38="",M38=0,L38=""),"",IF(AND(M38&gt;=$F$4,L38&gt;=$D$4),"스타 (유지·강조)",IF(M38&gt;=$F$4,"인기·저마진 (원가↓·가격↑ 검토)",IF(L38&gt;=$D$4,"고마진·비인기 (홍보 강화)","저인기·저마진 (정리 검토)"))))</f>
        <v/>
      </c>
    </row>
    <row r="39" customFormat="false" ht="15" hidden="false" customHeight="false" outlineLevel="0" collapsed="false">
      <c r="A39" s="14" t="s">
        <v>678</v>
      </c>
      <c r="B39" s="14" t="s">
        <v>559</v>
      </c>
      <c r="C39" s="10" t="s">
        <v>125</v>
      </c>
      <c r="D39" s="40" t="n">
        <v>15000</v>
      </c>
      <c r="E39" s="28" t="n">
        <f aca="false">IF(D39="","",D39/1.1)</f>
        <v>13636.3636363636</v>
      </c>
      <c r="F39" s="28" t="n">
        <f aca="false">IF(B39="","",SUMIF(레시피!$A$4:$A$603,B39,레시피!$F$4:$F$603))</f>
        <v>4800</v>
      </c>
      <c r="G39" s="28" t="n">
        <f aca="false">IF(B39="","",IF(C39="식재료",F39*기본설정!$C$7,0))</f>
        <v>0</v>
      </c>
      <c r="H39" s="28" t="n">
        <f aca="false">IF(B39="","",F39+G39)</f>
        <v>4800</v>
      </c>
      <c r="I39" s="27" t="n">
        <f aca="false">IF(OR(B39="",D39=""),"",IFERROR(H39/E39,0))</f>
        <v>0.352</v>
      </c>
      <c r="J39" s="27" t="n">
        <f aca="false">IF(B39="","",IF(C39="주류·음료",기본설정!$C$9,기본설정!$C$8))</f>
        <v>0.3</v>
      </c>
      <c r="K39" s="13" t="str">
        <f aca="false">IF(B39="","",IF(D39="","판매가 미입력",IF(F39=0,"레시피 미입력",IF(I39&gt;J39+기본설정!$C$10,"위험",IF(I39&gt;J39,"주의","적정")))))</f>
        <v>위험</v>
      </c>
      <c r="L39" s="28" t="n">
        <f aca="false">IF(OR(B39="",D39=""),"",E39-H39)</f>
        <v>8836.36363636364</v>
      </c>
      <c r="M39" s="43"/>
      <c r="N39" s="28" t="str">
        <f aca="false">IF(OR(M39="",E39=""),"",E39*M39)</f>
        <v/>
      </c>
      <c r="O39" s="28" t="str">
        <f aca="false">IF(OR(M39="",H39=""),"",H39*M39)</f>
        <v/>
      </c>
      <c r="P39" s="27" t="str">
        <f aca="false">IF(N39="","",IFERROR(N39/$J$4,0))</f>
        <v/>
      </c>
      <c r="Q39" s="65" t="str">
        <f aca="false">IF(OR(M39="",M39=0,L39=""),"",IF(AND(M39&gt;=$F$4,L39&gt;=$D$4),"스타 (유지·강조)",IF(M39&gt;=$F$4,"인기·저마진 (원가↓·가격↑ 검토)",IF(L39&gt;=$D$4,"고마진·비인기 (홍보 강화)","저인기·저마진 (정리 검토)"))))</f>
        <v/>
      </c>
    </row>
    <row r="40" customFormat="false" ht="15" hidden="false" customHeight="false" outlineLevel="0" collapsed="false">
      <c r="A40" s="14" t="s">
        <v>678</v>
      </c>
      <c r="B40" s="14" t="s">
        <v>561</v>
      </c>
      <c r="C40" s="10" t="s">
        <v>125</v>
      </c>
      <c r="D40" s="40" t="n">
        <v>50000</v>
      </c>
      <c r="E40" s="28" t="n">
        <f aca="false">IF(D40="","",D40/1.1)</f>
        <v>45454.5454545455</v>
      </c>
      <c r="F40" s="28" t="n">
        <f aca="false">IF(B40="","",SUMIF(레시피!$A$4:$A$603,B40,레시피!$F$4:$F$603))</f>
        <v>17000</v>
      </c>
      <c r="G40" s="28" t="n">
        <f aca="false">IF(B40="","",IF(C40="식재료",F40*기본설정!$C$7,0))</f>
        <v>0</v>
      </c>
      <c r="H40" s="28" t="n">
        <f aca="false">IF(B40="","",F40+G40)</f>
        <v>17000</v>
      </c>
      <c r="I40" s="27" t="n">
        <f aca="false">IF(OR(B40="",D40=""),"",IFERROR(H40/E40,0))</f>
        <v>0.374</v>
      </c>
      <c r="J40" s="27" t="n">
        <f aca="false">IF(B40="","",IF(C40="주류·음료",기본설정!$C$9,기본설정!$C$8))</f>
        <v>0.3</v>
      </c>
      <c r="K40" s="13" t="str">
        <f aca="false">IF(B40="","",IF(D40="","판매가 미입력",IF(F40=0,"레시피 미입력",IF(I40&gt;J40+기본설정!$C$10,"위험",IF(I40&gt;J40,"주의","적정")))))</f>
        <v>위험</v>
      </c>
      <c r="L40" s="28" t="n">
        <f aca="false">IF(OR(B40="",D40=""),"",E40-H40)</f>
        <v>28454.5454545455</v>
      </c>
      <c r="M40" s="43"/>
      <c r="N40" s="28" t="str">
        <f aca="false">IF(OR(M40="",E40=""),"",E40*M40)</f>
        <v/>
      </c>
      <c r="O40" s="28" t="str">
        <f aca="false">IF(OR(M40="",H40=""),"",H40*M40)</f>
        <v/>
      </c>
      <c r="P40" s="27" t="str">
        <f aca="false">IF(N40="","",IFERROR(N40/$J$4,0))</f>
        <v/>
      </c>
      <c r="Q40" s="65" t="str">
        <f aca="false">IF(OR(M40="",M40=0,L40=""),"",IF(AND(M40&gt;=$F$4,L40&gt;=$D$4),"스타 (유지·강조)",IF(M40&gt;=$F$4,"인기·저마진 (원가↓·가격↑ 검토)",IF(L40&gt;=$D$4,"고마진·비인기 (홍보 강화)","저인기·저마진 (정리 검토)"))))</f>
        <v/>
      </c>
    </row>
    <row r="41" customFormat="false" ht="15" hidden="false" customHeight="false" outlineLevel="0" collapsed="false">
      <c r="A41" s="14" t="s">
        <v>678</v>
      </c>
      <c r="B41" s="14" t="s">
        <v>564</v>
      </c>
      <c r="C41" s="10" t="s">
        <v>125</v>
      </c>
      <c r="D41" s="40" t="n">
        <v>30000</v>
      </c>
      <c r="E41" s="28" t="n">
        <f aca="false">IF(D41="","",D41/1.1)</f>
        <v>27272.7272727273</v>
      </c>
      <c r="F41" s="28" t="n">
        <f aca="false">IF(B41="","",SUMIF(레시피!$A$4:$A$603,B41,레시피!$F$4:$F$603))</f>
        <v>9500</v>
      </c>
      <c r="G41" s="28" t="n">
        <f aca="false">IF(B41="","",IF(C41="식재료",F41*기본설정!$C$7,0))</f>
        <v>0</v>
      </c>
      <c r="H41" s="28" t="n">
        <f aca="false">IF(B41="","",F41+G41)</f>
        <v>9500</v>
      </c>
      <c r="I41" s="27" t="n">
        <f aca="false">IF(OR(B41="",D41=""),"",IFERROR(H41/E41,0))</f>
        <v>0.348333333333333</v>
      </c>
      <c r="J41" s="27" t="n">
        <f aca="false">IF(B41="","",IF(C41="주류·음료",기본설정!$C$9,기본설정!$C$8))</f>
        <v>0.3</v>
      </c>
      <c r="K41" s="13" t="str">
        <f aca="false">IF(B41="","",IF(D41="","판매가 미입력",IF(F41=0,"레시피 미입력",IF(I41&gt;J41+기본설정!$C$10,"위험",IF(I41&gt;J41,"주의","적정")))))</f>
        <v>위험</v>
      </c>
      <c r="L41" s="28" t="n">
        <f aca="false">IF(OR(B41="",D41=""),"",E41-H41)</f>
        <v>17772.7272727273</v>
      </c>
      <c r="M41" s="43"/>
      <c r="N41" s="28" t="str">
        <f aca="false">IF(OR(M41="",E41=""),"",E41*M41)</f>
        <v/>
      </c>
      <c r="O41" s="28" t="str">
        <f aca="false">IF(OR(M41="",H41=""),"",H41*M41)</f>
        <v/>
      </c>
      <c r="P41" s="27" t="str">
        <f aca="false">IF(N41="","",IFERROR(N41/$J$4,0))</f>
        <v/>
      </c>
      <c r="Q41" s="65" t="str">
        <f aca="false">IF(OR(M41="",M41=0,L41=""),"",IF(AND(M41&gt;=$F$4,L41&gt;=$D$4),"스타 (유지·강조)",IF(M41&gt;=$F$4,"인기·저마진 (원가↓·가격↑ 검토)",IF(L41&gt;=$D$4,"고마진·비인기 (홍보 강화)","저인기·저마진 (정리 검토)"))))</f>
        <v/>
      </c>
    </row>
    <row r="42" customFormat="false" ht="15" hidden="false" customHeight="false" outlineLevel="0" collapsed="false">
      <c r="A42" s="14" t="s">
        <v>678</v>
      </c>
      <c r="B42" s="14" t="s">
        <v>645</v>
      </c>
      <c r="C42" s="10" t="s">
        <v>125</v>
      </c>
      <c r="D42" s="40" t="n">
        <v>7000</v>
      </c>
      <c r="E42" s="28" t="n">
        <f aca="false">IF(D42="","",D42/1.1)</f>
        <v>6363.63636363636</v>
      </c>
      <c r="F42" s="28" t="n">
        <f aca="false">IF(B42="","",SUMIF(레시피!$A$4:$A$603,B42,레시피!$F$4:$F$603))</f>
        <v>2600</v>
      </c>
      <c r="G42" s="28" t="n">
        <f aca="false">IF(B42="","",IF(C42="식재료",F42*기본설정!$C$7,0))</f>
        <v>0</v>
      </c>
      <c r="H42" s="28" t="n">
        <f aca="false">IF(B42="","",F42+G42)</f>
        <v>2600</v>
      </c>
      <c r="I42" s="27" t="n">
        <f aca="false">IF(OR(B42="",D42=""),"",IFERROR(H42/E42,0))</f>
        <v>0.408571428571429</v>
      </c>
      <c r="J42" s="27" t="n">
        <f aca="false">IF(B42="","",IF(C42="주류·음료",기본설정!$C$9,기본설정!$C$8))</f>
        <v>0.3</v>
      </c>
      <c r="K42" s="13" t="str">
        <f aca="false">IF(B42="","",IF(D42="","판매가 미입력",IF(F42=0,"레시피 미입력",IF(I42&gt;J42+기본설정!$C$10,"위험",IF(I42&gt;J42,"주의","적정")))))</f>
        <v>위험</v>
      </c>
      <c r="L42" s="28" t="n">
        <f aca="false">IF(OR(B42="",D42=""),"",E42-H42)</f>
        <v>3763.63636363636</v>
      </c>
      <c r="M42" s="43"/>
      <c r="N42" s="28" t="str">
        <f aca="false">IF(OR(M42="",E42=""),"",E42*M42)</f>
        <v/>
      </c>
      <c r="O42" s="28" t="str">
        <f aca="false">IF(OR(M42="",H42=""),"",H42*M42)</f>
        <v/>
      </c>
      <c r="P42" s="27" t="str">
        <f aca="false">IF(N42="","",IFERROR(N42/$J$4,0))</f>
        <v/>
      </c>
      <c r="Q42" s="65" t="str">
        <f aca="false">IF(OR(M42="",M42=0,L42=""),"",IF(AND(M42&gt;=$F$4,L42&gt;=$D$4),"스타 (유지·강조)",IF(M42&gt;=$F$4,"인기·저마진 (원가↓·가격↑ 검토)",IF(L42&gt;=$D$4,"고마진·비인기 (홍보 강화)","저인기·저마진 (정리 검토)"))))</f>
        <v/>
      </c>
    </row>
    <row r="43" customFormat="false" ht="15" hidden="false" customHeight="false" outlineLevel="0" collapsed="false">
      <c r="A43" s="14" t="s">
        <v>678</v>
      </c>
      <c r="B43" s="14" t="s">
        <v>646</v>
      </c>
      <c r="C43" s="10" t="s">
        <v>125</v>
      </c>
      <c r="D43" s="40" t="n">
        <v>7000</v>
      </c>
      <c r="E43" s="28" t="n">
        <f aca="false">IF(D43="","",D43/1.1)</f>
        <v>6363.63636363636</v>
      </c>
      <c r="F43" s="28" t="n">
        <f aca="false">IF(B43="","",SUMIF(레시피!$A$4:$A$603,B43,레시피!$F$4:$F$603))</f>
        <v>2000</v>
      </c>
      <c r="G43" s="28" t="n">
        <f aca="false">IF(B43="","",IF(C43="식재료",F43*기본설정!$C$7,0))</f>
        <v>0</v>
      </c>
      <c r="H43" s="28" t="n">
        <f aca="false">IF(B43="","",F43+G43)</f>
        <v>2000</v>
      </c>
      <c r="I43" s="27" t="n">
        <f aca="false">IF(OR(B43="",D43=""),"",IFERROR(H43/E43,0))</f>
        <v>0.314285714285714</v>
      </c>
      <c r="J43" s="27" t="n">
        <f aca="false">IF(B43="","",IF(C43="주류·음료",기본설정!$C$9,기본설정!$C$8))</f>
        <v>0.3</v>
      </c>
      <c r="K43" s="13" t="str">
        <f aca="false">IF(B43="","",IF(D43="","판매가 미입력",IF(F43=0,"레시피 미입력",IF(I43&gt;J43+기본설정!$C$10,"위험",IF(I43&gt;J43,"주의","적정")))))</f>
        <v>주의</v>
      </c>
      <c r="L43" s="28" t="n">
        <f aca="false">IF(OR(B43="",D43=""),"",E43-H43)</f>
        <v>4363.63636363636</v>
      </c>
      <c r="M43" s="43"/>
      <c r="N43" s="28" t="str">
        <f aca="false">IF(OR(M43="",E43=""),"",E43*M43)</f>
        <v/>
      </c>
      <c r="O43" s="28" t="str">
        <f aca="false">IF(OR(M43="",H43=""),"",H43*M43)</f>
        <v/>
      </c>
      <c r="P43" s="27" t="str">
        <f aca="false">IF(N43="","",IFERROR(N43/$J$4,0))</f>
        <v/>
      </c>
      <c r="Q43" s="65" t="str">
        <f aca="false">IF(OR(M43="",M43=0,L43=""),"",IF(AND(M43&gt;=$F$4,L43&gt;=$D$4),"스타 (유지·강조)",IF(M43&gt;=$F$4,"인기·저마진 (원가↓·가격↑ 검토)",IF(L43&gt;=$D$4,"고마진·비인기 (홍보 강화)","저인기·저마진 (정리 검토)"))))</f>
        <v/>
      </c>
    </row>
    <row r="44" customFormat="false" ht="15" hidden="false" customHeight="false" outlineLevel="0" collapsed="false">
      <c r="A44" s="14" t="s">
        <v>678</v>
      </c>
      <c r="B44" s="14" t="s">
        <v>647</v>
      </c>
      <c r="C44" s="10" t="s">
        <v>125</v>
      </c>
      <c r="D44" s="40" t="n">
        <v>8000</v>
      </c>
      <c r="E44" s="28" t="n">
        <f aca="false">IF(D44="","",D44/1.1)</f>
        <v>7272.72727272727</v>
      </c>
      <c r="F44" s="28" t="n">
        <f aca="false">IF(B44="","",SUMIF(레시피!$A$4:$A$603,B44,레시피!$F$4:$F$603))</f>
        <v>2046.42857142857</v>
      </c>
      <c r="G44" s="28" t="n">
        <f aca="false">IF(B44="","",IF(C44="식재료",F44*기본설정!$C$7,0))</f>
        <v>0</v>
      </c>
      <c r="H44" s="28" t="n">
        <f aca="false">IF(B44="","",F44+G44)</f>
        <v>2046.42857142857</v>
      </c>
      <c r="I44" s="27" t="n">
        <f aca="false">IF(OR(B44="",D44=""),"",IFERROR(H44/E44,0))</f>
        <v>0.281383928571429</v>
      </c>
      <c r="J44" s="27" t="n">
        <f aca="false">IF(B44="","",IF(C44="주류·음료",기본설정!$C$9,기본설정!$C$8))</f>
        <v>0.3</v>
      </c>
      <c r="K44" s="13" t="str">
        <f aca="false">IF(B44="","",IF(D44="","판매가 미입력",IF(F44=0,"레시피 미입력",IF(I44&gt;J44+기본설정!$C$10,"위험",IF(I44&gt;J44,"주의","적정")))))</f>
        <v>적정</v>
      </c>
      <c r="L44" s="28" t="n">
        <f aca="false">IF(OR(B44="",D44=""),"",E44-H44)</f>
        <v>5226.2987012987</v>
      </c>
      <c r="M44" s="43"/>
      <c r="N44" s="28" t="str">
        <f aca="false">IF(OR(M44="",E44=""),"",E44*M44)</f>
        <v/>
      </c>
      <c r="O44" s="28" t="str">
        <f aca="false">IF(OR(M44="",H44=""),"",H44*M44)</f>
        <v/>
      </c>
      <c r="P44" s="27" t="str">
        <f aca="false">IF(N44="","",IFERROR(N44/$J$4,0))</f>
        <v/>
      </c>
      <c r="Q44" s="65" t="str">
        <f aca="false">IF(OR(M44="",M44=0,L44=""),"",IF(AND(M44&gt;=$F$4,L44&gt;=$D$4),"스타 (유지·강조)",IF(M44&gt;=$F$4,"인기·저마진 (원가↓·가격↑ 검토)",IF(L44&gt;=$D$4,"고마진·비인기 (홍보 강화)","저인기·저마진 (정리 검토)"))))</f>
        <v/>
      </c>
    </row>
    <row r="45" customFormat="false" ht="15" hidden="false" customHeight="false" outlineLevel="0" collapsed="false">
      <c r="A45" s="14" t="s">
        <v>678</v>
      </c>
      <c r="B45" s="14" t="s">
        <v>648</v>
      </c>
      <c r="C45" s="10" t="s">
        <v>125</v>
      </c>
      <c r="D45" s="40" t="n">
        <v>8000</v>
      </c>
      <c r="E45" s="28" t="n">
        <f aca="false">IF(D45="","",D45/1.1)</f>
        <v>7272.72727272727</v>
      </c>
      <c r="F45" s="28" t="n">
        <f aca="false">IF(B45="","",SUMIF(레시피!$A$4:$A$603,B45,레시피!$F$4:$F$603))</f>
        <v>2175</v>
      </c>
      <c r="G45" s="28" t="n">
        <f aca="false">IF(B45="","",IF(C45="식재료",F45*기본설정!$C$7,0))</f>
        <v>0</v>
      </c>
      <c r="H45" s="28" t="n">
        <f aca="false">IF(B45="","",F45+G45)</f>
        <v>2175</v>
      </c>
      <c r="I45" s="27" t="n">
        <f aca="false">IF(OR(B45="",D45=""),"",IFERROR(H45/E45,0))</f>
        <v>0.2990625</v>
      </c>
      <c r="J45" s="27" t="n">
        <f aca="false">IF(B45="","",IF(C45="주류·음료",기본설정!$C$9,기본설정!$C$8))</f>
        <v>0.3</v>
      </c>
      <c r="K45" s="13" t="str">
        <f aca="false">IF(B45="","",IF(D45="","판매가 미입력",IF(F45=0,"레시피 미입력",IF(I45&gt;J45+기본설정!$C$10,"위험",IF(I45&gt;J45,"주의","적정")))))</f>
        <v>적정</v>
      </c>
      <c r="L45" s="28" t="n">
        <f aca="false">IF(OR(B45="",D45=""),"",E45-H45)</f>
        <v>5097.72727272727</v>
      </c>
      <c r="M45" s="43"/>
      <c r="N45" s="28" t="str">
        <f aca="false">IF(OR(M45="",E45=""),"",E45*M45)</f>
        <v/>
      </c>
      <c r="O45" s="28" t="str">
        <f aca="false">IF(OR(M45="",H45=""),"",H45*M45)</f>
        <v/>
      </c>
      <c r="P45" s="27" t="str">
        <f aca="false">IF(N45="","",IFERROR(N45/$J$4,0))</f>
        <v/>
      </c>
      <c r="Q45" s="65" t="str">
        <f aca="false">IF(OR(M45="",M45=0,L45=""),"",IF(AND(M45&gt;=$F$4,L45&gt;=$D$4),"스타 (유지·강조)",IF(M45&gt;=$F$4,"인기·저마진 (원가↓·가격↑ 검토)",IF(L45&gt;=$D$4,"고마진·비인기 (홍보 강화)","저인기·저마진 (정리 검토)"))))</f>
        <v/>
      </c>
    </row>
    <row r="46" customFormat="false" ht="15" hidden="false" customHeight="false" outlineLevel="0" collapsed="false">
      <c r="A46" s="14" t="s">
        <v>678</v>
      </c>
      <c r="B46" s="14" t="s">
        <v>649</v>
      </c>
      <c r="C46" s="10" t="s">
        <v>125</v>
      </c>
      <c r="D46" s="40" t="n">
        <v>7000</v>
      </c>
      <c r="E46" s="28" t="n">
        <f aca="false">IF(D46="","",D46/1.1)</f>
        <v>6363.63636363636</v>
      </c>
      <c r="F46" s="28" t="n">
        <f aca="false">IF(B46="","",SUMIF(레시피!$A$4:$A$603,B46,레시피!$F$4:$F$603))</f>
        <v>1789.28571428571</v>
      </c>
      <c r="G46" s="28" t="n">
        <f aca="false">IF(B46="","",IF(C46="식재료",F46*기본설정!$C$7,0))</f>
        <v>0</v>
      </c>
      <c r="H46" s="28" t="n">
        <f aca="false">IF(B46="","",F46+G46)</f>
        <v>1789.28571428571</v>
      </c>
      <c r="I46" s="27" t="n">
        <f aca="false">IF(OR(B46="",D46=""),"",IFERROR(H46/E46,0))</f>
        <v>0.281173469387755</v>
      </c>
      <c r="J46" s="27" t="n">
        <f aca="false">IF(B46="","",IF(C46="주류·음료",기본설정!$C$9,기본설정!$C$8))</f>
        <v>0.3</v>
      </c>
      <c r="K46" s="13" t="str">
        <f aca="false">IF(B46="","",IF(D46="","판매가 미입력",IF(F46=0,"레시피 미입력",IF(I46&gt;J46+기본설정!$C$10,"위험",IF(I46&gt;J46,"주의","적정")))))</f>
        <v>적정</v>
      </c>
      <c r="L46" s="28" t="n">
        <f aca="false">IF(OR(B46="",D46=""),"",E46-H46)</f>
        <v>4574.35064935065</v>
      </c>
      <c r="M46" s="43"/>
      <c r="N46" s="28" t="str">
        <f aca="false">IF(OR(M46="",E46=""),"",E46*M46)</f>
        <v/>
      </c>
      <c r="O46" s="28" t="str">
        <f aca="false">IF(OR(M46="",H46=""),"",H46*M46)</f>
        <v/>
      </c>
      <c r="P46" s="27" t="str">
        <f aca="false">IF(N46="","",IFERROR(N46/$J$4,0))</f>
        <v/>
      </c>
      <c r="Q46" s="65" t="str">
        <f aca="false">IF(OR(M46="",M46=0,L46=""),"",IF(AND(M46&gt;=$F$4,L46&gt;=$D$4),"스타 (유지·강조)",IF(M46&gt;=$F$4,"인기·저마진 (원가↓·가격↑ 검토)",IF(L46&gt;=$D$4,"고마진·비인기 (홍보 강화)","저인기·저마진 (정리 검토)"))))</f>
        <v/>
      </c>
    </row>
    <row r="47" customFormat="false" ht="15" hidden="false" customHeight="false" outlineLevel="0" collapsed="false">
      <c r="A47" s="14" t="s">
        <v>678</v>
      </c>
      <c r="B47" s="14" t="s">
        <v>650</v>
      </c>
      <c r="C47" s="10" t="s">
        <v>125</v>
      </c>
      <c r="D47" s="40" t="n">
        <v>6000</v>
      </c>
      <c r="E47" s="28" t="n">
        <f aca="false">IF(D47="","",D47/1.1)</f>
        <v>5454.54545454545</v>
      </c>
      <c r="F47" s="28" t="n">
        <f aca="false">IF(B47="","",SUMIF(레시피!$A$4:$A$603,B47,레시피!$F$4:$F$603))</f>
        <v>1403.57142857143</v>
      </c>
      <c r="G47" s="28" t="n">
        <f aca="false">IF(B47="","",IF(C47="식재료",F47*기본설정!$C$7,0))</f>
        <v>0</v>
      </c>
      <c r="H47" s="28" t="n">
        <f aca="false">IF(B47="","",F47+G47)</f>
        <v>1403.57142857143</v>
      </c>
      <c r="I47" s="27" t="n">
        <f aca="false">IF(OR(B47="",D47=""),"",IFERROR(H47/E47,0))</f>
        <v>0.257321428571429</v>
      </c>
      <c r="J47" s="27" t="n">
        <f aca="false">IF(B47="","",IF(C47="주류·음료",기본설정!$C$9,기본설정!$C$8))</f>
        <v>0.3</v>
      </c>
      <c r="K47" s="13" t="str">
        <f aca="false">IF(B47="","",IF(D47="","판매가 미입력",IF(F47=0,"레시피 미입력",IF(I47&gt;J47+기본설정!$C$10,"위험",IF(I47&gt;J47,"주의","적정")))))</f>
        <v>적정</v>
      </c>
      <c r="L47" s="28" t="n">
        <f aca="false">IF(OR(B47="",D47=""),"",E47-H47)</f>
        <v>4050.97402597403</v>
      </c>
      <c r="M47" s="43"/>
      <c r="N47" s="28" t="str">
        <f aca="false">IF(OR(M47="",E47=""),"",E47*M47)</f>
        <v/>
      </c>
      <c r="O47" s="28" t="str">
        <f aca="false">IF(OR(M47="",H47=""),"",H47*M47)</f>
        <v/>
      </c>
      <c r="P47" s="27" t="str">
        <f aca="false">IF(N47="","",IFERROR(N47/$J$4,0))</f>
        <v/>
      </c>
      <c r="Q47" s="65" t="str">
        <f aca="false">IF(OR(M47="",M47=0,L47=""),"",IF(AND(M47&gt;=$F$4,L47&gt;=$D$4),"스타 (유지·강조)",IF(M47&gt;=$F$4,"인기·저마진 (원가↓·가격↑ 검토)",IF(L47&gt;=$D$4,"고마진·비인기 (홍보 강화)","저인기·저마진 (정리 검토)"))))</f>
        <v/>
      </c>
    </row>
    <row r="48" customFormat="false" ht="15" hidden="false" customHeight="false" outlineLevel="0" collapsed="false">
      <c r="A48" s="14" t="s">
        <v>678</v>
      </c>
      <c r="B48" s="14" t="s">
        <v>651</v>
      </c>
      <c r="C48" s="10" t="s">
        <v>125</v>
      </c>
      <c r="D48" s="40" t="n">
        <v>8000</v>
      </c>
      <c r="E48" s="28" t="n">
        <f aca="false">IF(D48="","",D48/1.1)</f>
        <v>7272.72727272727</v>
      </c>
      <c r="F48" s="28" t="n">
        <f aca="false">IF(B48="","",SUMIF(레시피!$A$4:$A$603,B48,레시피!$F$4:$F$603))</f>
        <v>2175</v>
      </c>
      <c r="G48" s="28" t="n">
        <f aca="false">IF(B48="","",IF(C48="식재료",F48*기본설정!$C$7,0))</f>
        <v>0</v>
      </c>
      <c r="H48" s="28" t="n">
        <f aca="false">IF(B48="","",F48+G48)</f>
        <v>2175</v>
      </c>
      <c r="I48" s="27" t="n">
        <f aca="false">IF(OR(B48="",D48=""),"",IFERROR(H48/E48,0))</f>
        <v>0.2990625</v>
      </c>
      <c r="J48" s="27" t="n">
        <f aca="false">IF(B48="","",IF(C48="주류·음료",기본설정!$C$9,기본설정!$C$8))</f>
        <v>0.3</v>
      </c>
      <c r="K48" s="13" t="str">
        <f aca="false">IF(B48="","",IF(D48="","판매가 미입력",IF(F48=0,"레시피 미입력",IF(I48&gt;J48+기본설정!$C$10,"위험",IF(I48&gt;J48,"주의","적정")))))</f>
        <v>적정</v>
      </c>
      <c r="L48" s="28" t="n">
        <f aca="false">IF(OR(B48="",D48=""),"",E48-H48)</f>
        <v>5097.72727272727</v>
      </c>
      <c r="M48" s="43"/>
      <c r="N48" s="28" t="str">
        <f aca="false">IF(OR(M48="",E48=""),"",E48*M48)</f>
        <v/>
      </c>
      <c r="O48" s="28" t="str">
        <f aca="false">IF(OR(M48="",H48=""),"",H48*M48)</f>
        <v/>
      </c>
      <c r="P48" s="27" t="str">
        <f aca="false">IF(N48="","",IFERROR(N48/$J$4,0))</f>
        <v/>
      </c>
      <c r="Q48" s="65" t="str">
        <f aca="false">IF(OR(M48="",M48=0,L48=""),"",IF(AND(M48&gt;=$F$4,L48&gt;=$D$4),"스타 (유지·강조)",IF(M48&gt;=$F$4,"인기·저마진 (원가↓·가격↑ 검토)",IF(L48&gt;=$D$4,"고마진·비인기 (홍보 강화)","저인기·저마진 (정리 검토)"))))</f>
        <v/>
      </c>
    </row>
    <row r="49" customFormat="false" ht="15" hidden="false" customHeight="false" outlineLevel="0" collapsed="false">
      <c r="A49" s="14" t="s">
        <v>678</v>
      </c>
      <c r="B49" s="14" t="s">
        <v>652</v>
      </c>
      <c r="C49" s="10" t="s">
        <v>125</v>
      </c>
      <c r="D49" s="40" t="n">
        <v>7000</v>
      </c>
      <c r="E49" s="28" t="n">
        <f aca="false">IF(D49="","",D49/1.1)</f>
        <v>6363.63636363636</v>
      </c>
      <c r="F49" s="28" t="n">
        <f aca="false">IF(B49="","",SUMIF(레시피!$A$4:$A$603,B49,레시피!$F$4:$F$603))</f>
        <v>1095</v>
      </c>
      <c r="G49" s="28" t="n">
        <f aca="false">IF(B49="","",IF(C49="식재료",F49*기본설정!$C$7,0))</f>
        <v>0</v>
      </c>
      <c r="H49" s="28" t="n">
        <f aca="false">IF(B49="","",F49+G49)</f>
        <v>1095</v>
      </c>
      <c r="I49" s="27" t="n">
        <f aca="false">IF(OR(B49="",D49=""),"",IFERROR(H49/E49,0))</f>
        <v>0.172071428571429</v>
      </c>
      <c r="J49" s="27" t="n">
        <f aca="false">IF(B49="","",IF(C49="주류·음료",기본설정!$C$9,기본설정!$C$8))</f>
        <v>0.3</v>
      </c>
      <c r="K49" s="13" t="str">
        <f aca="false">IF(B49="","",IF(D49="","판매가 미입력",IF(F49=0,"레시피 미입력",IF(I49&gt;J49+기본설정!$C$10,"위험",IF(I49&gt;J49,"주의","적정")))))</f>
        <v>적정</v>
      </c>
      <c r="L49" s="28" t="n">
        <f aca="false">IF(OR(B49="",D49=""),"",E49-H49)</f>
        <v>5268.63636363636</v>
      </c>
      <c r="M49" s="43"/>
      <c r="N49" s="28" t="str">
        <f aca="false">IF(OR(M49="",E49=""),"",E49*M49)</f>
        <v/>
      </c>
      <c r="O49" s="28" t="str">
        <f aca="false">IF(OR(M49="",H49=""),"",H49*M49)</f>
        <v/>
      </c>
      <c r="P49" s="27" t="str">
        <f aca="false">IF(N49="","",IFERROR(N49/$J$4,0))</f>
        <v/>
      </c>
      <c r="Q49" s="65" t="str">
        <f aca="false">IF(OR(M49="",M49=0,L49=""),"",IF(AND(M49&gt;=$F$4,L49&gt;=$D$4),"스타 (유지·강조)",IF(M49&gt;=$F$4,"인기·저마진 (원가↓·가격↑ 검토)",IF(L49&gt;=$D$4,"고마진·비인기 (홍보 강화)","저인기·저마진 (정리 검토)"))))</f>
        <v/>
      </c>
    </row>
    <row r="50" customFormat="false" ht="15" hidden="false" customHeight="false" outlineLevel="0" collapsed="false">
      <c r="A50" s="14"/>
      <c r="B50" s="14"/>
      <c r="C50" s="10"/>
      <c r="D50" s="40"/>
      <c r="E50" s="28" t="str">
        <f aca="false">IF(D50="","",D50/1.1)</f>
        <v/>
      </c>
      <c r="F50" s="28" t="str">
        <f aca="false">IF(B50="","",SUMIF(레시피!$A$4:$A$603,B50,레시피!$F$4:$F$603))</f>
        <v/>
      </c>
      <c r="G50" s="28" t="str">
        <f aca="false">IF(B50="","",IF(C50="식재료",F50*기본설정!$C$7,0))</f>
        <v/>
      </c>
      <c r="H50" s="28" t="str">
        <f aca="false">IF(B50="","",F50+G50)</f>
        <v/>
      </c>
      <c r="I50" s="27" t="str">
        <f aca="false">IF(OR(B50="",D50=""),"",IFERROR(H50/E50,0))</f>
        <v/>
      </c>
      <c r="J50" s="27" t="str">
        <f aca="false">IF(B50="","",IF(C50="주류·음료",기본설정!$C$9,기본설정!$C$8))</f>
        <v/>
      </c>
      <c r="K50" s="13" t="str">
        <f aca="false">IF(B50="","",IF(D50="","판매가 미입력",IF(F50=0,"레시피 미입력",IF(I50&gt;J50+기본설정!$C$10,"위험",IF(I50&gt;J50,"주의","적정")))))</f>
        <v/>
      </c>
      <c r="L50" s="28" t="str">
        <f aca="false">IF(OR(B50="",D50=""),"",E50-H50)</f>
        <v/>
      </c>
      <c r="M50" s="43"/>
      <c r="N50" s="28" t="str">
        <f aca="false">IF(OR(M50="",E50=""),"",E50*M50)</f>
        <v/>
      </c>
      <c r="O50" s="28" t="str">
        <f aca="false">IF(OR(M50="",H50=""),"",H50*M50)</f>
        <v/>
      </c>
      <c r="P50" s="27" t="str">
        <f aca="false">IF(N50="","",IFERROR(N50/$J$4,0))</f>
        <v/>
      </c>
      <c r="Q50" s="65" t="str">
        <f aca="false">IF(OR(M50="",M50=0,L50=""),"",IF(AND(M50&gt;=$F$4,L50&gt;=$D$4),"스타 (유지·강조)",IF(M50&gt;=$F$4,"인기·저마진 (원가↓·가격↑ 검토)",IF(L50&gt;=$D$4,"고마진·비인기 (홍보 강화)","저인기·저마진 (정리 검토)"))))</f>
        <v/>
      </c>
    </row>
    <row r="51" customFormat="false" ht="15" hidden="false" customHeight="false" outlineLevel="0" collapsed="false">
      <c r="A51" s="14"/>
      <c r="B51" s="14"/>
      <c r="C51" s="10"/>
      <c r="D51" s="40"/>
      <c r="E51" s="28" t="str">
        <f aca="false">IF(D51="","",D51/1.1)</f>
        <v/>
      </c>
      <c r="F51" s="28" t="str">
        <f aca="false">IF(B51="","",SUMIF(레시피!$A$4:$A$603,B51,레시피!$F$4:$F$603))</f>
        <v/>
      </c>
      <c r="G51" s="28" t="str">
        <f aca="false">IF(B51="","",IF(C51="식재료",F51*기본설정!$C$7,0))</f>
        <v/>
      </c>
      <c r="H51" s="28" t="str">
        <f aca="false">IF(B51="","",F51+G51)</f>
        <v/>
      </c>
      <c r="I51" s="27" t="str">
        <f aca="false">IF(OR(B51="",D51=""),"",IFERROR(H51/E51,0))</f>
        <v/>
      </c>
      <c r="J51" s="27" t="str">
        <f aca="false">IF(B51="","",IF(C51="주류·음료",기본설정!$C$9,기본설정!$C$8))</f>
        <v/>
      </c>
      <c r="K51" s="13" t="str">
        <f aca="false">IF(B51="","",IF(D51="","판매가 미입력",IF(F51=0,"레시피 미입력",IF(I51&gt;J51+기본설정!$C$10,"위험",IF(I51&gt;J51,"주의","적정")))))</f>
        <v/>
      </c>
      <c r="L51" s="28" t="str">
        <f aca="false">IF(OR(B51="",D51=""),"",E51-H51)</f>
        <v/>
      </c>
      <c r="M51" s="43"/>
      <c r="N51" s="28" t="str">
        <f aca="false">IF(OR(M51="",E51=""),"",E51*M51)</f>
        <v/>
      </c>
      <c r="O51" s="28" t="str">
        <f aca="false">IF(OR(M51="",H51=""),"",H51*M51)</f>
        <v/>
      </c>
      <c r="P51" s="27" t="str">
        <f aca="false">IF(N51="","",IFERROR(N51/$J$4,0))</f>
        <v/>
      </c>
      <c r="Q51" s="65" t="str">
        <f aca="false">IF(OR(M51="",M51=0,L51=""),"",IF(AND(M51&gt;=$F$4,L51&gt;=$D$4),"스타 (유지·강조)",IF(M51&gt;=$F$4,"인기·저마진 (원가↓·가격↑ 검토)",IF(L51&gt;=$D$4,"고마진·비인기 (홍보 강화)","저인기·저마진 (정리 검토)"))))</f>
        <v/>
      </c>
    </row>
    <row r="52" customFormat="false" ht="15" hidden="false" customHeight="false" outlineLevel="0" collapsed="false">
      <c r="A52" s="14"/>
      <c r="B52" s="14"/>
      <c r="C52" s="10"/>
      <c r="D52" s="40"/>
      <c r="E52" s="28" t="str">
        <f aca="false">IF(D52="","",D52/1.1)</f>
        <v/>
      </c>
      <c r="F52" s="28" t="str">
        <f aca="false">IF(B52="","",SUMIF(레시피!$A$4:$A$603,B52,레시피!$F$4:$F$603))</f>
        <v/>
      </c>
      <c r="G52" s="28" t="str">
        <f aca="false">IF(B52="","",IF(C52="식재료",F52*기본설정!$C$7,0))</f>
        <v/>
      </c>
      <c r="H52" s="28" t="str">
        <f aca="false">IF(B52="","",F52+G52)</f>
        <v/>
      </c>
      <c r="I52" s="27" t="str">
        <f aca="false">IF(OR(B52="",D52=""),"",IFERROR(H52/E52,0))</f>
        <v/>
      </c>
      <c r="J52" s="27" t="str">
        <f aca="false">IF(B52="","",IF(C52="주류·음료",기본설정!$C$9,기본설정!$C$8))</f>
        <v/>
      </c>
      <c r="K52" s="13" t="str">
        <f aca="false">IF(B52="","",IF(D52="","판매가 미입력",IF(F52=0,"레시피 미입력",IF(I52&gt;J52+기본설정!$C$10,"위험",IF(I52&gt;J52,"주의","적정")))))</f>
        <v/>
      </c>
      <c r="L52" s="28" t="str">
        <f aca="false">IF(OR(B52="",D52=""),"",E52-H52)</f>
        <v/>
      </c>
      <c r="M52" s="43"/>
      <c r="N52" s="28" t="str">
        <f aca="false">IF(OR(M52="",E52=""),"",E52*M52)</f>
        <v/>
      </c>
      <c r="O52" s="28" t="str">
        <f aca="false">IF(OR(M52="",H52=""),"",H52*M52)</f>
        <v/>
      </c>
      <c r="P52" s="27" t="str">
        <f aca="false">IF(N52="","",IFERROR(N52/$J$4,0))</f>
        <v/>
      </c>
      <c r="Q52" s="65" t="str">
        <f aca="false">IF(OR(M52="",M52=0,L52=""),"",IF(AND(M52&gt;=$F$4,L52&gt;=$D$4),"스타 (유지·강조)",IF(M52&gt;=$F$4,"인기·저마진 (원가↓·가격↑ 검토)",IF(L52&gt;=$D$4,"고마진·비인기 (홍보 강화)","저인기·저마진 (정리 검토)"))))</f>
        <v/>
      </c>
    </row>
    <row r="53" customFormat="false" ht="15" hidden="false" customHeight="false" outlineLevel="0" collapsed="false">
      <c r="A53" s="14"/>
      <c r="B53" s="14"/>
      <c r="C53" s="10"/>
      <c r="D53" s="40"/>
      <c r="E53" s="28" t="str">
        <f aca="false">IF(D53="","",D53/1.1)</f>
        <v/>
      </c>
      <c r="F53" s="28" t="str">
        <f aca="false">IF(B53="","",SUMIF(레시피!$A$4:$A$603,B53,레시피!$F$4:$F$603))</f>
        <v/>
      </c>
      <c r="G53" s="28" t="str">
        <f aca="false">IF(B53="","",IF(C53="식재료",F53*기본설정!$C$7,0))</f>
        <v/>
      </c>
      <c r="H53" s="28" t="str">
        <f aca="false">IF(B53="","",F53+G53)</f>
        <v/>
      </c>
      <c r="I53" s="27" t="str">
        <f aca="false">IF(OR(B53="",D53=""),"",IFERROR(H53/E53,0))</f>
        <v/>
      </c>
      <c r="J53" s="27" t="str">
        <f aca="false">IF(B53="","",IF(C53="주류·음료",기본설정!$C$9,기본설정!$C$8))</f>
        <v/>
      </c>
      <c r="K53" s="13" t="str">
        <f aca="false">IF(B53="","",IF(D53="","판매가 미입력",IF(F53=0,"레시피 미입력",IF(I53&gt;J53+기본설정!$C$10,"위험",IF(I53&gt;J53,"주의","적정")))))</f>
        <v/>
      </c>
      <c r="L53" s="28" t="str">
        <f aca="false">IF(OR(B53="",D53=""),"",E53-H53)</f>
        <v/>
      </c>
      <c r="M53" s="43"/>
      <c r="N53" s="28" t="str">
        <f aca="false">IF(OR(M53="",E53=""),"",E53*M53)</f>
        <v/>
      </c>
      <c r="O53" s="28" t="str">
        <f aca="false">IF(OR(M53="",H53=""),"",H53*M53)</f>
        <v/>
      </c>
      <c r="P53" s="27" t="str">
        <f aca="false">IF(N53="","",IFERROR(N53/$J$4,0))</f>
        <v/>
      </c>
      <c r="Q53" s="65" t="str">
        <f aca="false">IF(OR(M53="",M53=0,L53=""),"",IF(AND(M53&gt;=$F$4,L53&gt;=$D$4),"스타 (유지·강조)",IF(M53&gt;=$F$4,"인기·저마진 (원가↓·가격↑ 검토)",IF(L53&gt;=$D$4,"고마진·비인기 (홍보 강화)","저인기·저마진 (정리 검토)"))))</f>
        <v/>
      </c>
    </row>
    <row r="54" customFormat="false" ht="15" hidden="false" customHeight="false" outlineLevel="0" collapsed="false">
      <c r="A54" s="14"/>
      <c r="B54" s="14"/>
      <c r="C54" s="10"/>
      <c r="D54" s="40"/>
      <c r="E54" s="28" t="str">
        <f aca="false">IF(D54="","",D54/1.1)</f>
        <v/>
      </c>
      <c r="F54" s="28" t="str">
        <f aca="false">IF(B54="","",SUMIF(레시피!$A$4:$A$603,B54,레시피!$F$4:$F$603))</f>
        <v/>
      </c>
      <c r="G54" s="28" t="str">
        <f aca="false">IF(B54="","",IF(C54="식재료",F54*기본설정!$C$7,0))</f>
        <v/>
      </c>
      <c r="H54" s="28" t="str">
        <f aca="false">IF(B54="","",F54+G54)</f>
        <v/>
      </c>
      <c r="I54" s="27" t="str">
        <f aca="false">IF(OR(B54="",D54=""),"",IFERROR(H54/E54,0))</f>
        <v/>
      </c>
      <c r="J54" s="27" t="str">
        <f aca="false">IF(B54="","",IF(C54="주류·음료",기본설정!$C$9,기본설정!$C$8))</f>
        <v/>
      </c>
      <c r="K54" s="13" t="str">
        <f aca="false">IF(B54="","",IF(D54="","판매가 미입력",IF(F54=0,"레시피 미입력",IF(I54&gt;J54+기본설정!$C$10,"위험",IF(I54&gt;J54,"주의","적정")))))</f>
        <v/>
      </c>
      <c r="L54" s="28" t="str">
        <f aca="false">IF(OR(B54="",D54=""),"",E54-H54)</f>
        <v/>
      </c>
      <c r="M54" s="43"/>
      <c r="N54" s="28" t="str">
        <f aca="false">IF(OR(M54="",E54=""),"",E54*M54)</f>
        <v/>
      </c>
      <c r="O54" s="28" t="str">
        <f aca="false">IF(OR(M54="",H54=""),"",H54*M54)</f>
        <v/>
      </c>
      <c r="P54" s="27" t="str">
        <f aca="false">IF(N54="","",IFERROR(N54/$J$4,0))</f>
        <v/>
      </c>
      <c r="Q54" s="65" t="str">
        <f aca="false">IF(OR(M54="",M54=0,L54=""),"",IF(AND(M54&gt;=$F$4,L54&gt;=$D$4),"스타 (유지·강조)",IF(M54&gt;=$F$4,"인기·저마진 (원가↓·가격↑ 검토)",IF(L54&gt;=$D$4,"고마진·비인기 (홍보 강화)","저인기·저마진 (정리 검토)"))))</f>
        <v/>
      </c>
    </row>
    <row r="55" customFormat="false" ht="15" hidden="false" customHeight="false" outlineLevel="0" collapsed="false">
      <c r="A55" s="14"/>
      <c r="B55" s="14"/>
      <c r="C55" s="10"/>
      <c r="D55" s="40"/>
      <c r="E55" s="28" t="str">
        <f aca="false">IF(D55="","",D55/1.1)</f>
        <v/>
      </c>
      <c r="F55" s="28" t="str">
        <f aca="false">IF(B55="","",SUMIF(레시피!$A$4:$A$603,B55,레시피!$F$4:$F$603))</f>
        <v/>
      </c>
      <c r="G55" s="28" t="str">
        <f aca="false">IF(B55="","",IF(C55="식재료",F55*기본설정!$C$7,0))</f>
        <v/>
      </c>
      <c r="H55" s="28" t="str">
        <f aca="false">IF(B55="","",F55+G55)</f>
        <v/>
      </c>
      <c r="I55" s="27" t="str">
        <f aca="false">IF(OR(B55="",D55=""),"",IFERROR(H55/E55,0))</f>
        <v/>
      </c>
      <c r="J55" s="27" t="str">
        <f aca="false">IF(B55="","",IF(C55="주류·음료",기본설정!$C$9,기본설정!$C$8))</f>
        <v/>
      </c>
      <c r="K55" s="13" t="str">
        <f aca="false">IF(B55="","",IF(D55="","판매가 미입력",IF(F55=0,"레시피 미입력",IF(I55&gt;J55+기본설정!$C$10,"위험",IF(I55&gt;J55,"주의","적정")))))</f>
        <v/>
      </c>
      <c r="L55" s="28" t="str">
        <f aca="false">IF(OR(B55="",D55=""),"",E55-H55)</f>
        <v/>
      </c>
      <c r="M55" s="43"/>
      <c r="N55" s="28" t="str">
        <f aca="false">IF(OR(M55="",E55=""),"",E55*M55)</f>
        <v/>
      </c>
      <c r="O55" s="28" t="str">
        <f aca="false">IF(OR(M55="",H55=""),"",H55*M55)</f>
        <v/>
      </c>
      <c r="P55" s="27" t="str">
        <f aca="false">IF(N55="","",IFERROR(N55/$J$4,0))</f>
        <v/>
      </c>
      <c r="Q55" s="65" t="str">
        <f aca="false">IF(OR(M55="",M55=0,L55=""),"",IF(AND(M55&gt;=$F$4,L55&gt;=$D$4),"스타 (유지·강조)",IF(M55&gt;=$F$4,"인기·저마진 (원가↓·가격↑ 검토)",IF(L55&gt;=$D$4,"고마진·비인기 (홍보 강화)","저인기·저마진 (정리 검토)"))))</f>
        <v/>
      </c>
    </row>
    <row r="56" customFormat="false" ht="15" hidden="false" customHeight="false" outlineLevel="0" collapsed="false">
      <c r="A56" s="14"/>
      <c r="B56" s="14"/>
      <c r="C56" s="10"/>
      <c r="D56" s="40"/>
      <c r="E56" s="28" t="str">
        <f aca="false">IF(D56="","",D56/1.1)</f>
        <v/>
      </c>
      <c r="F56" s="28" t="str">
        <f aca="false">IF(B56="","",SUMIF(레시피!$A$4:$A$603,B56,레시피!$F$4:$F$603))</f>
        <v/>
      </c>
      <c r="G56" s="28" t="str">
        <f aca="false">IF(B56="","",IF(C56="식재료",F56*기본설정!$C$7,0))</f>
        <v/>
      </c>
      <c r="H56" s="28" t="str">
        <f aca="false">IF(B56="","",F56+G56)</f>
        <v/>
      </c>
      <c r="I56" s="27" t="str">
        <f aca="false">IF(OR(B56="",D56=""),"",IFERROR(H56/E56,0))</f>
        <v/>
      </c>
      <c r="J56" s="27" t="str">
        <f aca="false">IF(B56="","",IF(C56="주류·음료",기본설정!$C$9,기본설정!$C$8))</f>
        <v/>
      </c>
      <c r="K56" s="13" t="str">
        <f aca="false">IF(B56="","",IF(D56="","판매가 미입력",IF(F56=0,"레시피 미입력",IF(I56&gt;J56+기본설정!$C$10,"위험",IF(I56&gt;J56,"주의","적정")))))</f>
        <v/>
      </c>
      <c r="L56" s="28" t="str">
        <f aca="false">IF(OR(B56="",D56=""),"",E56-H56)</f>
        <v/>
      </c>
      <c r="M56" s="43"/>
      <c r="N56" s="28" t="str">
        <f aca="false">IF(OR(M56="",E56=""),"",E56*M56)</f>
        <v/>
      </c>
      <c r="O56" s="28" t="str">
        <f aca="false">IF(OR(M56="",H56=""),"",H56*M56)</f>
        <v/>
      </c>
      <c r="P56" s="27" t="str">
        <f aca="false">IF(N56="","",IFERROR(N56/$J$4,0))</f>
        <v/>
      </c>
      <c r="Q56" s="65" t="str">
        <f aca="false">IF(OR(M56="",M56=0,L56=""),"",IF(AND(M56&gt;=$F$4,L56&gt;=$D$4),"스타 (유지·강조)",IF(M56&gt;=$F$4,"인기·저마진 (원가↓·가격↑ 검토)",IF(L56&gt;=$D$4,"고마진·비인기 (홍보 강화)","저인기·저마진 (정리 검토)"))))</f>
        <v/>
      </c>
    </row>
    <row r="57" customFormat="false" ht="15" hidden="false" customHeight="false" outlineLevel="0" collapsed="false">
      <c r="A57" s="14"/>
      <c r="B57" s="14"/>
      <c r="C57" s="10"/>
      <c r="D57" s="40"/>
      <c r="E57" s="28" t="str">
        <f aca="false">IF(D57="","",D57/1.1)</f>
        <v/>
      </c>
      <c r="F57" s="28" t="str">
        <f aca="false">IF(B57="","",SUMIF(레시피!$A$4:$A$603,B57,레시피!$F$4:$F$603))</f>
        <v/>
      </c>
      <c r="G57" s="28" t="str">
        <f aca="false">IF(B57="","",IF(C57="식재료",F57*기본설정!$C$7,0))</f>
        <v/>
      </c>
      <c r="H57" s="28" t="str">
        <f aca="false">IF(B57="","",F57+G57)</f>
        <v/>
      </c>
      <c r="I57" s="27" t="str">
        <f aca="false">IF(OR(B57="",D57=""),"",IFERROR(H57/E57,0))</f>
        <v/>
      </c>
      <c r="J57" s="27" t="str">
        <f aca="false">IF(B57="","",IF(C57="주류·음료",기본설정!$C$9,기본설정!$C$8))</f>
        <v/>
      </c>
      <c r="K57" s="13" t="str">
        <f aca="false">IF(B57="","",IF(D57="","판매가 미입력",IF(F57=0,"레시피 미입력",IF(I57&gt;J57+기본설정!$C$10,"위험",IF(I57&gt;J57,"주의","적정")))))</f>
        <v/>
      </c>
      <c r="L57" s="28" t="str">
        <f aca="false">IF(OR(B57="",D57=""),"",E57-H57)</f>
        <v/>
      </c>
      <c r="M57" s="43"/>
      <c r="N57" s="28" t="str">
        <f aca="false">IF(OR(M57="",E57=""),"",E57*M57)</f>
        <v/>
      </c>
      <c r="O57" s="28" t="str">
        <f aca="false">IF(OR(M57="",H57=""),"",H57*M57)</f>
        <v/>
      </c>
      <c r="P57" s="27" t="str">
        <f aca="false">IF(N57="","",IFERROR(N57/$J$4,0))</f>
        <v/>
      </c>
      <c r="Q57" s="65" t="str">
        <f aca="false">IF(OR(M57="",M57=0,L57=""),"",IF(AND(M57&gt;=$F$4,L57&gt;=$D$4),"스타 (유지·강조)",IF(M57&gt;=$F$4,"인기·저마진 (원가↓·가격↑ 검토)",IF(L57&gt;=$D$4,"고마진·비인기 (홍보 강화)","저인기·저마진 (정리 검토)"))))</f>
        <v/>
      </c>
    </row>
    <row r="58" customFormat="false" ht="15" hidden="false" customHeight="false" outlineLevel="0" collapsed="false">
      <c r="A58" s="14"/>
      <c r="B58" s="14"/>
      <c r="C58" s="10"/>
      <c r="D58" s="40"/>
      <c r="E58" s="28" t="str">
        <f aca="false">IF(D58="","",D58/1.1)</f>
        <v/>
      </c>
      <c r="F58" s="28" t="str">
        <f aca="false">IF(B58="","",SUMIF(레시피!$A$4:$A$603,B58,레시피!$F$4:$F$603))</f>
        <v/>
      </c>
      <c r="G58" s="28" t="str">
        <f aca="false">IF(B58="","",IF(C58="식재료",F58*기본설정!$C$7,0))</f>
        <v/>
      </c>
      <c r="H58" s="28" t="str">
        <f aca="false">IF(B58="","",F58+G58)</f>
        <v/>
      </c>
      <c r="I58" s="27" t="str">
        <f aca="false">IF(OR(B58="",D58=""),"",IFERROR(H58/E58,0))</f>
        <v/>
      </c>
      <c r="J58" s="27" t="str">
        <f aca="false">IF(B58="","",IF(C58="주류·음료",기본설정!$C$9,기본설정!$C$8))</f>
        <v/>
      </c>
      <c r="K58" s="13" t="str">
        <f aca="false">IF(B58="","",IF(D58="","판매가 미입력",IF(F58=0,"레시피 미입력",IF(I58&gt;J58+기본설정!$C$10,"위험",IF(I58&gt;J58,"주의","적정")))))</f>
        <v/>
      </c>
      <c r="L58" s="28" t="str">
        <f aca="false">IF(OR(B58="",D58=""),"",E58-H58)</f>
        <v/>
      </c>
      <c r="M58" s="43"/>
      <c r="N58" s="28" t="str">
        <f aca="false">IF(OR(M58="",E58=""),"",E58*M58)</f>
        <v/>
      </c>
      <c r="O58" s="28" t="str">
        <f aca="false">IF(OR(M58="",H58=""),"",H58*M58)</f>
        <v/>
      </c>
      <c r="P58" s="27" t="str">
        <f aca="false">IF(N58="","",IFERROR(N58/$J$4,0))</f>
        <v/>
      </c>
      <c r="Q58" s="65" t="str">
        <f aca="false">IF(OR(M58="",M58=0,L58=""),"",IF(AND(M58&gt;=$F$4,L58&gt;=$D$4),"스타 (유지·강조)",IF(M58&gt;=$F$4,"인기·저마진 (원가↓·가격↑ 검토)",IF(L58&gt;=$D$4,"고마진·비인기 (홍보 강화)","저인기·저마진 (정리 검토)"))))</f>
        <v/>
      </c>
    </row>
    <row r="59" customFormat="false" ht="15" hidden="false" customHeight="false" outlineLevel="0" collapsed="false">
      <c r="A59" s="14"/>
      <c r="B59" s="14"/>
      <c r="C59" s="10"/>
      <c r="D59" s="40"/>
      <c r="E59" s="28" t="str">
        <f aca="false">IF(D59="","",D59/1.1)</f>
        <v/>
      </c>
      <c r="F59" s="28" t="str">
        <f aca="false">IF(B59="","",SUMIF(레시피!$A$4:$A$603,B59,레시피!$F$4:$F$603))</f>
        <v/>
      </c>
      <c r="G59" s="28" t="str">
        <f aca="false">IF(B59="","",IF(C59="식재료",F59*기본설정!$C$7,0))</f>
        <v/>
      </c>
      <c r="H59" s="28" t="str">
        <f aca="false">IF(B59="","",F59+G59)</f>
        <v/>
      </c>
      <c r="I59" s="27" t="str">
        <f aca="false">IF(OR(B59="",D59=""),"",IFERROR(H59/E59,0))</f>
        <v/>
      </c>
      <c r="J59" s="27" t="str">
        <f aca="false">IF(B59="","",IF(C59="주류·음료",기본설정!$C$9,기본설정!$C$8))</f>
        <v/>
      </c>
      <c r="K59" s="13" t="str">
        <f aca="false">IF(B59="","",IF(D59="","판매가 미입력",IF(F59=0,"레시피 미입력",IF(I59&gt;J59+기본설정!$C$10,"위험",IF(I59&gt;J59,"주의","적정")))))</f>
        <v/>
      </c>
      <c r="L59" s="28" t="str">
        <f aca="false">IF(OR(B59="",D59=""),"",E59-H59)</f>
        <v/>
      </c>
      <c r="M59" s="43"/>
      <c r="N59" s="28" t="str">
        <f aca="false">IF(OR(M59="",E59=""),"",E59*M59)</f>
        <v/>
      </c>
      <c r="O59" s="28" t="str">
        <f aca="false">IF(OR(M59="",H59=""),"",H59*M59)</f>
        <v/>
      </c>
      <c r="P59" s="27" t="str">
        <f aca="false">IF(N59="","",IFERROR(N59/$J$4,0))</f>
        <v/>
      </c>
      <c r="Q59" s="65" t="str">
        <f aca="false">IF(OR(M59="",M59=0,L59=""),"",IF(AND(M59&gt;=$F$4,L59&gt;=$D$4),"스타 (유지·강조)",IF(M59&gt;=$F$4,"인기·저마진 (원가↓·가격↑ 검토)",IF(L59&gt;=$D$4,"고마진·비인기 (홍보 강화)","저인기·저마진 (정리 검토)"))))</f>
        <v/>
      </c>
    </row>
    <row r="60" customFormat="false" ht="15" hidden="false" customHeight="false" outlineLevel="0" collapsed="false">
      <c r="A60" s="14"/>
      <c r="B60" s="14"/>
      <c r="C60" s="10"/>
      <c r="D60" s="40"/>
      <c r="E60" s="28" t="str">
        <f aca="false">IF(D60="","",D60/1.1)</f>
        <v/>
      </c>
      <c r="F60" s="28" t="str">
        <f aca="false">IF(B60="","",SUMIF(레시피!$A$4:$A$603,B60,레시피!$F$4:$F$603))</f>
        <v/>
      </c>
      <c r="G60" s="28" t="str">
        <f aca="false">IF(B60="","",IF(C60="식재료",F60*기본설정!$C$7,0))</f>
        <v/>
      </c>
      <c r="H60" s="28" t="str">
        <f aca="false">IF(B60="","",F60+G60)</f>
        <v/>
      </c>
      <c r="I60" s="27" t="str">
        <f aca="false">IF(OR(B60="",D60=""),"",IFERROR(H60/E60,0))</f>
        <v/>
      </c>
      <c r="J60" s="27" t="str">
        <f aca="false">IF(B60="","",IF(C60="주류·음료",기본설정!$C$9,기본설정!$C$8))</f>
        <v/>
      </c>
      <c r="K60" s="13" t="str">
        <f aca="false">IF(B60="","",IF(D60="","판매가 미입력",IF(F60=0,"레시피 미입력",IF(I60&gt;J60+기본설정!$C$10,"위험",IF(I60&gt;J60,"주의","적정")))))</f>
        <v/>
      </c>
      <c r="L60" s="28" t="str">
        <f aca="false">IF(OR(B60="",D60=""),"",E60-H60)</f>
        <v/>
      </c>
      <c r="M60" s="43"/>
      <c r="N60" s="28" t="str">
        <f aca="false">IF(OR(M60="",E60=""),"",E60*M60)</f>
        <v/>
      </c>
      <c r="O60" s="28" t="str">
        <f aca="false">IF(OR(M60="",H60=""),"",H60*M60)</f>
        <v/>
      </c>
      <c r="P60" s="27" t="str">
        <f aca="false">IF(N60="","",IFERROR(N60/$J$4,0))</f>
        <v/>
      </c>
      <c r="Q60" s="65" t="str">
        <f aca="false">IF(OR(M60="",M60=0,L60=""),"",IF(AND(M60&gt;=$F$4,L60&gt;=$D$4),"스타 (유지·강조)",IF(M60&gt;=$F$4,"인기·저마진 (원가↓·가격↑ 검토)",IF(L60&gt;=$D$4,"고마진·비인기 (홍보 강화)","저인기·저마진 (정리 검토)"))))</f>
        <v/>
      </c>
    </row>
    <row r="61" customFormat="false" ht="15" hidden="false" customHeight="false" outlineLevel="0" collapsed="false">
      <c r="A61" s="14"/>
      <c r="B61" s="14"/>
      <c r="C61" s="10"/>
      <c r="D61" s="40"/>
      <c r="E61" s="28" t="str">
        <f aca="false">IF(D61="","",D61/1.1)</f>
        <v/>
      </c>
      <c r="F61" s="28" t="str">
        <f aca="false">IF(B61="","",SUMIF(레시피!$A$4:$A$603,B61,레시피!$F$4:$F$603))</f>
        <v/>
      </c>
      <c r="G61" s="28" t="str">
        <f aca="false">IF(B61="","",IF(C61="식재료",F61*기본설정!$C$7,0))</f>
        <v/>
      </c>
      <c r="H61" s="28" t="str">
        <f aca="false">IF(B61="","",F61+G61)</f>
        <v/>
      </c>
      <c r="I61" s="27" t="str">
        <f aca="false">IF(OR(B61="",D61=""),"",IFERROR(H61/E61,0))</f>
        <v/>
      </c>
      <c r="J61" s="27" t="str">
        <f aca="false">IF(B61="","",IF(C61="주류·음료",기본설정!$C$9,기본설정!$C$8))</f>
        <v/>
      </c>
      <c r="K61" s="13" t="str">
        <f aca="false">IF(B61="","",IF(D61="","판매가 미입력",IF(F61=0,"레시피 미입력",IF(I61&gt;J61+기본설정!$C$10,"위험",IF(I61&gt;J61,"주의","적정")))))</f>
        <v/>
      </c>
      <c r="L61" s="28" t="str">
        <f aca="false">IF(OR(B61="",D61=""),"",E61-H61)</f>
        <v/>
      </c>
      <c r="M61" s="43"/>
      <c r="N61" s="28" t="str">
        <f aca="false">IF(OR(M61="",E61=""),"",E61*M61)</f>
        <v/>
      </c>
      <c r="O61" s="28" t="str">
        <f aca="false">IF(OR(M61="",H61=""),"",H61*M61)</f>
        <v/>
      </c>
      <c r="P61" s="27" t="str">
        <f aca="false">IF(N61="","",IFERROR(N61/$J$4,0))</f>
        <v/>
      </c>
      <c r="Q61" s="65" t="str">
        <f aca="false">IF(OR(M61="",M61=0,L61=""),"",IF(AND(M61&gt;=$F$4,L61&gt;=$D$4),"스타 (유지·강조)",IF(M61&gt;=$F$4,"인기·저마진 (원가↓·가격↑ 검토)",IF(L61&gt;=$D$4,"고마진·비인기 (홍보 강화)","저인기·저마진 (정리 검토)"))))</f>
        <v/>
      </c>
    </row>
    <row r="62" customFormat="false" ht="15" hidden="false" customHeight="false" outlineLevel="0" collapsed="false">
      <c r="A62" s="14"/>
      <c r="B62" s="14"/>
      <c r="C62" s="10"/>
      <c r="D62" s="40"/>
      <c r="E62" s="28" t="str">
        <f aca="false">IF(D62="","",D62/1.1)</f>
        <v/>
      </c>
      <c r="F62" s="28" t="str">
        <f aca="false">IF(B62="","",SUMIF(레시피!$A$4:$A$603,B62,레시피!$F$4:$F$603))</f>
        <v/>
      </c>
      <c r="G62" s="28" t="str">
        <f aca="false">IF(B62="","",IF(C62="식재료",F62*기본설정!$C$7,0))</f>
        <v/>
      </c>
      <c r="H62" s="28" t="str">
        <f aca="false">IF(B62="","",F62+G62)</f>
        <v/>
      </c>
      <c r="I62" s="27" t="str">
        <f aca="false">IF(OR(B62="",D62=""),"",IFERROR(H62/E62,0))</f>
        <v/>
      </c>
      <c r="J62" s="27" t="str">
        <f aca="false">IF(B62="","",IF(C62="주류·음료",기본설정!$C$9,기본설정!$C$8))</f>
        <v/>
      </c>
      <c r="K62" s="13" t="str">
        <f aca="false">IF(B62="","",IF(D62="","판매가 미입력",IF(F62=0,"레시피 미입력",IF(I62&gt;J62+기본설정!$C$10,"위험",IF(I62&gt;J62,"주의","적정")))))</f>
        <v/>
      </c>
      <c r="L62" s="28" t="str">
        <f aca="false">IF(OR(B62="",D62=""),"",E62-H62)</f>
        <v/>
      </c>
      <c r="M62" s="43"/>
      <c r="N62" s="28" t="str">
        <f aca="false">IF(OR(M62="",E62=""),"",E62*M62)</f>
        <v/>
      </c>
      <c r="O62" s="28" t="str">
        <f aca="false">IF(OR(M62="",H62=""),"",H62*M62)</f>
        <v/>
      </c>
      <c r="P62" s="27" t="str">
        <f aca="false">IF(N62="","",IFERROR(N62/$J$4,0))</f>
        <v/>
      </c>
      <c r="Q62" s="65" t="str">
        <f aca="false">IF(OR(M62="",M62=0,L62=""),"",IF(AND(M62&gt;=$F$4,L62&gt;=$D$4),"스타 (유지·강조)",IF(M62&gt;=$F$4,"인기·저마진 (원가↓·가격↑ 검토)",IF(L62&gt;=$D$4,"고마진·비인기 (홍보 강화)","저인기·저마진 (정리 검토)"))))</f>
        <v/>
      </c>
    </row>
    <row r="63" customFormat="false" ht="15" hidden="false" customHeight="false" outlineLevel="0" collapsed="false">
      <c r="A63" s="14"/>
      <c r="B63" s="14"/>
      <c r="C63" s="10"/>
      <c r="D63" s="40"/>
      <c r="E63" s="28" t="str">
        <f aca="false">IF(D63="","",D63/1.1)</f>
        <v/>
      </c>
      <c r="F63" s="28" t="str">
        <f aca="false">IF(B63="","",SUMIF(레시피!$A$4:$A$603,B63,레시피!$F$4:$F$603))</f>
        <v/>
      </c>
      <c r="G63" s="28" t="str">
        <f aca="false">IF(B63="","",IF(C63="식재료",F63*기본설정!$C$7,0))</f>
        <v/>
      </c>
      <c r="H63" s="28" t="str">
        <f aca="false">IF(B63="","",F63+G63)</f>
        <v/>
      </c>
      <c r="I63" s="27" t="str">
        <f aca="false">IF(OR(B63="",D63=""),"",IFERROR(H63/E63,0))</f>
        <v/>
      </c>
      <c r="J63" s="27" t="str">
        <f aca="false">IF(B63="","",IF(C63="주류·음료",기본설정!$C$9,기본설정!$C$8))</f>
        <v/>
      </c>
      <c r="K63" s="13" t="str">
        <f aca="false">IF(B63="","",IF(D63="","판매가 미입력",IF(F63=0,"레시피 미입력",IF(I63&gt;J63+기본설정!$C$10,"위험",IF(I63&gt;J63,"주의","적정")))))</f>
        <v/>
      </c>
      <c r="L63" s="28" t="str">
        <f aca="false">IF(OR(B63="",D63=""),"",E63-H63)</f>
        <v/>
      </c>
      <c r="M63" s="43"/>
      <c r="N63" s="28" t="str">
        <f aca="false">IF(OR(M63="",E63=""),"",E63*M63)</f>
        <v/>
      </c>
      <c r="O63" s="28" t="str">
        <f aca="false">IF(OR(M63="",H63=""),"",H63*M63)</f>
        <v/>
      </c>
      <c r="P63" s="27" t="str">
        <f aca="false">IF(N63="","",IFERROR(N63/$J$4,0))</f>
        <v/>
      </c>
      <c r="Q63" s="65" t="str">
        <f aca="false">IF(OR(M63="",M63=0,L63=""),"",IF(AND(M63&gt;=$F$4,L63&gt;=$D$4),"스타 (유지·강조)",IF(M63&gt;=$F$4,"인기·저마진 (원가↓·가격↑ 검토)",IF(L63&gt;=$D$4,"고마진·비인기 (홍보 강화)","저인기·저마진 (정리 검토)"))))</f>
        <v/>
      </c>
    </row>
    <row r="64" customFormat="false" ht="15" hidden="false" customHeight="false" outlineLevel="0" collapsed="false">
      <c r="A64" s="14"/>
      <c r="B64" s="14"/>
      <c r="C64" s="10"/>
      <c r="D64" s="40"/>
      <c r="E64" s="28" t="str">
        <f aca="false">IF(D64="","",D64/1.1)</f>
        <v/>
      </c>
      <c r="F64" s="28" t="str">
        <f aca="false">IF(B64="","",SUMIF(레시피!$A$4:$A$603,B64,레시피!$F$4:$F$603))</f>
        <v/>
      </c>
      <c r="G64" s="28" t="str">
        <f aca="false">IF(B64="","",IF(C64="식재료",F64*기본설정!$C$7,0))</f>
        <v/>
      </c>
      <c r="H64" s="28" t="str">
        <f aca="false">IF(B64="","",F64+G64)</f>
        <v/>
      </c>
      <c r="I64" s="27" t="str">
        <f aca="false">IF(OR(B64="",D64=""),"",IFERROR(H64/E64,0))</f>
        <v/>
      </c>
      <c r="J64" s="27" t="str">
        <f aca="false">IF(B64="","",IF(C64="주류·음료",기본설정!$C$9,기본설정!$C$8))</f>
        <v/>
      </c>
      <c r="K64" s="13" t="str">
        <f aca="false">IF(B64="","",IF(D64="","판매가 미입력",IF(F64=0,"레시피 미입력",IF(I64&gt;J64+기본설정!$C$10,"위험",IF(I64&gt;J64,"주의","적정")))))</f>
        <v/>
      </c>
      <c r="L64" s="28" t="str">
        <f aca="false">IF(OR(B64="",D64=""),"",E64-H64)</f>
        <v/>
      </c>
      <c r="M64" s="43"/>
      <c r="N64" s="28" t="str">
        <f aca="false">IF(OR(M64="",E64=""),"",E64*M64)</f>
        <v/>
      </c>
      <c r="O64" s="28" t="str">
        <f aca="false">IF(OR(M64="",H64=""),"",H64*M64)</f>
        <v/>
      </c>
      <c r="P64" s="27" t="str">
        <f aca="false">IF(N64="","",IFERROR(N64/$J$4,0))</f>
        <v/>
      </c>
      <c r="Q64" s="65" t="str">
        <f aca="false">IF(OR(M64="",M64=0,L64=""),"",IF(AND(M64&gt;=$F$4,L64&gt;=$D$4),"스타 (유지·강조)",IF(M64&gt;=$F$4,"인기·저마진 (원가↓·가격↑ 검토)",IF(L64&gt;=$D$4,"고마진·비인기 (홍보 강화)","저인기·저마진 (정리 검토)"))))</f>
        <v/>
      </c>
    </row>
    <row r="65" customFormat="false" ht="15" hidden="false" customHeight="false" outlineLevel="0" collapsed="false">
      <c r="A65" s="14"/>
      <c r="B65" s="14"/>
      <c r="C65" s="10"/>
      <c r="D65" s="40"/>
      <c r="E65" s="28" t="str">
        <f aca="false">IF(D65="","",D65/1.1)</f>
        <v/>
      </c>
      <c r="F65" s="28" t="str">
        <f aca="false">IF(B65="","",SUMIF(레시피!$A$4:$A$603,B65,레시피!$F$4:$F$603))</f>
        <v/>
      </c>
      <c r="G65" s="28" t="str">
        <f aca="false">IF(B65="","",IF(C65="식재료",F65*기본설정!$C$7,0))</f>
        <v/>
      </c>
      <c r="H65" s="28" t="str">
        <f aca="false">IF(B65="","",F65+G65)</f>
        <v/>
      </c>
      <c r="I65" s="27" t="str">
        <f aca="false">IF(OR(B65="",D65=""),"",IFERROR(H65/E65,0))</f>
        <v/>
      </c>
      <c r="J65" s="27" t="str">
        <f aca="false">IF(B65="","",IF(C65="주류·음료",기본설정!$C$9,기본설정!$C$8))</f>
        <v/>
      </c>
      <c r="K65" s="13" t="str">
        <f aca="false">IF(B65="","",IF(D65="","판매가 미입력",IF(F65=0,"레시피 미입력",IF(I65&gt;J65+기본설정!$C$10,"위험",IF(I65&gt;J65,"주의","적정")))))</f>
        <v/>
      </c>
      <c r="L65" s="28" t="str">
        <f aca="false">IF(OR(B65="",D65=""),"",E65-H65)</f>
        <v/>
      </c>
      <c r="M65" s="43"/>
      <c r="N65" s="28" t="str">
        <f aca="false">IF(OR(M65="",E65=""),"",E65*M65)</f>
        <v/>
      </c>
      <c r="O65" s="28" t="str">
        <f aca="false">IF(OR(M65="",H65=""),"",H65*M65)</f>
        <v/>
      </c>
      <c r="P65" s="27" t="str">
        <f aca="false">IF(N65="","",IFERROR(N65/$J$4,0))</f>
        <v/>
      </c>
      <c r="Q65" s="65" t="str">
        <f aca="false">IF(OR(M65="",M65=0,L65=""),"",IF(AND(M65&gt;=$F$4,L65&gt;=$D$4),"스타 (유지·강조)",IF(M65&gt;=$F$4,"인기·저마진 (원가↓·가격↑ 검토)",IF(L65&gt;=$D$4,"고마진·비인기 (홍보 강화)","저인기·저마진 (정리 검토)"))))</f>
        <v/>
      </c>
    </row>
    <row r="67" customFormat="false" ht="15" hidden="false" customHeight="false" outlineLevel="0" collapsed="false">
      <c r="A67" s="2" t="s">
        <v>679</v>
      </c>
    </row>
  </sheetData>
  <autoFilter ref="A5:Q65"/>
  <conditionalFormatting sqref="K6:K65">
    <cfRule type="expression" priority="2" aboveAverage="0" equalAverage="0" bottom="0" percent="0" rank="0" text="" dxfId="3">
      <formula>ISNUMBER(SEARCH("위험",K6))</formula>
    </cfRule>
    <cfRule type="expression" priority="3" aboveAverage="0" equalAverage="0" bottom="0" percent="0" rank="0" text="" dxfId="4">
      <formula>ISNUMBER(SEARCH("주의",K6))</formula>
    </cfRule>
    <cfRule type="expression" priority="4" aboveAverage="0" equalAverage="0" bottom="0" percent="0" rank="0" text="" dxfId="5">
      <formula>ISNUMBER(SEARCH("적정",K6))</formula>
    </cfRule>
    <cfRule type="expression" priority="5" aboveAverage="0" equalAverage="0" bottom="0" percent="0" rank="0" text="" dxfId="22">
      <formula>ISNUMBER(SEARCH("미입력",K6))</formula>
    </cfRule>
  </conditionalFormatting>
  <conditionalFormatting sqref="Q6:Q65">
    <cfRule type="expression" priority="6" aboveAverage="0" equalAverage="0" bottom="0" percent="0" rank="0" text="" dxfId="2">
      <formula>LEFT(Q6,2)="스타"</formula>
    </cfRule>
    <cfRule type="expression" priority="7" aboveAverage="0" equalAverage="0" bottom="0" percent="0" rank="0" text="" dxfId="1">
      <formula>LEFT(Q6,3)="저인기"</formula>
    </cfRule>
  </conditionalFormatting>
  <dataValidations count="1">
    <dataValidation allowBlank="true" errorStyle="stop" operator="between" showDropDown="false" showErrorMessage="true" showInputMessage="false" sqref="C6:C65" type="list">
      <formula1>"식재료,주류·음료"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8"/>
    <col collapsed="false" customWidth="true" hidden="false" outlineLevel="0" max="12" min="12" style="0" width="10"/>
    <col collapsed="false" customWidth="true" hidden="false" outlineLevel="0" max="13" min="13" style="0" width="24"/>
  </cols>
  <sheetData>
    <row r="1" customFormat="false" ht="27.75" hidden="false" customHeight="true" outlineLevel="0" collapsed="false">
      <c r="A1" s="1" t="s">
        <v>15</v>
      </c>
    </row>
    <row r="2" customFormat="false" ht="15" hidden="false" customHeight="false" outlineLevel="0" collapsed="false">
      <c r="A2" s="2" t="s">
        <v>680</v>
      </c>
    </row>
    <row r="3" customFormat="false" ht="39.75" hidden="false" customHeight="true" outlineLevel="0" collapsed="false">
      <c r="A3" s="11" t="s">
        <v>681</v>
      </c>
      <c r="B3" s="11" t="s">
        <v>66</v>
      </c>
      <c r="C3" s="11" t="s">
        <v>86</v>
      </c>
      <c r="D3" s="11" t="s">
        <v>102</v>
      </c>
      <c r="E3" s="11" t="s">
        <v>682</v>
      </c>
      <c r="F3" s="11" t="s">
        <v>683</v>
      </c>
      <c r="G3" s="11" t="s">
        <v>378</v>
      </c>
      <c r="H3" s="11" t="s">
        <v>684</v>
      </c>
      <c r="I3" s="11" t="s">
        <v>323</v>
      </c>
      <c r="J3" s="11" t="s">
        <v>393</v>
      </c>
      <c r="K3" s="11" t="s">
        <v>685</v>
      </c>
      <c r="L3" s="11" t="s">
        <v>394</v>
      </c>
      <c r="M3" s="11" t="s">
        <v>686</v>
      </c>
    </row>
    <row r="4" customFormat="false" ht="15" hidden="false" customHeight="false" outlineLevel="0" collapsed="false">
      <c r="A4" s="73" t="n">
        <v>46296</v>
      </c>
      <c r="B4" s="10" t="s">
        <v>89</v>
      </c>
      <c r="C4" s="50" t="n">
        <v>1850000</v>
      </c>
      <c r="D4" s="50" t="n">
        <v>120000</v>
      </c>
      <c r="E4" s="50" t="n">
        <v>80000</v>
      </c>
      <c r="F4" s="50" t="n">
        <v>250000</v>
      </c>
      <c r="G4" s="28" t="n">
        <f aca="false">IF(COUNT(C4:F4)=0,"",SUM(C4:F4))</f>
        <v>2300000</v>
      </c>
      <c r="H4" s="50" t="n">
        <v>520000</v>
      </c>
      <c r="I4" s="28" t="n">
        <f aca="false">IF(G4="","",G4-N(H4))</f>
        <v>1780000</v>
      </c>
      <c r="J4" s="40" t="n">
        <v>62</v>
      </c>
      <c r="K4" s="40" t="n">
        <v>19</v>
      </c>
      <c r="L4" s="28" t="n">
        <f aca="false">IF(OR(G4="",J4="",J4=0),"",G4/J4)</f>
        <v>37096.7741935484</v>
      </c>
      <c r="M4" s="80" t="s">
        <v>687</v>
      </c>
    </row>
    <row r="5" customFormat="false" ht="15" hidden="false" customHeight="false" outlineLevel="0" collapsed="false">
      <c r="A5" s="73"/>
      <c r="B5" s="10"/>
      <c r="C5" s="50"/>
      <c r="D5" s="50"/>
      <c r="E5" s="50"/>
      <c r="F5" s="50"/>
      <c r="G5" s="28" t="str">
        <f aca="false">IF(COUNT(C5:F5)=0,"",SUM(C5:F5))</f>
        <v/>
      </c>
      <c r="H5" s="50"/>
      <c r="I5" s="28" t="str">
        <f aca="false">IF(G5="","",G5-N(H5))</f>
        <v/>
      </c>
      <c r="J5" s="40"/>
      <c r="K5" s="40"/>
      <c r="L5" s="28" t="str">
        <f aca="false">IF(OR(G5="",J5="",J5=0),"",G5/J5)</f>
        <v/>
      </c>
      <c r="M5" s="80"/>
    </row>
    <row r="6" customFormat="false" ht="15" hidden="false" customHeight="false" outlineLevel="0" collapsed="false">
      <c r="A6" s="73"/>
      <c r="B6" s="10"/>
      <c r="C6" s="50"/>
      <c r="D6" s="50"/>
      <c r="E6" s="50"/>
      <c r="F6" s="50"/>
      <c r="G6" s="28" t="str">
        <f aca="false">IF(COUNT(C6:F6)=0,"",SUM(C6:F6))</f>
        <v/>
      </c>
      <c r="H6" s="50"/>
      <c r="I6" s="28" t="str">
        <f aca="false">IF(G6="","",G6-N(H6))</f>
        <v/>
      </c>
      <c r="J6" s="40"/>
      <c r="K6" s="40"/>
      <c r="L6" s="28" t="str">
        <f aca="false">IF(OR(G6="",J6="",J6=0),"",G6/J6)</f>
        <v/>
      </c>
      <c r="M6" s="80"/>
    </row>
    <row r="7" customFormat="false" ht="15" hidden="false" customHeight="false" outlineLevel="0" collapsed="false">
      <c r="A7" s="73"/>
      <c r="B7" s="10"/>
      <c r="C7" s="50"/>
      <c r="D7" s="50"/>
      <c r="E7" s="50"/>
      <c r="F7" s="50"/>
      <c r="G7" s="28" t="str">
        <f aca="false">IF(COUNT(C7:F7)=0,"",SUM(C7:F7))</f>
        <v/>
      </c>
      <c r="H7" s="50"/>
      <c r="I7" s="28" t="str">
        <f aca="false">IF(G7="","",G7-N(H7))</f>
        <v/>
      </c>
      <c r="J7" s="40"/>
      <c r="K7" s="40"/>
      <c r="L7" s="28" t="str">
        <f aca="false">IF(OR(G7="",J7="",J7=0),"",G7/J7)</f>
        <v/>
      </c>
      <c r="M7" s="80"/>
    </row>
    <row r="8" customFormat="false" ht="15" hidden="false" customHeight="false" outlineLevel="0" collapsed="false">
      <c r="A8" s="73"/>
      <c r="B8" s="10"/>
      <c r="C8" s="50"/>
      <c r="D8" s="50"/>
      <c r="E8" s="50"/>
      <c r="F8" s="50"/>
      <c r="G8" s="28" t="str">
        <f aca="false">IF(COUNT(C8:F8)=0,"",SUM(C8:F8))</f>
        <v/>
      </c>
      <c r="H8" s="50"/>
      <c r="I8" s="28" t="str">
        <f aca="false">IF(G8="","",G8-N(H8))</f>
        <v/>
      </c>
      <c r="J8" s="40"/>
      <c r="K8" s="40"/>
      <c r="L8" s="28" t="str">
        <f aca="false">IF(OR(G8="",J8="",J8=0),"",G8/J8)</f>
        <v/>
      </c>
      <c r="M8" s="80"/>
    </row>
    <row r="9" customFormat="false" ht="15" hidden="false" customHeight="false" outlineLevel="0" collapsed="false">
      <c r="A9" s="73"/>
      <c r="B9" s="10"/>
      <c r="C9" s="50"/>
      <c r="D9" s="50"/>
      <c r="E9" s="50"/>
      <c r="F9" s="50"/>
      <c r="G9" s="28" t="str">
        <f aca="false">IF(COUNT(C9:F9)=0,"",SUM(C9:F9))</f>
        <v/>
      </c>
      <c r="H9" s="50"/>
      <c r="I9" s="28" t="str">
        <f aca="false">IF(G9="","",G9-N(H9))</f>
        <v/>
      </c>
      <c r="J9" s="40"/>
      <c r="K9" s="40"/>
      <c r="L9" s="28" t="str">
        <f aca="false">IF(OR(G9="",J9="",J9=0),"",G9/J9)</f>
        <v/>
      </c>
      <c r="M9" s="80"/>
    </row>
    <row r="10" customFormat="false" ht="15" hidden="false" customHeight="false" outlineLevel="0" collapsed="false">
      <c r="A10" s="73"/>
      <c r="B10" s="10"/>
      <c r="C10" s="50"/>
      <c r="D10" s="50"/>
      <c r="E10" s="50"/>
      <c r="F10" s="50"/>
      <c r="G10" s="28" t="str">
        <f aca="false">IF(COUNT(C10:F10)=0,"",SUM(C10:F10))</f>
        <v/>
      </c>
      <c r="H10" s="50"/>
      <c r="I10" s="28" t="str">
        <f aca="false">IF(G10="","",G10-N(H10))</f>
        <v/>
      </c>
      <c r="J10" s="40"/>
      <c r="K10" s="40"/>
      <c r="L10" s="28" t="str">
        <f aca="false">IF(OR(G10="",J10="",J10=0),"",G10/J10)</f>
        <v/>
      </c>
      <c r="M10" s="80"/>
    </row>
    <row r="11" customFormat="false" ht="15" hidden="false" customHeight="false" outlineLevel="0" collapsed="false">
      <c r="A11" s="73"/>
      <c r="B11" s="10"/>
      <c r="C11" s="50"/>
      <c r="D11" s="50"/>
      <c r="E11" s="50"/>
      <c r="F11" s="50"/>
      <c r="G11" s="28" t="str">
        <f aca="false">IF(COUNT(C11:F11)=0,"",SUM(C11:F11))</f>
        <v/>
      </c>
      <c r="H11" s="50"/>
      <c r="I11" s="28" t="str">
        <f aca="false">IF(G11="","",G11-N(H11))</f>
        <v/>
      </c>
      <c r="J11" s="40"/>
      <c r="K11" s="40"/>
      <c r="L11" s="28" t="str">
        <f aca="false">IF(OR(G11="",J11="",J11=0),"",G11/J11)</f>
        <v/>
      </c>
      <c r="M11" s="80"/>
    </row>
    <row r="12" customFormat="false" ht="15" hidden="false" customHeight="false" outlineLevel="0" collapsed="false">
      <c r="A12" s="73"/>
      <c r="B12" s="10"/>
      <c r="C12" s="50"/>
      <c r="D12" s="50"/>
      <c r="E12" s="50"/>
      <c r="F12" s="50"/>
      <c r="G12" s="28" t="str">
        <f aca="false">IF(COUNT(C12:F12)=0,"",SUM(C12:F12))</f>
        <v/>
      </c>
      <c r="H12" s="50"/>
      <c r="I12" s="28" t="str">
        <f aca="false">IF(G12="","",G12-N(H12))</f>
        <v/>
      </c>
      <c r="J12" s="40"/>
      <c r="K12" s="40"/>
      <c r="L12" s="28" t="str">
        <f aca="false">IF(OR(G12="",J12="",J12=0),"",G12/J12)</f>
        <v/>
      </c>
      <c r="M12" s="80"/>
    </row>
    <row r="13" customFormat="false" ht="15" hidden="false" customHeight="false" outlineLevel="0" collapsed="false">
      <c r="A13" s="73"/>
      <c r="B13" s="10"/>
      <c r="C13" s="50"/>
      <c r="D13" s="50"/>
      <c r="E13" s="50"/>
      <c r="F13" s="50"/>
      <c r="G13" s="28" t="str">
        <f aca="false">IF(COUNT(C13:F13)=0,"",SUM(C13:F13))</f>
        <v/>
      </c>
      <c r="H13" s="50"/>
      <c r="I13" s="28" t="str">
        <f aca="false">IF(G13="","",G13-N(H13))</f>
        <v/>
      </c>
      <c r="J13" s="40"/>
      <c r="K13" s="40"/>
      <c r="L13" s="28" t="str">
        <f aca="false">IF(OR(G13="",J13="",J13=0),"",G13/J13)</f>
        <v/>
      </c>
      <c r="M13" s="80"/>
    </row>
    <row r="14" customFormat="false" ht="15" hidden="false" customHeight="false" outlineLevel="0" collapsed="false">
      <c r="A14" s="73"/>
      <c r="B14" s="10"/>
      <c r="C14" s="50"/>
      <c r="D14" s="50"/>
      <c r="E14" s="50"/>
      <c r="F14" s="50"/>
      <c r="G14" s="28" t="str">
        <f aca="false">IF(COUNT(C14:F14)=0,"",SUM(C14:F14))</f>
        <v/>
      </c>
      <c r="H14" s="50"/>
      <c r="I14" s="28" t="str">
        <f aca="false">IF(G14="","",G14-N(H14))</f>
        <v/>
      </c>
      <c r="J14" s="40"/>
      <c r="K14" s="40"/>
      <c r="L14" s="28" t="str">
        <f aca="false">IF(OR(G14="",J14="",J14=0),"",G14/J14)</f>
        <v/>
      </c>
      <c r="M14" s="80"/>
    </row>
    <row r="15" customFormat="false" ht="15" hidden="false" customHeight="false" outlineLevel="0" collapsed="false">
      <c r="A15" s="73"/>
      <c r="B15" s="10"/>
      <c r="C15" s="50"/>
      <c r="D15" s="50"/>
      <c r="E15" s="50"/>
      <c r="F15" s="50"/>
      <c r="G15" s="28" t="str">
        <f aca="false">IF(COUNT(C15:F15)=0,"",SUM(C15:F15))</f>
        <v/>
      </c>
      <c r="H15" s="50"/>
      <c r="I15" s="28" t="str">
        <f aca="false">IF(G15="","",G15-N(H15))</f>
        <v/>
      </c>
      <c r="J15" s="40"/>
      <c r="K15" s="40"/>
      <c r="L15" s="28" t="str">
        <f aca="false">IF(OR(G15="",J15="",J15=0),"",G15/J15)</f>
        <v/>
      </c>
      <c r="M15" s="80"/>
    </row>
    <row r="16" customFormat="false" ht="15" hidden="false" customHeight="false" outlineLevel="0" collapsed="false">
      <c r="A16" s="73"/>
      <c r="B16" s="10"/>
      <c r="C16" s="50"/>
      <c r="D16" s="50"/>
      <c r="E16" s="50"/>
      <c r="F16" s="50"/>
      <c r="G16" s="28" t="str">
        <f aca="false">IF(COUNT(C16:F16)=0,"",SUM(C16:F16))</f>
        <v/>
      </c>
      <c r="H16" s="50"/>
      <c r="I16" s="28" t="str">
        <f aca="false">IF(G16="","",G16-N(H16))</f>
        <v/>
      </c>
      <c r="J16" s="40"/>
      <c r="K16" s="40"/>
      <c r="L16" s="28" t="str">
        <f aca="false">IF(OR(G16="",J16="",J16=0),"",G16/J16)</f>
        <v/>
      </c>
      <c r="M16" s="80"/>
    </row>
    <row r="17" customFormat="false" ht="15" hidden="false" customHeight="false" outlineLevel="0" collapsed="false">
      <c r="A17" s="73"/>
      <c r="B17" s="10"/>
      <c r="C17" s="50"/>
      <c r="D17" s="50"/>
      <c r="E17" s="50"/>
      <c r="F17" s="50"/>
      <c r="G17" s="28" t="str">
        <f aca="false">IF(COUNT(C17:F17)=0,"",SUM(C17:F17))</f>
        <v/>
      </c>
      <c r="H17" s="50"/>
      <c r="I17" s="28" t="str">
        <f aca="false">IF(G17="","",G17-N(H17))</f>
        <v/>
      </c>
      <c r="J17" s="40"/>
      <c r="K17" s="40"/>
      <c r="L17" s="28" t="str">
        <f aca="false">IF(OR(G17="",J17="",J17=0),"",G17/J17)</f>
        <v/>
      </c>
      <c r="M17" s="80"/>
    </row>
    <row r="18" customFormat="false" ht="15" hidden="false" customHeight="false" outlineLevel="0" collapsed="false">
      <c r="A18" s="73"/>
      <c r="B18" s="10"/>
      <c r="C18" s="50"/>
      <c r="D18" s="50"/>
      <c r="E18" s="50"/>
      <c r="F18" s="50"/>
      <c r="G18" s="28" t="str">
        <f aca="false">IF(COUNT(C18:F18)=0,"",SUM(C18:F18))</f>
        <v/>
      </c>
      <c r="H18" s="50"/>
      <c r="I18" s="28" t="str">
        <f aca="false">IF(G18="","",G18-N(H18))</f>
        <v/>
      </c>
      <c r="J18" s="40"/>
      <c r="K18" s="40"/>
      <c r="L18" s="28" t="str">
        <f aca="false">IF(OR(G18="",J18="",J18=0),"",G18/J18)</f>
        <v/>
      </c>
      <c r="M18" s="80"/>
    </row>
    <row r="19" customFormat="false" ht="15" hidden="false" customHeight="false" outlineLevel="0" collapsed="false">
      <c r="A19" s="73"/>
      <c r="B19" s="10"/>
      <c r="C19" s="50"/>
      <c r="D19" s="50"/>
      <c r="E19" s="50"/>
      <c r="F19" s="50"/>
      <c r="G19" s="28" t="str">
        <f aca="false">IF(COUNT(C19:F19)=0,"",SUM(C19:F19))</f>
        <v/>
      </c>
      <c r="H19" s="50"/>
      <c r="I19" s="28" t="str">
        <f aca="false">IF(G19="","",G19-N(H19))</f>
        <v/>
      </c>
      <c r="J19" s="40"/>
      <c r="K19" s="40"/>
      <c r="L19" s="28" t="str">
        <f aca="false">IF(OR(G19="",J19="",J19=0),"",G19/J19)</f>
        <v/>
      </c>
      <c r="M19" s="80"/>
    </row>
    <row r="20" customFormat="false" ht="15" hidden="false" customHeight="false" outlineLevel="0" collapsed="false">
      <c r="A20" s="73"/>
      <c r="B20" s="10"/>
      <c r="C20" s="50"/>
      <c r="D20" s="50"/>
      <c r="E20" s="50"/>
      <c r="F20" s="50"/>
      <c r="G20" s="28" t="str">
        <f aca="false">IF(COUNT(C20:F20)=0,"",SUM(C20:F20))</f>
        <v/>
      </c>
      <c r="H20" s="50"/>
      <c r="I20" s="28" t="str">
        <f aca="false">IF(G20="","",G20-N(H20))</f>
        <v/>
      </c>
      <c r="J20" s="40"/>
      <c r="K20" s="40"/>
      <c r="L20" s="28" t="str">
        <f aca="false">IF(OR(G20="",J20="",J20=0),"",G20/J20)</f>
        <v/>
      </c>
      <c r="M20" s="80"/>
    </row>
    <row r="21" customFormat="false" ht="15" hidden="false" customHeight="false" outlineLevel="0" collapsed="false">
      <c r="A21" s="73"/>
      <c r="B21" s="10"/>
      <c r="C21" s="50"/>
      <c r="D21" s="50"/>
      <c r="E21" s="50"/>
      <c r="F21" s="50"/>
      <c r="G21" s="28" t="str">
        <f aca="false">IF(COUNT(C21:F21)=0,"",SUM(C21:F21))</f>
        <v/>
      </c>
      <c r="H21" s="50"/>
      <c r="I21" s="28" t="str">
        <f aca="false">IF(G21="","",G21-N(H21))</f>
        <v/>
      </c>
      <c r="J21" s="40"/>
      <c r="K21" s="40"/>
      <c r="L21" s="28" t="str">
        <f aca="false">IF(OR(G21="",J21="",J21=0),"",G21/J21)</f>
        <v/>
      </c>
      <c r="M21" s="80"/>
    </row>
    <row r="22" customFormat="false" ht="15" hidden="false" customHeight="false" outlineLevel="0" collapsed="false">
      <c r="A22" s="73"/>
      <c r="B22" s="10"/>
      <c r="C22" s="50"/>
      <c r="D22" s="50"/>
      <c r="E22" s="50"/>
      <c r="F22" s="50"/>
      <c r="G22" s="28" t="str">
        <f aca="false">IF(COUNT(C22:F22)=0,"",SUM(C22:F22))</f>
        <v/>
      </c>
      <c r="H22" s="50"/>
      <c r="I22" s="28" t="str">
        <f aca="false">IF(G22="","",G22-N(H22))</f>
        <v/>
      </c>
      <c r="J22" s="40"/>
      <c r="K22" s="40"/>
      <c r="L22" s="28" t="str">
        <f aca="false">IF(OR(G22="",J22="",J22=0),"",G22/J22)</f>
        <v/>
      </c>
      <c r="M22" s="80"/>
    </row>
    <row r="23" customFormat="false" ht="15" hidden="false" customHeight="false" outlineLevel="0" collapsed="false">
      <c r="A23" s="73"/>
      <c r="B23" s="10"/>
      <c r="C23" s="50"/>
      <c r="D23" s="50"/>
      <c r="E23" s="50"/>
      <c r="F23" s="50"/>
      <c r="G23" s="28" t="str">
        <f aca="false">IF(COUNT(C23:F23)=0,"",SUM(C23:F23))</f>
        <v/>
      </c>
      <c r="H23" s="50"/>
      <c r="I23" s="28" t="str">
        <f aca="false">IF(G23="","",G23-N(H23))</f>
        <v/>
      </c>
      <c r="J23" s="40"/>
      <c r="K23" s="40"/>
      <c r="L23" s="28" t="str">
        <f aca="false">IF(OR(G23="",J23="",J23=0),"",G23/J23)</f>
        <v/>
      </c>
      <c r="M23" s="80"/>
    </row>
    <row r="24" customFormat="false" ht="15" hidden="false" customHeight="false" outlineLevel="0" collapsed="false">
      <c r="A24" s="73"/>
      <c r="B24" s="10"/>
      <c r="C24" s="50"/>
      <c r="D24" s="50"/>
      <c r="E24" s="50"/>
      <c r="F24" s="50"/>
      <c r="G24" s="28" t="str">
        <f aca="false">IF(COUNT(C24:F24)=0,"",SUM(C24:F24))</f>
        <v/>
      </c>
      <c r="H24" s="50"/>
      <c r="I24" s="28" t="str">
        <f aca="false">IF(G24="","",G24-N(H24))</f>
        <v/>
      </c>
      <c r="J24" s="40"/>
      <c r="K24" s="40"/>
      <c r="L24" s="28" t="str">
        <f aca="false">IF(OR(G24="",J24="",J24=0),"",G24/J24)</f>
        <v/>
      </c>
      <c r="M24" s="80"/>
    </row>
    <row r="25" customFormat="false" ht="15" hidden="false" customHeight="false" outlineLevel="0" collapsed="false">
      <c r="A25" s="73"/>
      <c r="B25" s="10"/>
      <c r="C25" s="50"/>
      <c r="D25" s="50"/>
      <c r="E25" s="50"/>
      <c r="F25" s="50"/>
      <c r="G25" s="28" t="str">
        <f aca="false">IF(COUNT(C25:F25)=0,"",SUM(C25:F25))</f>
        <v/>
      </c>
      <c r="H25" s="50"/>
      <c r="I25" s="28" t="str">
        <f aca="false">IF(G25="","",G25-N(H25))</f>
        <v/>
      </c>
      <c r="J25" s="40"/>
      <c r="K25" s="40"/>
      <c r="L25" s="28" t="str">
        <f aca="false">IF(OR(G25="",J25="",J25=0),"",G25/J25)</f>
        <v/>
      </c>
      <c r="M25" s="80"/>
    </row>
    <row r="26" customFormat="false" ht="15" hidden="false" customHeight="false" outlineLevel="0" collapsed="false">
      <c r="A26" s="73"/>
      <c r="B26" s="10"/>
      <c r="C26" s="50"/>
      <c r="D26" s="50"/>
      <c r="E26" s="50"/>
      <c r="F26" s="50"/>
      <c r="G26" s="28" t="str">
        <f aca="false">IF(COUNT(C26:F26)=0,"",SUM(C26:F26))</f>
        <v/>
      </c>
      <c r="H26" s="50"/>
      <c r="I26" s="28" t="str">
        <f aca="false">IF(G26="","",G26-N(H26))</f>
        <v/>
      </c>
      <c r="J26" s="40"/>
      <c r="K26" s="40"/>
      <c r="L26" s="28" t="str">
        <f aca="false">IF(OR(G26="",J26="",J26=0),"",G26/J26)</f>
        <v/>
      </c>
      <c r="M26" s="80"/>
    </row>
    <row r="27" customFormat="false" ht="15" hidden="false" customHeight="false" outlineLevel="0" collapsed="false">
      <c r="A27" s="73"/>
      <c r="B27" s="10"/>
      <c r="C27" s="50"/>
      <c r="D27" s="50"/>
      <c r="E27" s="50"/>
      <c r="F27" s="50"/>
      <c r="G27" s="28" t="str">
        <f aca="false">IF(COUNT(C27:F27)=0,"",SUM(C27:F27))</f>
        <v/>
      </c>
      <c r="H27" s="50"/>
      <c r="I27" s="28" t="str">
        <f aca="false">IF(G27="","",G27-N(H27))</f>
        <v/>
      </c>
      <c r="J27" s="40"/>
      <c r="K27" s="40"/>
      <c r="L27" s="28" t="str">
        <f aca="false">IF(OR(G27="",J27="",J27=0),"",G27/J27)</f>
        <v/>
      </c>
      <c r="M27" s="80"/>
    </row>
    <row r="28" customFormat="false" ht="15" hidden="false" customHeight="false" outlineLevel="0" collapsed="false">
      <c r="A28" s="73"/>
      <c r="B28" s="10"/>
      <c r="C28" s="50"/>
      <c r="D28" s="50"/>
      <c r="E28" s="50"/>
      <c r="F28" s="50"/>
      <c r="G28" s="28" t="str">
        <f aca="false">IF(COUNT(C28:F28)=0,"",SUM(C28:F28))</f>
        <v/>
      </c>
      <c r="H28" s="50"/>
      <c r="I28" s="28" t="str">
        <f aca="false">IF(G28="","",G28-N(H28))</f>
        <v/>
      </c>
      <c r="J28" s="40"/>
      <c r="K28" s="40"/>
      <c r="L28" s="28" t="str">
        <f aca="false">IF(OR(G28="",J28="",J28=0),"",G28/J28)</f>
        <v/>
      </c>
      <c r="M28" s="80"/>
    </row>
    <row r="29" customFormat="false" ht="15" hidden="false" customHeight="false" outlineLevel="0" collapsed="false">
      <c r="A29" s="73"/>
      <c r="B29" s="10"/>
      <c r="C29" s="50"/>
      <c r="D29" s="50"/>
      <c r="E29" s="50"/>
      <c r="F29" s="50"/>
      <c r="G29" s="28" t="str">
        <f aca="false">IF(COUNT(C29:F29)=0,"",SUM(C29:F29))</f>
        <v/>
      </c>
      <c r="H29" s="50"/>
      <c r="I29" s="28" t="str">
        <f aca="false">IF(G29="","",G29-N(H29))</f>
        <v/>
      </c>
      <c r="J29" s="40"/>
      <c r="K29" s="40"/>
      <c r="L29" s="28" t="str">
        <f aca="false">IF(OR(G29="",J29="",J29=0),"",G29/J29)</f>
        <v/>
      </c>
      <c r="M29" s="80"/>
    </row>
    <row r="30" customFormat="false" ht="15" hidden="false" customHeight="false" outlineLevel="0" collapsed="false">
      <c r="A30" s="73"/>
      <c r="B30" s="10"/>
      <c r="C30" s="50"/>
      <c r="D30" s="50"/>
      <c r="E30" s="50"/>
      <c r="F30" s="50"/>
      <c r="G30" s="28" t="str">
        <f aca="false">IF(COUNT(C30:F30)=0,"",SUM(C30:F30))</f>
        <v/>
      </c>
      <c r="H30" s="50"/>
      <c r="I30" s="28" t="str">
        <f aca="false">IF(G30="","",G30-N(H30))</f>
        <v/>
      </c>
      <c r="J30" s="40"/>
      <c r="K30" s="40"/>
      <c r="L30" s="28" t="str">
        <f aca="false">IF(OR(G30="",J30="",J30=0),"",G30/J30)</f>
        <v/>
      </c>
      <c r="M30" s="80"/>
    </row>
    <row r="31" customFormat="false" ht="15" hidden="false" customHeight="false" outlineLevel="0" collapsed="false">
      <c r="A31" s="73"/>
      <c r="B31" s="10"/>
      <c r="C31" s="50"/>
      <c r="D31" s="50"/>
      <c r="E31" s="50"/>
      <c r="F31" s="50"/>
      <c r="G31" s="28" t="str">
        <f aca="false">IF(COUNT(C31:F31)=0,"",SUM(C31:F31))</f>
        <v/>
      </c>
      <c r="H31" s="50"/>
      <c r="I31" s="28" t="str">
        <f aca="false">IF(G31="","",G31-N(H31))</f>
        <v/>
      </c>
      <c r="J31" s="40"/>
      <c r="K31" s="40"/>
      <c r="L31" s="28" t="str">
        <f aca="false">IF(OR(G31="",J31="",J31=0),"",G31/J31)</f>
        <v/>
      </c>
      <c r="M31" s="80"/>
    </row>
    <row r="32" customFormat="false" ht="15" hidden="false" customHeight="false" outlineLevel="0" collapsed="false">
      <c r="A32" s="73"/>
      <c r="B32" s="10"/>
      <c r="C32" s="50"/>
      <c r="D32" s="50"/>
      <c r="E32" s="50"/>
      <c r="F32" s="50"/>
      <c r="G32" s="28" t="str">
        <f aca="false">IF(COUNT(C32:F32)=0,"",SUM(C32:F32))</f>
        <v/>
      </c>
      <c r="H32" s="50"/>
      <c r="I32" s="28" t="str">
        <f aca="false">IF(G32="","",G32-N(H32))</f>
        <v/>
      </c>
      <c r="J32" s="40"/>
      <c r="K32" s="40"/>
      <c r="L32" s="28" t="str">
        <f aca="false">IF(OR(G32="",J32="",J32=0),"",G32/J32)</f>
        <v/>
      </c>
      <c r="M32" s="80"/>
    </row>
    <row r="33" customFormat="false" ht="15" hidden="false" customHeight="false" outlineLevel="0" collapsed="false">
      <c r="A33" s="73"/>
      <c r="B33" s="10"/>
      <c r="C33" s="50"/>
      <c r="D33" s="50"/>
      <c r="E33" s="50"/>
      <c r="F33" s="50"/>
      <c r="G33" s="28" t="str">
        <f aca="false">IF(COUNT(C33:F33)=0,"",SUM(C33:F33))</f>
        <v/>
      </c>
      <c r="H33" s="50"/>
      <c r="I33" s="28" t="str">
        <f aca="false">IF(G33="","",G33-N(H33))</f>
        <v/>
      </c>
      <c r="J33" s="40"/>
      <c r="K33" s="40"/>
      <c r="L33" s="28" t="str">
        <f aca="false">IF(OR(G33="",J33="",J33=0),"",G33/J33)</f>
        <v/>
      </c>
      <c r="M33" s="80"/>
    </row>
    <row r="34" customFormat="false" ht="15" hidden="false" customHeight="false" outlineLevel="0" collapsed="false">
      <c r="A34" s="73"/>
      <c r="B34" s="10"/>
      <c r="C34" s="50"/>
      <c r="D34" s="50"/>
      <c r="E34" s="50"/>
      <c r="F34" s="50"/>
      <c r="G34" s="28" t="str">
        <f aca="false">IF(COUNT(C34:F34)=0,"",SUM(C34:F34))</f>
        <v/>
      </c>
      <c r="H34" s="50"/>
      <c r="I34" s="28" t="str">
        <f aca="false">IF(G34="","",G34-N(H34))</f>
        <v/>
      </c>
      <c r="J34" s="40"/>
      <c r="K34" s="40"/>
      <c r="L34" s="28" t="str">
        <f aca="false">IF(OR(G34="",J34="",J34=0),"",G34/J34)</f>
        <v/>
      </c>
      <c r="M34" s="80"/>
    </row>
    <row r="35" customFormat="false" ht="15" hidden="false" customHeight="false" outlineLevel="0" collapsed="false">
      <c r="A35" s="73"/>
      <c r="B35" s="10"/>
      <c r="C35" s="50"/>
      <c r="D35" s="50"/>
      <c r="E35" s="50"/>
      <c r="F35" s="50"/>
      <c r="G35" s="28" t="str">
        <f aca="false">IF(COUNT(C35:F35)=0,"",SUM(C35:F35))</f>
        <v/>
      </c>
      <c r="H35" s="50"/>
      <c r="I35" s="28" t="str">
        <f aca="false">IF(G35="","",G35-N(H35))</f>
        <v/>
      </c>
      <c r="J35" s="40"/>
      <c r="K35" s="40"/>
      <c r="L35" s="28" t="str">
        <f aca="false">IF(OR(G35="",J35="",J35=0),"",G35/J35)</f>
        <v/>
      </c>
      <c r="M35" s="80"/>
    </row>
    <row r="36" customFormat="false" ht="15" hidden="false" customHeight="false" outlineLevel="0" collapsed="false">
      <c r="A36" s="73"/>
      <c r="B36" s="10"/>
      <c r="C36" s="50"/>
      <c r="D36" s="50"/>
      <c r="E36" s="50"/>
      <c r="F36" s="50"/>
      <c r="G36" s="28" t="str">
        <f aca="false">IF(COUNT(C36:F36)=0,"",SUM(C36:F36))</f>
        <v/>
      </c>
      <c r="H36" s="50"/>
      <c r="I36" s="28" t="str">
        <f aca="false">IF(G36="","",G36-N(H36))</f>
        <v/>
      </c>
      <c r="J36" s="40"/>
      <c r="K36" s="40"/>
      <c r="L36" s="28" t="str">
        <f aca="false">IF(OR(G36="",J36="",J36=0),"",G36/J36)</f>
        <v/>
      </c>
      <c r="M36" s="80"/>
    </row>
    <row r="37" customFormat="false" ht="15" hidden="false" customHeight="false" outlineLevel="0" collapsed="false">
      <c r="A37" s="73"/>
      <c r="B37" s="10"/>
      <c r="C37" s="50"/>
      <c r="D37" s="50"/>
      <c r="E37" s="50"/>
      <c r="F37" s="50"/>
      <c r="G37" s="28" t="str">
        <f aca="false">IF(COUNT(C37:F37)=0,"",SUM(C37:F37))</f>
        <v/>
      </c>
      <c r="H37" s="50"/>
      <c r="I37" s="28" t="str">
        <f aca="false">IF(G37="","",G37-N(H37))</f>
        <v/>
      </c>
      <c r="J37" s="40"/>
      <c r="K37" s="40"/>
      <c r="L37" s="28" t="str">
        <f aca="false">IF(OR(G37="",J37="",J37=0),"",G37/J37)</f>
        <v/>
      </c>
      <c r="M37" s="80"/>
    </row>
    <row r="38" customFormat="false" ht="15" hidden="false" customHeight="false" outlineLevel="0" collapsed="false">
      <c r="A38" s="73"/>
      <c r="B38" s="10"/>
      <c r="C38" s="50"/>
      <c r="D38" s="50"/>
      <c r="E38" s="50"/>
      <c r="F38" s="50"/>
      <c r="G38" s="28" t="str">
        <f aca="false">IF(COUNT(C38:F38)=0,"",SUM(C38:F38))</f>
        <v/>
      </c>
      <c r="H38" s="50"/>
      <c r="I38" s="28" t="str">
        <f aca="false">IF(G38="","",G38-N(H38))</f>
        <v/>
      </c>
      <c r="J38" s="40"/>
      <c r="K38" s="40"/>
      <c r="L38" s="28" t="str">
        <f aca="false">IF(OR(G38="",J38="",J38=0),"",G38/J38)</f>
        <v/>
      </c>
      <c r="M38" s="80"/>
    </row>
    <row r="39" customFormat="false" ht="15" hidden="false" customHeight="false" outlineLevel="0" collapsed="false">
      <c r="A39" s="73"/>
      <c r="B39" s="10"/>
      <c r="C39" s="50"/>
      <c r="D39" s="50"/>
      <c r="E39" s="50"/>
      <c r="F39" s="50"/>
      <c r="G39" s="28" t="str">
        <f aca="false">IF(COUNT(C39:F39)=0,"",SUM(C39:F39))</f>
        <v/>
      </c>
      <c r="H39" s="50"/>
      <c r="I39" s="28" t="str">
        <f aca="false">IF(G39="","",G39-N(H39))</f>
        <v/>
      </c>
      <c r="J39" s="40"/>
      <c r="K39" s="40"/>
      <c r="L39" s="28" t="str">
        <f aca="false">IF(OR(G39="",J39="",J39=0),"",G39/J39)</f>
        <v/>
      </c>
      <c r="M39" s="80"/>
    </row>
    <row r="40" customFormat="false" ht="15" hidden="false" customHeight="false" outlineLevel="0" collapsed="false">
      <c r="A40" s="73"/>
      <c r="B40" s="10"/>
      <c r="C40" s="50"/>
      <c r="D40" s="50"/>
      <c r="E40" s="50"/>
      <c r="F40" s="50"/>
      <c r="G40" s="28" t="str">
        <f aca="false">IF(COUNT(C40:F40)=0,"",SUM(C40:F40))</f>
        <v/>
      </c>
      <c r="H40" s="50"/>
      <c r="I40" s="28" t="str">
        <f aca="false">IF(G40="","",G40-N(H40))</f>
        <v/>
      </c>
      <c r="J40" s="40"/>
      <c r="K40" s="40"/>
      <c r="L40" s="28" t="str">
        <f aca="false">IF(OR(G40="",J40="",J40=0),"",G40/J40)</f>
        <v/>
      </c>
      <c r="M40" s="80"/>
    </row>
    <row r="41" customFormat="false" ht="15" hidden="false" customHeight="false" outlineLevel="0" collapsed="false">
      <c r="A41" s="73"/>
      <c r="B41" s="10"/>
      <c r="C41" s="50"/>
      <c r="D41" s="50"/>
      <c r="E41" s="50"/>
      <c r="F41" s="50"/>
      <c r="G41" s="28" t="str">
        <f aca="false">IF(COUNT(C41:F41)=0,"",SUM(C41:F41))</f>
        <v/>
      </c>
      <c r="H41" s="50"/>
      <c r="I41" s="28" t="str">
        <f aca="false">IF(G41="","",G41-N(H41))</f>
        <v/>
      </c>
      <c r="J41" s="40"/>
      <c r="K41" s="40"/>
      <c r="L41" s="28" t="str">
        <f aca="false">IF(OR(G41="",J41="",J41=0),"",G41/J41)</f>
        <v/>
      </c>
      <c r="M41" s="80"/>
    </row>
    <row r="42" customFormat="false" ht="15" hidden="false" customHeight="false" outlineLevel="0" collapsed="false">
      <c r="A42" s="73"/>
      <c r="B42" s="10"/>
      <c r="C42" s="50"/>
      <c r="D42" s="50"/>
      <c r="E42" s="50"/>
      <c r="F42" s="50"/>
      <c r="G42" s="28" t="str">
        <f aca="false">IF(COUNT(C42:F42)=0,"",SUM(C42:F42))</f>
        <v/>
      </c>
      <c r="H42" s="50"/>
      <c r="I42" s="28" t="str">
        <f aca="false">IF(G42="","",G42-N(H42))</f>
        <v/>
      </c>
      <c r="J42" s="40"/>
      <c r="K42" s="40"/>
      <c r="L42" s="28" t="str">
        <f aca="false">IF(OR(G42="",J42="",J42=0),"",G42/J42)</f>
        <v/>
      </c>
      <c r="M42" s="80"/>
    </row>
    <row r="43" customFormat="false" ht="15" hidden="false" customHeight="false" outlineLevel="0" collapsed="false">
      <c r="A43" s="73"/>
      <c r="B43" s="10"/>
      <c r="C43" s="50"/>
      <c r="D43" s="50"/>
      <c r="E43" s="50"/>
      <c r="F43" s="50"/>
      <c r="G43" s="28" t="str">
        <f aca="false">IF(COUNT(C43:F43)=0,"",SUM(C43:F43))</f>
        <v/>
      </c>
      <c r="H43" s="50"/>
      <c r="I43" s="28" t="str">
        <f aca="false">IF(G43="","",G43-N(H43))</f>
        <v/>
      </c>
      <c r="J43" s="40"/>
      <c r="K43" s="40"/>
      <c r="L43" s="28" t="str">
        <f aca="false">IF(OR(G43="",J43="",J43=0),"",G43/J43)</f>
        <v/>
      </c>
      <c r="M43" s="80"/>
    </row>
    <row r="44" customFormat="false" ht="15" hidden="false" customHeight="false" outlineLevel="0" collapsed="false">
      <c r="A44" s="73"/>
      <c r="B44" s="10"/>
      <c r="C44" s="50"/>
      <c r="D44" s="50"/>
      <c r="E44" s="50"/>
      <c r="F44" s="50"/>
      <c r="G44" s="28" t="str">
        <f aca="false">IF(COUNT(C44:F44)=0,"",SUM(C44:F44))</f>
        <v/>
      </c>
      <c r="H44" s="50"/>
      <c r="I44" s="28" t="str">
        <f aca="false">IF(G44="","",G44-N(H44))</f>
        <v/>
      </c>
      <c r="J44" s="40"/>
      <c r="K44" s="40"/>
      <c r="L44" s="28" t="str">
        <f aca="false">IF(OR(G44="",J44="",J44=0),"",G44/J44)</f>
        <v/>
      </c>
      <c r="M44" s="80"/>
    </row>
    <row r="45" customFormat="false" ht="15" hidden="false" customHeight="false" outlineLevel="0" collapsed="false">
      <c r="A45" s="73"/>
      <c r="B45" s="10"/>
      <c r="C45" s="50"/>
      <c r="D45" s="50"/>
      <c r="E45" s="50"/>
      <c r="F45" s="50"/>
      <c r="G45" s="28" t="str">
        <f aca="false">IF(COUNT(C45:F45)=0,"",SUM(C45:F45))</f>
        <v/>
      </c>
      <c r="H45" s="50"/>
      <c r="I45" s="28" t="str">
        <f aca="false">IF(G45="","",G45-N(H45))</f>
        <v/>
      </c>
      <c r="J45" s="40"/>
      <c r="K45" s="40"/>
      <c r="L45" s="28" t="str">
        <f aca="false">IF(OR(G45="",J45="",J45=0),"",G45/J45)</f>
        <v/>
      </c>
      <c r="M45" s="80"/>
    </row>
    <row r="46" customFormat="false" ht="15" hidden="false" customHeight="false" outlineLevel="0" collapsed="false">
      <c r="A46" s="73"/>
      <c r="B46" s="10"/>
      <c r="C46" s="50"/>
      <c r="D46" s="50"/>
      <c r="E46" s="50"/>
      <c r="F46" s="50"/>
      <c r="G46" s="28" t="str">
        <f aca="false">IF(COUNT(C46:F46)=0,"",SUM(C46:F46))</f>
        <v/>
      </c>
      <c r="H46" s="50"/>
      <c r="I46" s="28" t="str">
        <f aca="false">IF(G46="","",G46-N(H46))</f>
        <v/>
      </c>
      <c r="J46" s="40"/>
      <c r="K46" s="40"/>
      <c r="L46" s="28" t="str">
        <f aca="false">IF(OR(G46="",J46="",J46=0),"",G46/J46)</f>
        <v/>
      </c>
      <c r="M46" s="80"/>
    </row>
    <row r="47" customFormat="false" ht="15" hidden="false" customHeight="false" outlineLevel="0" collapsed="false">
      <c r="A47" s="73"/>
      <c r="B47" s="10"/>
      <c r="C47" s="50"/>
      <c r="D47" s="50"/>
      <c r="E47" s="50"/>
      <c r="F47" s="50"/>
      <c r="G47" s="28" t="str">
        <f aca="false">IF(COUNT(C47:F47)=0,"",SUM(C47:F47))</f>
        <v/>
      </c>
      <c r="H47" s="50"/>
      <c r="I47" s="28" t="str">
        <f aca="false">IF(G47="","",G47-N(H47))</f>
        <v/>
      </c>
      <c r="J47" s="40"/>
      <c r="K47" s="40"/>
      <c r="L47" s="28" t="str">
        <f aca="false">IF(OR(G47="",J47="",J47=0),"",G47/J47)</f>
        <v/>
      </c>
      <c r="M47" s="80"/>
    </row>
    <row r="48" customFormat="false" ht="15" hidden="false" customHeight="false" outlineLevel="0" collapsed="false">
      <c r="A48" s="73"/>
      <c r="B48" s="10"/>
      <c r="C48" s="50"/>
      <c r="D48" s="50"/>
      <c r="E48" s="50"/>
      <c r="F48" s="50"/>
      <c r="G48" s="28" t="str">
        <f aca="false">IF(COUNT(C48:F48)=0,"",SUM(C48:F48))</f>
        <v/>
      </c>
      <c r="H48" s="50"/>
      <c r="I48" s="28" t="str">
        <f aca="false">IF(G48="","",G48-N(H48))</f>
        <v/>
      </c>
      <c r="J48" s="40"/>
      <c r="K48" s="40"/>
      <c r="L48" s="28" t="str">
        <f aca="false">IF(OR(G48="",J48="",J48=0),"",G48/J48)</f>
        <v/>
      </c>
      <c r="M48" s="80"/>
    </row>
    <row r="49" customFormat="false" ht="15" hidden="false" customHeight="false" outlineLevel="0" collapsed="false">
      <c r="A49" s="73"/>
      <c r="B49" s="10"/>
      <c r="C49" s="50"/>
      <c r="D49" s="50"/>
      <c r="E49" s="50"/>
      <c r="F49" s="50"/>
      <c r="G49" s="28" t="str">
        <f aca="false">IF(COUNT(C49:F49)=0,"",SUM(C49:F49))</f>
        <v/>
      </c>
      <c r="H49" s="50"/>
      <c r="I49" s="28" t="str">
        <f aca="false">IF(G49="","",G49-N(H49))</f>
        <v/>
      </c>
      <c r="J49" s="40"/>
      <c r="K49" s="40"/>
      <c r="L49" s="28" t="str">
        <f aca="false">IF(OR(G49="",J49="",J49=0),"",G49/J49)</f>
        <v/>
      </c>
      <c r="M49" s="80"/>
    </row>
    <row r="50" customFormat="false" ht="15" hidden="false" customHeight="false" outlineLevel="0" collapsed="false">
      <c r="A50" s="73"/>
      <c r="B50" s="10"/>
      <c r="C50" s="50"/>
      <c r="D50" s="50"/>
      <c r="E50" s="50"/>
      <c r="F50" s="50"/>
      <c r="G50" s="28" t="str">
        <f aca="false">IF(COUNT(C50:F50)=0,"",SUM(C50:F50))</f>
        <v/>
      </c>
      <c r="H50" s="50"/>
      <c r="I50" s="28" t="str">
        <f aca="false">IF(G50="","",G50-N(H50))</f>
        <v/>
      </c>
      <c r="J50" s="40"/>
      <c r="K50" s="40"/>
      <c r="L50" s="28" t="str">
        <f aca="false">IF(OR(G50="",J50="",J50=0),"",G50/J50)</f>
        <v/>
      </c>
      <c r="M50" s="80"/>
    </row>
    <row r="51" customFormat="false" ht="15" hidden="false" customHeight="false" outlineLevel="0" collapsed="false">
      <c r="A51" s="73"/>
      <c r="B51" s="10"/>
      <c r="C51" s="50"/>
      <c r="D51" s="50"/>
      <c r="E51" s="50"/>
      <c r="F51" s="50"/>
      <c r="G51" s="28" t="str">
        <f aca="false">IF(COUNT(C51:F51)=0,"",SUM(C51:F51))</f>
        <v/>
      </c>
      <c r="H51" s="50"/>
      <c r="I51" s="28" t="str">
        <f aca="false">IF(G51="","",G51-N(H51))</f>
        <v/>
      </c>
      <c r="J51" s="40"/>
      <c r="K51" s="40"/>
      <c r="L51" s="28" t="str">
        <f aca="false">IF(OR(G51="",J51="",J51=0),"",G51/J51)</f>
        <v/>
      </c>
      <c r="M51" s="80"/>
    </row>
    <row r="52" customFormat="false" ht="15" hidden="false" customHeight="false" outlineLevel="0" collapsed="false">
      <c r="A52" s="73"/>
      <c r="B52" s="10"/>
      <c r="C52" s="50"/>
      <c r="D52" s="50"/>
      <c r="E52" s="50"/>
      <c r="F52" s="50"/>
      <c r="G52" s="28" t="str">
        <f aca="false">IF(COUNT(C52:F52)=0,"",SUM(C52:F52))</f>
        <v/>
      </c>
      <c r="H52" s="50"/>
      <c r="I52" s="28" t="str">
        <f aca="false">IF(G52="","",G52-N(H52))</f>
        <v/>
      </c>
      <c r="J52" s="40"/>
      <c r="K52" s="40"/>
      <c r="L52" s="28" t="str">
        <f aca="false">IF(OR(G52="",J52="",J52=0),"",G52/J52)</f>
        <v/>
      </c>
      <c r="M52" s="80"/>
    </row>
    <row r="53" customFormat="false" ht="15" hidden="false" customHeight="false" outlineLevel="0" collapsed="false">
      <c r="A53" s="73"/>
      <c r="B53" s="10"/>
      <c r="C53" s="50"/>
      <c r="D53" s="50"/>
      <c r="E53" s="50"/>
      <c r="F53" s="50"/>
      <c r="G53" s="28" t="str">
        <f aca="false">IF(COUNT(C53:F53)=0,"",SUM(C53:F53))</f>
        <v/>
      </c>
      <c r="H53" s="50"/>
      <c r="I53" s="28" t="str">
        <f aca="false">IF(G53="","",G53-N(H53))</f>
        <v/>
      </c>
      <c r="J53" s="40"/>
      <c r="K53" s="40"/>
      <c r="L53" s="28" t="str">
        <f aca="false">IF(OR(G53="",J53="",J53=0),"",G53/J53)</f>
        <v/>
      </c>
      <c r="M53" s="80"/>
    </row>
    <row r="54" customFormat="false" ht="15" hidden="false" customHeight="false" outlineLevel="0" collapsed="false">
      <c r="A54" s="73"/>
      <c r="B54" s="10"/>
      <c r="C54" s="50"/>
      <c r="D54" s="50"/>
      <c r="E54" s="50"/>
      <c r="F54" s="50"/>
      <c r="G54" s="28" t="str">
        <f aca="false">IF(COUNT(C54:F54)=0,"",SUM(C54:F54))</f>
        <v/>
      </c>
      <c r="H54" s="50"/>
      <c r="I54" s="28" t="str">
        <f aca="false">IF(G54="","",G54-N(H54))</f>
        <v/>
      </c>
      <c r="J54" s="40"/>
      <c r="K54" s="40"/>
      <c r="L54" s="28" t="str">
        <f aca="false">IF(OR(G54="",J54="",J54=0),"",G54/J54)</f>
        <v/>
      </c>
      <c r="M54" s="80"/>
    </row>
    <row r="55" customFormat="false" ht="15" hidden="false" customHeight="false" outlineLevel="0" collapsed="false">
      <c r="A55" s="73"/>
      <c r="B55" s="10"/>
      <c r="C55" s="50"/>
      <c r="D55" s="50"/>
      <c r="E55" s="50"/>
      <c r="F55" s="50"/>
      <c r="G55" s="28" t="str">
        <f aca="false">IF(COUNT(C55:F55)=0,"",SUM(C55:F55))</f>
        <v/>
      </c>
      <c r="H55" s="50"/>
      <c r="I55" s="28" t="str">
        <f aca="false">IF(G55="","",G55-N(H55))</f>
        <v/>
      </c>
      <c r="J55" s="40"/>
      <c r="K55" s="40"/>
      <c r="L55" s="28" t="str">
        <f aca="false">IF(OR(G55="",J55="",J55=0),"",G55/J55)</f>
        <v/>
      </c>
      <c r="M55" s="80"/>
    </row>
    <row r="56" customFormat="false" ht="15" hidden="false" customHeight="false" outlineLevel="0" collapsed="false">
      <c r="A56" s="73"/>
      <c r="B56" s="10"/>
      <c r="C56" s="50"/>
      <c r="D56" s="50"/>
      <c r="E56" s="50"/>
      <c r="F56" s="50"/>
      <c r="G56" s="28" t="str">
        <f aca="false">IF(COUNT(C56:F56)=0,"",SUM(C56:F56))</f>
        <v/>
      </c>
      <c r="H56" s="50"/>
      <c r="I56" s="28" t="str">
        <f aca="false">IF(G56="","",G56-N(H56))</f>
        <v/>
      </c>
      <c r="J56" s="40"/>
      <c r="K56" s="40"/>
      <c r="L56" s="28" t="str">
        <f aca="false">IF(OR(G56="",J56="",J56=0),"",G56/J56)</f>
        <v/>
      </c>
      <c r="M56" s="80"/>
    </row>
    <row r="57" customFormat="false" ht="15" hidden="false" customHeight="false" outlineLevel="0" collapsed="false">
      <c r="A57" s="73"/>
      <c r="B57" s="10"/>
      <c r="C57" s="50"/>
      <c r="D57" s="50"/>
      <c r="E57" s="50"/>
      <c r="F57" s="50"/>
      <c r="G57" s="28" t="str">
        <f aca="false">IF(COUNT(C57:F57)=0,"",SUM(C57:F57))</f>
        <v/>
      </c>
      <c r="H57" s="50"/>
      <c r="I57" s="28" t="str">
        <f aca="false">IF(G57="","",G57-N(H57))</f>
        <v/>
      </c>
      <c r="J57" s="40"/>
      <c r="K57" s="40"/>
      <c r="L57" s="28" t="str">
        <f aca="false">IF(OR(G57="",J57="",J57=0),"",G57/J57)</f>
        <v/>
      </c>
      <c r="M57" s="80"/>
    </row>
    <row r="58" customFormat="false" ht="15" hidden="false" customHeight="false" outlineLevel="0" collapsed="false">
      <c r="A58" s="73"/>
      <c r="B58" s="10"/>
      <c r="C58" s="50"/>
      <c r="D58" s="50"/>
      <c r="E58" s="50"/>
      <c r="F58" s="50"/>
      <c r="G58" s="28" t="str">
        <f aca="false">IF(COUNT(C58:F58)=0,"",SUM(C58:F58))</f>
        <v/>
      </c>
      <c r="H58" s="50"/>
      <c r="I58" s="28" t="str">
        <f aca="false">IF(G58="","",G58-N(H58))</f>
        <v/>
      </c>
      <c r="J58" s="40"/>
      <c r="K58" s="40"/>
      <c r="L58" s="28" t="str">
        <f aca="false">IF(OR(G58="",J58="",J58=0),"",G58/J58)</f>
        <v/>
      </c>
      <c r="M58" s="80"/>
    </row>
    <row r="59" customFormat="false" ht="15" hidden="false" customHeight="false" outlineLevel="0" collapsed="false">
      <c r="A59" s="73"/>
      <c r="B59" s="10"/>
      <c r="C59" s="50"/>
      <c r="D59" s="50"/>
      <c r="E59" s="50"/>
      <c r="F59" s="50"/>
      <c r="G59" s="28" t="str">
        <f aca="false">IF(COUNT(C59:F59)=0,"",SUM(C59:F59))</f>
        <v/>
      </c>
      <c r="H59" s="50"/>
      <c r="I59" s="28" t="str">
        <f aca="false">IF(G59="","",G59-N(H59))</f>
        <v/>
      </c>
      <c r="J59" s="40"/>
      <c r="K59" s="40"/>
      <c r="L59" s="28" t="str">
        <f aca="false">IF(OR(G59="",J59="",J59=0),"",G59/J59)</f>
        <v/>
      </c>
      <c r="M59" s="80"/>
    </row>
    <row r="60" customFormat="false" ht="15" hidden="false" customHeight="false" outlineLevel="0" collapsed="false">
      <c r="A60" s="73"/>
      <c r="B60" s="10"/>
      <c r="C60" s="50"/>
      <c r="D60" s="50"/>
      <c r="E60" s="50"/>
      <c r="F60" s="50"/>
      <c r="G60" s="28" t="str">
        <f aca="false">IF(COUNT(C60:F60)=0,"",SUM(C60:F60))</f>
        <v/>
      </c>
      <c r="H60" s="50"/>
      <c r="I60" s="28" t="str">
        <f aca="false">IF(G60="","",G60-N(H60))</f>
        <v/>
      </c>
      <c r="J60" s="40"/>
      <c r="K60" s="40"/>
      <c r="L60" s="28" t="str">
        <f aca="false">IF(OR(G60="",J60="",J60=0),"",G60/J60)</f>
        <v/>
      </c>
      <c r="M60" s="80"/>
    </row>
    <row r="61" customFormat="false" ht="15" hidden="false" customHeight="false" outlineLevel="0" collapsed="false">
      <c r="A61" s="73"/>
      <c r="B61" s="10"/>
      <c r="C61" s="50"/>
      <c r="D61" s="50"/>
      <c r="E61" s="50"/>
      <c r="F61" s="50"/>
      <c r="G61" s="28" t="str">
        <f aca="false">IF(COUNT(C61:F61)=0,"",SUM(C61:F61))</f>
        <v/>
      </c>
      <c r="H61" s="50"/>
      <c r="I61" s="28" t="str">
        <f aca="false">IF(G61="","",G61-N(H61))</f>
        <v/>
      </c>
      <c r="J61" s="40"/>
      <c r="K61" s="40"/>
      <c r="L61" s="28" t="str">
        <f aca="false">IF(OR(G61="",J61="",J61=0),"",G61/J61)</f>
        <v/>
      </c>
      <c r="M61" s="80"/>
    </row>
    <row r="62" customFormat="false" ht="15" hidden="false" customHeight="false" outlineLevel="0" collapsed="false">
      <c r="A62" s="73"/>
      <c r="B62" s="10"/>
      <c r="C62" s="50"/>
      <c r="D62" s="50"/>
      <c r="E62" s="50"/>
      <c r="F62" s="50"/>
      <c r="G62" s="28" t="str">
        <f aca="false">IF(COUNT(C62:F62)=0,"",SUM(C62:F62))</f>
        <v/>
      </c>
      <c r="H62" s="50"/>
      <c r="I62" s="28" t="str">
        <f aca="false">IF(G62="","",G62-N(H62))</f>
        <v/>
      </c>
      <c r="J62" s="40"/>
      <c r="K62" s="40"/>
      <c r="L62" s="28" t="str">
        <f aca="false">IF(OR(G62="",J62="",J62=0),"",G62/J62)</f>
        <v/>
      </c>
      <c r="M62" s="80"/>
    </row>
    <row r="63" customFormat="false" ht="15" hidden="false" customHeight="false" outlineLevel="0" collapsed="false">
      <c r="A63" s="73"/>
      <c r="B63" s="10"/>
      <c r="C63" s="50"/>
      <c r="D63" s="50"/>
      <c r="E63" s="50"/>
      <c r="F63" s="50"/>
      <c r="G63" s="28" t="str">
        <f aca="false">IF(COUNT(C63:F63)=0,"",SUM(C63:F63))</f>
        <v/>
      </c>
      <c r="H63" s="50"/>
      <c r="I63" s="28" t="str">
        <f aca="false">IF(G63="","",G63-N(H63))</f>
        <v/>
      </c>
      <c r="J63" s="40"/>
      <c r="K63" s="40"/>
      <c r="L63" s="28" t="str">
        <f aca="false">IF(OR(G63="",J63="",J63=0),"",G63/J63)</f>
        <v/>
      </c>
      <c r="M63" s="80"/>
    </row>
    <row r="64" customFormat="false" ht="15" hidden="false" customHeight="false" outlineLevel="0" collapsed="false">
      <c r="A64" s="73"/>
      <c r="B64" s="10"/>
      <c r="C64" s="50"/>
      <c r="D64" s="50"/>
      <c r="E64" s="50"/>
      <c r="F64" s="50"/>
      <c r="G64" s="28" t="str">
        <f aca="false">IF(COUNT(C64:F64)=0,"",SUM(C64:F64))</f>
        <v/>
      </c>
      <c r="H64" s="50"/>
      <c r="I64" s="28" t="str">
        <f aca="false">IF(G64="","",G64-N(H64))</f>
        <v/>
      </c>
      <c r="J64" s="40"/>
      <c r="K64" s="40"/>
      <c r="L64" s="28" t="str">
        <f aca="false">IF(OR(G64="",J64="",J64=0),"",G64/J64)</f>
        <v/>
      </c>
      <c r="M64" s="80"/>
    </row>
    <row r="65" customFormat="false" ht="15" hidden="false" customHeight="false" outlineLevel="0" collapsed="false">
      <c r="A65" s="73"/>
      <c r="B65" s="10"/>
      <c r="C65" s="50"/>
      <c r="D65" s="50"/>
      <c r="E65" s="50"/>
      <c r="F65" s="50"/>
      <c r="G65" s="28" t="str">
        <f aca="false">IF(COUNT(C65:F65)=0,"",SUM(C65:F65))</f>
        <v/>
      </c>
      <c r="H65" s="50"/>
      <c r="I65" s="28" t="str">
        <f aca="false">IF(G65="","",G65-N(H65))</f>
        <v/>
      </c>
      <c r="J65" s="40"/>
      <c r="K65" s="40"/>
      <c r="L65" s="28" t="str">
        <f aca="false">IF(OR(G65="",J65="",J65=0),"",G65/J65)</f>
        <v/>
      </c>
      <c r="M65" s="80"/>
    </row>
    <row r="66" customFormat="false" ht="15" hidden="false" customHeight="false" outlineLevel="0" collapsed="false">
      <c r="A66" s="73"/>
      <c r="B66" s="10"/>
      <c r="C66" s="50"/>
      <c r="D66" s="50"/>
      <c r="E66" s="50"/>
      <c r="F66" s="50"/>
      <c r="G66" s="28" t="str">
        <f aca="false">IF(COUNT(C66:F66)=0,"",SUM(C66:F66))</f>
        <v/>
      </c>
      <c r="H66" s="50"/>
      <c r="I66" s="28" t="str">
        <f aca="false">IF(G66="","",G66-N(H66))</f>
        <v/>
      </c>
      <c r="J66" s="40"/>
      <c r="K66" s="40"/>
      <c r="L66" s="28" t="str">
        <f aca="false">IF(OR(G66="",J66="",J66=0),"",G66/J66)</f>
        <v/>
      </c>
      <c r="M66" s="80"/>
    </row>
    <row r="67" customFormat="false" ht="15" hidden="false" customHeight="false" outlineLevel="0" collapsed="false">
      <c r="A67" s="73"/>
      <c r="B67" s="10"/>
      <c r="C67" s="50"/>
      <c r="D67" s="50"/>
      <c r="E67" s="50"/>
      <c r="F67" s="50"/>
      <c r="G67" s="28" t="str">
        <f aca="false">IF(COUNT(C67:F67)=0,"",SUM(C67:F67))</f>
        <v/>
      </c>
      <c r="H67" s="50"/>
      <c r="I67" s="28" t="str">
        <f aca="false">IF(G67="","",G67-N(H67))</f>
        <v/>
      </c>
      <c r="J67" s="40"/>
      <c r="K67" s="40"/>
      <c r="L67" s="28" t="str">
        <f aca="false">IF(OR(G67="",J67="",J67=0),"",G67/J67)</f>
        <v/>
      </c>
      <c r="M67" s="80"/>
    </row>
    <row r="68" customFormat="false" ht="15" hidden="false" customHeight="false" outlineLevel="0" collapsed="false">
      <c r="A68" s="73"/>
      <c r="B68" s="10"/>
      <c r="C68" s="50"/>
      <c r="D68" s="50"/>
      <c r="E68" s="50"/>
      <c r="F68" s="50"/>
      <c r="G68" s="28" t="str">
        <f aca="false">IF(COUNT(C68:F68)=0,"",SUM(C68:F68))</f>
        <v/>
      </c>
      <c r="H68" s="50"/>
      <c r="I68" s="28" t="str">
        <f aca="false">IF(G68="","",G68-N(H68))</f>
        <v/>
      </c>
      <c r="J68" s="40"/>
      <c r="K68" s="40"/>
      <c r="L68" s="28" t="str">
        <f aca="false">IF(OR(G68="",J68="",J68=0),"",G68/J68)</f>
        <v/>
      </c>
      <c r="M68" s="80"/>
    </row>
    <row r="69" customFormat="false" ht="15" hidden="false" customHeight="false" outlineLevel="0" collapsed="false">
      <c r="A69" s="73"/>
      <c r="B69" s="10"/>
      <c r="C69" s="50"/>
      <c r="D69" s="50"/>
      <c r="E69" s="50"/>
      <c r="F69" s="50"/>
      <c r="G69" s="28" t="str">
        <f aca="false">IF(COUNT(C69:F69)=0,"",SUM(C69:F69))</f>
        <v/>
      </c>
      <c r="H69" s="50"/>
      <c r="I69" s="28" t="str">
        <f aca="false">IF(G69="","",G69-N(H69))</f>
        <v/>
      </c>
      <c r="J69" s="40"/>
      <c r="K69" s="40"/>
      <c r="L69" s="28" t="str">
        <f aca="false">IF(OR(G69="",J69="",J69=0),"",G69/J69)</f>
        <v/>
      </c>
      <c r="M69" s="80"/>
    </row>
    <row r="70" customFormat="false" ht="15" hidden="false" customHeight="false" outlineLevel="0" collapsed="false">
      <c r="A70" s="73"/>
      <c r="B70" s="10"/>
      <c r="C70" s="50"/>
      <c r="D70" s="50"/>
      <c r="E70" s="50"/>
      <c r="F70" s="50"/>
      <c r="G70" s="28" t="str">
        <f aca="false">IF(COUNT(C70:F70)=0,"",SUM(C70:F70))</f>
        <v/>
      </c>
      <c r="H70" s="50"/>
      <c r="I70" s="28" t="str">
        <f aca="false">IF(G70="","",G70-N(H70))</f>
        <v/>
      </c>
      <c r="J70" s="40"/>
      <c r="K70" s="40"/>
      <c r="L70" s="28" t="str">
        <f aca="false">IF(OR(G70="",J70="",J70=0),"",G70/J70)</f>
        <v/>
      </c>
      <c r="M70" s="80"/>
    </row>
    <row r="71" customFormat="false" ht="15" hidden="false" customHeight="false" outlineLevel="0" collapsed="false">
      <c r="A71" s="73"/>
      <c r="B71" s="10"/>
      <c r="C71" s="50"/>
      <c r="D71" s="50"/>
      <c r="E71" s="50"/>
      <c r="F71" s="50"/>
      <c r="G71" s="28" t="str">
        <f aca="false">IF(COUNT(C71:F71)=0,"",SUM(C71:F71))</f>
        <v/>
      </c>
      <c r="H71" s="50"/>
      <c r="I71" s="28" t="str">
        <f aca="false">IF(G71="","",G71-N(H71))</f>
        <v/>
      </c>
      <c r="J71" s="40"/>
      <c r="K71" s="40"/>
      <c r="L71" s="28" t="str">
        <f aca="false">IF(OR(G71="",J71="",J71=0),"",G71/J71)</f>
        <v/>
      </c>
      <c r="M71" s="80"/>
    </row>
    <row r="72" customFormat="false" ht="15" hidden="false" customHeight="false" outlineLevel="0" collapsed="false">
      <c r="A72" s="73"/>
      <c r="B72" s="10"/>
      <c r="C72" s="50"/>
      <c r="D72" s="50"/>
      <c r="E72" s="50"/>
      <c r="F72" s="50"/>
      <c r="G72" s="28" t="str">
        <f aca="false">IF(COUNT(C72:F72)=0,"",SUM(C72:F72))</f>
        <v/>
      </c>
      <c r="H72" s="50"/>
      <c r="I72" s="28" t="str">
        <f aca="false">IF(G72="","",G72-N(H72))</f>
        <v/>
      </c>
      <c r="J72" s="40"/>
      <c r="K72" s="40"/>
      <c r="L72" s="28" t="str">
        <f aca="false">IF(OR(G72="",J72="",J72=0),"",G72/J72)</f>
        <v/>
      </c>
      <c r="M72" s="80"/>
    </row>
    <row r="73" customFormat="false" ht="15" hidden="false" customHeight="false" outlineLevel="0" collapsed="false">
      <c r="A73" s="73"/>
      <c r="B73" s="10"/>
      <c r="C73" s="50"/>
      <c r="D73" s="50"/>
      <c r="E73" s="50"/>
      <c r="F73" s="50"/>
      <c r="G73" s="28" t="str">
        <f aca="false">IF(COUNT(C73:F73)=0,"",SUM(C73:F73))</f>
        <v/>
      </c>
      <c r="H73" s="50"/>
      <c r="I73" s="28" t="str">
        <f aca="false">IF(G73="","",G73-N(H73))</f>
        <v/>
      </c>
      <c r="J73" s="40"/>
      <c r="K73" s="40"/>
      <c r="L73" s="28" t="str">
        <f aca="false">IF(OR(G73="",J73="",J73=0),"",G73/J73)</f>
        <v/>
      </c>
      <c r="M73" s="80"/>
    </row>
    <row r="74" customFormat="false" ht="15" hidden="false" customHeight="false" outlineLevel="0" collapsed="false">
      <c r="A74" s="73"/>
      <c r="B74" s="10"/>
      <c r="C74" s="50"/>
      <c r="D74" s="50"/>
      <c r="E74" s="50"/>
      <c r="F74" s="50"/>
      <c r="G74" s="28" t="str">
        <f aca="false">IF(COUNT(C74:F74)=0,"",SUM(C74:F74))</f>
        <v/>
      </c>
      <c r="H74" s="50"/>
      <c r="I74" s="28" t="str">
        <f aca="false">IF(G74="","",G74-N(H74))</f>
        <v/>
      </c>
      <c r="J74" s="40"/>
      <c r="K74" s="40"/>
      <c r="L74" s="28" t="str">
        <f aca="false">IF(OR(G74="",J74="",J74=0),"",G74/J74)</f>
        <v/>
      </c>
      <c r="M74" s="80"/>
    </row>
    <row r="75" customFormat="false" ht="15" hidden="false" customHeight="false" outlineLevel="0" collapsed="false">
      <c r="A75" s="73"/>
      <c r="B75" s="10"/>
      <c r="C75" s="50"/>
      <c r="D75" s="50"/>
      <c r="E75" s="50"/>
      <c r="F75" s="50"/>
      <c r="G75" s="28" t="str">
        <f aca="false">IF(COUNT(C75:F75)=0,"",SUM(C75:F75))</f>
        <v/>
      </c>
      <c r="H75" s="50"/>
      <c r="I75" s="28" t="str">
        <f aca="false">IF(G75="","",G75-N(H75))</f>
        <v/>
      </c>
      <c r="J75" s="40"/>
      <c r="K75" s="40"/>
      <c r="L75" s="28" t="str">
        <f aca="false">IF(OR(G75="",J75="",J75=0),"",G75/J75)</f>
        <v/>
      </c>
      <c r="M75" s="80"/>
    </row>
    <row r="76" customFormat="false" ht="15" hidden="false" customHeight="false" outlineLevel="0" collapsed="false">
      <c r="A76" s="73"/>
      <c r="B76" s="10"/>
      <c r="C76" s="50"/>
      <c r="D76" s="50"/>
      <c r="E76" s="50"/>
      <c r="F76" s="50"/>
      <c r="G76" s="28" t="str">
        <f aca="false">IF(COUNT(C76:F76)=0,"",SUM(C76:F76))</f>
        <v/>
      </c>
      <c r="H76" s="50"/>
      <c r="I76" s="28" t="str">
        <f aca="false">IF(G76="","",G76-N(H76))</f>
        <v/>
      </c>
      <c r="J76" s="40"/>
      <c r="K76" s="40"/>
      <c r="L76" s="28" t="str">
        <f aca="false">IF(OR(G76="",J76="",J76=0),"",G76/J76)</f>
        <v/>
      </c>
      <c r="M76" s="80"/>
    </row>
    <row r="77" customFormat="false" ht="15" hidden="false" customHeight="false" outlineLevel="0" collapsed="false">
      <c r="A77" s="73"/>
      <c r="B77" s="10"/>
      <c r="C77" s="50"/>
      <c r="D77" s="50"/>
      <c r="E77" s="50"/>
      <c r="F77" s="50"/>
      <c r="G77" s="28" t="str">
        <f aca="false">IF(COUNT(C77:F77)=0,"",SUM(C77:F77))</f>
        <v/>
      </c>
      <c r="H77" s="50"/>
      <c r="I77" s="28" t="str">
        <f aca="false">IF(G77="","",G77-N(H77))</f>
        <v/>
      </c>
      <c r="J77" s="40"/>
      <c r="K77" s="40"/>
      <c r="L77" s="28" t="str">
        <f aca="false">IF(OR(G77="",J77="",J77=0),"",G77/J77)</f>
        <v/>
      </c>
      <c r="M77" s="80"/>
    </row>
    <row r="78" customFormat="false" ht="15" hidden="false" customHeight="false" outlineLevel="0" collapsed="false">
      <c r="A78" s="73"/>
      <c r="B78" s="10"/>
      <c r="C78" s="50"/>
      <c r="D78" s="50"/>
      <c r="E78" s="50"/>
      <c r="F78" s="50"/>
      <c r="G78" s="28" t="str">
        <f aca="false">IF(COUNT(C78:F78)=0,"",SUM(C78:F78))</f>
        <v/>
      </c>
      <c r="H78" s="50"/>
      <c r="I78" s="28" t="str">
        <f aca="false">IF(G78="","",G78-N(H78))</f>
        <v/>
      </c>
      <c r="J78" s="40"/>
      <c r="K78" s="40"/>
      <c r="L78" s="28" t="str">
        <f aca="false">IF(OR(G78="",J78="",J78=0),"",G78/J78)</f>
        <v/>
      </c>
      <c r="M78" s="80"/>
    </row>
    <row r="79" customFormat="false" ht="15" hidden="false" customHeight="false" outlineLevel="0" collapsed="false">
      <c r="A79" s="73"/>
      <c r="B79" s="10"/>
      <c r="C79" s="50"/>
      <c r="D79" s="50"/>
      <c r="E79" s="50"/>
      <c r="F79" s="50"/>
      <c r="G79" s="28" t="str">
        <f aca="false">IF(COUNT(C79:F79)=0,"",SUM(C79:F79))</f>
        <v/>
      </c>
      <c r="H79" s="50"/>
      <c r="I79" s="28" t="str">
        <f aca="false">IF(G79="","",G79-N(H79))</f>
        <v/>
      </c>
      <c r="J79" s="40"/>
      <c r="K79" s="40"/>
      <c r="L79" s="28" t="str">
        <f aca="false">IF(OR(G79="",J79="",J79=0),"",G79/J79)</f>
        <v/>
      </c>
      <c r="M79" s="80"/>
    </row>
    <row r="80" customFormat="false" ht="15" hidden="false" customHeight="false" outlineLevel="0" collapsed="false">
      <c r="A80" s="73"/>
      <c r="B80" s="10"/>
      <c r="C80" s="50"/>
      <c r="D80" s="50"/>
      <c r="E80" s="50"/>
      <c r="F80" s="50"/>
      <c r="G80" s="28" t="str">
        <f aca="false">IF(COUNT(C80:F80)=0,"",SUM(C80:F80))</f>
        <v/>
      </c>
      <c r="H80" s="50"/>
      <c r="I80" s="28" t="str">
        <f aca="false">IF(G80="","",G80-N(H80))</f>
        <v/>
      </c>
      <c r="J80" s="40"/>
      <c r="K80" s="40"/>
      <c r="L80" s="28" t="str">
        <f aca="false">IF(OR(G80="",J80="",J80=0),"",G80/J80)</f>
        <v/>
      </c>
      <c r="M80" s="80"/>
    </row>
    <row r="81" customFormat="false" ht="15" hidden="false" customHeight="false" outlineLevel="0" collapsed="false">
      <c r="A81" s="73"/>
      <c r="B81" s="10"/>
      <c r="C81" s="50"/>
      <c r="D81" s="50"/>
      <c r="E81" s="50"/>
      <c r="F81" s="50"/>
      <c r="G81" s="28" t="str">
        <f aca="false">IF(COUNT(C81:F81)=0,"",SUM(C81:F81))</f>
        <v/>
      </c>
      <c r="H81" s="50"/>
      <c r="I81" s="28" t="str">
        <f aca="false">IF(G81="","",G81-N(H81))</f>
        <v/>
      </c>
      <c r="J81" s="40"/>
      <c r="K81" s="40"/>
      <c r="L81" s="28" t="str">
        <f aca="false">IF(OR(G81="",J81="",J81=0),"",G81/J81)</f>
        <v/>
      </c>
      <c r="M81" s="80"/>
    </row>
    <row r="82" customFormat="false" ht="15" hidden="false" customHeight="false" outlineLevel="0" collapsed="false">
      <c r="A82" s="73"/>
      <c r="B82" s="10"/>
      <c r="C82" s="50"/>
      <c r="D82" s="50"/>
      <c r="E82" s="50"/>
      <c r="F82" s="50"/>
      <c r="G82" s="28" t="str">
        <f aca="false">IF(COUNT(C82:F82)=0,"",SUM(C82:F82))</f>
        <v/>
      </c>
      <c r="H82" s="50"/>
      <c r="I82" s="28" t="str">
        <f aca="false">IF(G82="","",G82-N(H82))</f>
        <v/>
      </c>
      <c r="J82" s="40"/>
      <c r="K82" s="40"/>
      <c r="L82" s="28" t="str">
        <f aca="false">IF(OR(G82="",J82="",J82=0),"",G82/J82)</f>
        <v/>
      </c>
      <c r="M82" s="80"/>
    </row>
    <row r="83" customFormat="false" ht="15" hidden="false" customHeight="false" outlineLevel="0" collapsed="false">
      <c r="A83" s="73"/>
      <c r="B83" s="10"/>
      <c r="C83" s="50"/>
      <c r="D83" s="50"/>
      <c r="E83" s="50"/>
      <c r="F83" s="50"/>
      <c r="G83" s="28" t="str">
        <f aca="false">IF(COUNT(C83:F83)=0,"",SUM(C83:F83))</f>
        <v/>
      </c>
      <c r="H83" s="50"/>
      <c r="I83" s="28" t="str">
        <f aca="false">IF(G83="","",G83-N(H83))</f>
        <v/>
      </c>
      <c r="J83" s="40"/>
      <c r="K83" s="40"/>
      <c r="L83" s="28" t="str">
        <f aca="false">IF(OR(G83="",J83="",J83=0),"",G83/J83)</f>
        <v/>
      </c>
      <c r="M83" s="80"/>
    </row>
    <row r="84" customFormat="false" ht="15" hidden="false" customHeight="false" outlineLevel="0" collapsed="false">
      <c r="A84" s="73"/>
      <c r="B84" s="10"/>
      <c r="C84" s="50"/>
      <c r="D84" s="50"/>
      <c r="E84" s="50"/>
      <c r="F84" s="50"/>
      <c r="G84" s="28" t="str">
        <f aca="false">IF(COUNT(C84:F84)=0,"",SUM(C84:F84))</f>
        <v/>
      </c>
      <c r="H84" s="50"/>
      <c r="I84" s="28" t="str">
        <f aca="false">IF(G84="","",G84-N(H84))</f>
        <v/>
      </c>
      <c r="J84" s="40"/>
      <c r="K84" s="40"/>
      <c r="L84" s="28" t="str">
        <f aca="false">IF(OR(G84="",J84="",J84=0),"",G84/J84)</f>
        <v/>
      </c>
      <c r="M84" s="80"/>
    </row>
    <row r="85" customFormat="false" ht="15" hidden="false" customHeight="false" outlineLevel="0" collapsed="false">
      <c r="A85" s="73"/>
      <c r="B85" s="10"/>
      <c r="C85" s="50"/>
      <c r="D85" s="50"/>
      <c r="E85" s="50"/>
      <c r="F85" s="50"/>
      <c r="G85" s="28" t="str">
        <f aca="false">IF(COUNT(C85:F85)=0,"",SUM(C85:F85))</f>
        <v/>
      </c>
      <c r="H85" s="50"/>
      <c r="I85" s="28" t="str">
        <f aca="false">IF(G85="","",G85-N(H85))</f>
        <v/>
      </c>
      <c r="J85" s="40"/>
      <c r="K85" s="40"/>
      <c r="L85" s="28" t="str">
        <f aca="false">IF(OR(G85="",J85="",J85=0),"",G85/J85)</f>
        <v/>
      </c>
      <c r="M85" s="80"/>
    </row>
    <row r="86" customFormat="false" ht="15" hidden="false" customHeight="false" outlineLevel="0" collapsed="false">
      <c r="A86" s="73"/>
      <c r="B86" s="10"/>
      <c r="C86" s="50"/>
      <c r="D86" s="50"/>
      <c r="E86" s="50"/>
      <c r="F86" s="50"/>
      <c r="G86" s="28" t="str">
        <f aca="false">IF(COUNT(C86:F86)=0,"",SUM(C86:F86))</f>
        <v/>
      </c>
      <c r="H86" s="50"/>
      <c r="I86" s="28" t="str">
        <f aca="false">IF(G86="","",G86-N(H86))</f>
        <v/>
      </c>
      <c r="J86" s="40"/>
      <c r="K86" s="40"/>
      <c r="L86" s="28" t="str">
        <f aca="false">IF(OR(G86="",J86="",J86=0),"",G86/J86)</f>
        <v/>
      </c>
      <c r="M86" s="80"/>
    </row>
    <row r="87" customFormat="false" ht="15" hidden="false" customHeight="false" outlineLevel="0" collapsed="false">
      <c r="A87" s="73"/>
      <c r="B87" s="10"/>
      <c r="C87" s="50"/>
      <c r="D87" s="50"/>
      <c r="E87" s="50"/>
      <c r="F87" s="50"/>
      <c r="G87" s="28" t="str">
        <f aca="false">IF(COUNT(C87:F87)=0,"",SUM(C87:F87))</f>
        <v/>
      </c>
      <c r="H87" s="50"/>
      <c r="I87" s="28" t="str">
        <f aca="false">IF(G87="","",G87-N(H87))</f>
        <v/>
      </c>
      <c r="J87" s="40"/>
      <c r="K87" s="40"/>
      <c r="L87" s="28" t="str">
        <f aca="false">IF(OR(G87="",J87="",J87=0),"",G87/J87)</f>
        <v/>
      </c>
      <c r="M87" s="80"/>
    </row>
    <row r="88" customFormat="false" ht="15" hidden="false" customHeight="false" outlineLevel="0" collapsed="false">
      <c r="A88" s="73"/>
      <c r="B88" s="10"/>
      <c r="C88" s="50"/>
      <c r="D88" s="50"/>
      <c r="E88" s="50"/>
      <c r="F88" s="50"/>
      <c r="G88" s="28" t="str">
        <f aca="false">IF(COUNT(C88:F88)=0,"",SUM(C88:F88))</f>
        <v/>
      </c>
      <c r="H88" s="50"/>
      <c r="I88" s="28" t="str">
        <f aca="false">IF(G88="","",G88-N(H88))</f>
        <v/>
      </c>
      <c r="J88" s="40"/>
      <c r="K88" s="40"/>
      <c r="L88" s="28" t="str">
        <f aca="false">IF(OR(G88="",J88="",J88=0),"",G88/J88)</f>
        <v/>
      </c>
      <c r="M88" s="80"/>
    </row>
    <row r="89" customFormat="false" ht="15" hidden="false" customHeight="false" outlineLevel="0" collapsed="false">
      <c r="A89" s="73"/>
      <c r="B89" s="10"/>
      <c r="C89" s="50"/>
      <c r="D89" s="50"/>
      <c r="E89" s="50"/>
      <c r="F89" s="50"/>
      <c r="G89" s="28" t="str">
        <f aca="false">IF(COUNT(C89:F89)=0,"",SUM(C89:F89))</f>
        <v/>
      </c>
      <c r="H89" s="50"/>
      <c r="I89" s="28" t="str">
        <f aca="false">IF(G89="","",G89-N(H89))</f>
        <v/>
      </c>
      <c r="J89" s="40"/>
      <c r="K89" s="40"/>
      <c r="L89" s="28" t="str">
        <f aca="false">IF(OR(G89="",J89="",J89=0),"",G89/J89)</f>
        <v/>
      </c>
      <c r="M89" s="80"/>
    </row>
    <row r="90" customFormat="false" ht="15" hidden="false" customHeight="false" outlineLevel="0" collapsed="false">
      <c r="A90" s="73"/>
      <c r="B90" s="10"/>
      <c r="C90" s="50"/>
      <c r="D90" s="50"/>
      <c r="E90" s="50"/>
      <c r="F90" s="50"/>
      <c r="G90" s="28" t="str">
        <f aca="false">IF(COUNT(C90:F90)=0,"",SUM(C90:F90))</f>
        <v/>
      </c>
      <c r="H90" s="50"/>
      <c r="I90" s="28" t="str">
        <f aca="false">IF(G90="","",G90-N(H90))</f>
        <v/>
      </c>
      <c r="J90" s="40"/>
      <c r="K90" s="40"/>
      <c r="L90" s="28" t="str">
        <f aca="false">IF(OR(G90="",J90="",J90=0),"",G90/J90)</f>
        <v/>
      </c>
      <c r="M90" s="80"/>
    </row>
    <row r="91" customFormat="false" ht="15" hidden="false" customHeight="false" outlineLevel="0" collapsed="false">
      <c r="A91" s="73"/>
      <c r="B91" s="10"/>
      <c r="C91" s="50"/>
      <c r="D91" s="50"/>
      <c r="E91" s="50"/>
      <c r="F91" s="50"/>
      <c r="G91" s="28" t="str">
        <f aca="false">IF(COUNT(C91:F91)=0,"",SUM(C91:F91))</f>
        <v/>
      </c>
      <c r="H91" s="50"/>
      <c r="I91" s="28" t="str">
        <f aca="false">IF(G91="","",G91-N(H91))</f>
        <v/>
      </c>
      <c r="J91" s="40"/>
      <c r="K91" s="40"/>
      <c r="L91" s="28" t="str">
        <f aca="false">IF(OR(G91="",J91="",J91=0),"",G91/J91)</f>
        <v/>
      </c>
      <c r="M91" s="80"/>
    </row>
    <row r="92" customFormat="false" ht="15" hidden="false" customHeight="false" outlineLevel="0" collapsed="false">
      <c r="A92" s="73"/>
      <c r="B92" s="10"/>
      <c r="C92" s="50"/>
      <c r="D92" s="50"/>
      <c r="E92" s="50"/>
      <c r="F92" s="50"/>
      <c r="G92" s="28" t="str">
        <f aca="false">IF(COUNT(C92:F92)=0,"",SUM(C92:F92))</f>
        <v/>
      </c>
      <c r="H92" s="50"/>
      <c r="I92" s="28" t="str">
        <f aca="false">IF(G92="","",G92-N(H92))</f>
        <v/>
      </c>
      <c r="J92" s="40"/>
      <c r="K92" s="40"/>
      <c r="L92" s="28" t="str">
        <f aca="false">IF(OR(G92="",J92="",J92=0),"",G92/J92)</f>
        <v/>
      </c>
      <c r="M92" s="80"/>
    </row>
    <row r="93" customFormat="false" ht="15" hidden="false" customHeight="false" outlineLevel="0" collapsed="false">
      <c r="A93" s="73"/>
      <c r="B93" s="10"/>
      <c r="C93" s="50"/>
      <c r="D93" s="50"/>
      <c r="E93" s="50"/>
      <c r="F93" s="50"/>
      <c r="G93" s="28" t="str">
        <f aca="false">IF(COUNT(C93:F93)=0,"",SUM(C93:F93))</f>
        <v/>
      </c>
      <c r="H93" s="50"/>
      <c r="I93" s="28" t="str">
        <f aca="false">IF(G93="","",G93-N(H93))</f>
        <v/>
      </c>
      <c r="J93" s="40"/>
      <c r="K93" s="40"/>
      <c r="L93" s="28" t="str">
        <f aca="false">IF(OR(G93="",J93="",J93=0),"",G93/J93)</f>
        <v/>
      </c>
      <c r="M93" s="80"/>
    </row>
    <row r="94" customFormat="false" ht="15" hidden="false" customHeight="false" outlineLevel="0" collapsed="false">
      <c r="A94" s="73"/>
      <c r="B94" s="10"/>
      <c r="C94" s="50"/>
      <c r="D94" s="50"/>
      <c r="E94" s="50"/>
      <c r="F94" s="50"/>
      <c r="G94" s="28" t="str">
        <f aca="false">IF(COUNT(C94:F94)=0,"",SUM(C94:F94))</f>
        <v/>
      </c>
      <c r="H94" s="50"/>
      <c r="I94" s="28" t="str">
        <f aca="false">IF(G94="","",G94-N(H94))</f>
        <v/>
      </c>
      <c r="J94" s="40"/>
      <c r="K94" s="40"/>
      <c r="L94" s="28" t="str">
        <f aca="false">IF(OR(G94="",J94="",J94=0),"",G94/J94)</f>
        <v/>
      </c>
      <c r="M94" s="80"/>
    </row>
    <row r="95" customFormat="false" ht="15" hidden="false" customHeight="false" outlineLevel="0" collapsed="false">
      <c r="A95" s="73"/>
      <c r="B95" s="10"/>
      <c r="C95" s="50"/>
      <c r="D95" s="50"/>
      <c r="E95" s="50"/>
      <c r="F95" s="50"/>
      <c r="G95" s="28" t="str">
        <f aca="false">IF(COUNT(C95:F95)=0,"",SUM(C95:F95))</f>
        <v/>
      </c>
      <c r="H95" s="50"/>
      <c r="I95" s="28" t="str">
        <f aca="false">IF(G95="","",G95-N(H95))</f>
        <v/>
      </c>
      <c r="J95" s="40"/>
      <c r="K95" s="40"/>
      <c r="L95" s="28" t="str">
        <f aca="false">IF(OR(G95="",J95="",J95=0),"",G95/J95)</f>
        <v/>
      </c>
      <c r="M95" s="80"/>
    </row>
    <row r="96" customFormat="false" ht="15" hidden="false" customHeight="false" outlineLevel="0" collapsed="false">
      <c r="A96" s="73"/>
      <c r="B96" s="10"/>
      <c r="C96" s="50"/>
      <c r="D96" s="50"/>
      <c r="E96" s="50"/>
      <c r="F96" s="50"/>
      <c r="G96" s="28" t="str">
        <f aca="false">IF(COUNT(C96:F96)=0,"",SUM(C96:F96))</f>
        <v/>
      </c>
      <c r="H96" s="50"/>
      <c r="I96" s="28" t="str">
        <f aca="false">IF(G96="","",G96-N(H96))</f>
        <v/>
      </c>
      <c r="J96" s="40"/>
      <c r="K96" s="40"/>
      <c r="L96" s="28" t="str">
        <f aca="false">IF(OR(G96="",J96="",J96=0),"",G96/J96)</f>
        <v/>
      </c>
      <c r="M96" s="80"/>
    </row>
    <row r="97" customFormat="false" ht="15" hidden="false" customHeight="false" outlineLevel="0" collapsed="false">
      <c r="A97" s="73"/>
      <c r="B97" s="10"/>
      <c r="C97" s="50"/>
      <c r="D97" s="50"/>
      <c r="E97" s="50"/>
      <c r="F97" s="50"/>
      <c r="G97" s="28" t="str">
        <f aca="false">IF(COUNT(C97:F97)=0,"",SUM(C97:F97))</f>
        <v/>
      </c>
      <c r="H97" s="50"/>
      <c r="I97" s="28" t="str">
        <f aca="false">IF(G97="","",G97-N(H97))</f>
        <v/>
      </c>
      <c r="J97" s="40"/>
      <c r="K97" s="40"/>
      <c r="L97" s="28" t="str">
        <f aca="false">IF(OR(G97="",J97="",J97=0),"",G97/J97)</f>
        <v/>
      </c>
      <c r="M97" s="80"/>
    </row>
    <row r="98" customFormat="false" ht="15" hidden="false" customHeight="false" outlineLevel="0" collapsed="false">
      <c r="A98" s="73"/>
      <c r="B98" s="10"/>
      <c r="C98" s="50"/>
      <c r="D98" s="50"/>
      <c r="E98" s="50"/>
      <c r="F98" s="50"/>
      <c r="G98" s="28" t="str">
        <f aca="false">IF(COUNT(C98:F98)=0,"",SUM(C98:F98))</f>
        <v/>
      </c>
      <c r="H98" s="50"/>
      <c r="I98" s="28" t="str">
        <f aca="false">IF(G98="","",G98-N(H98))</f>
        <v/>
      </c>
      <c r="J98" s="40"/>
      <c r="K98" s="40"/>
      <c r="L98" s="28" t="str">
        <f aca="false">IF(OR(G98="",J98="",J98=0),"",G98/J98)</f>
        <v/>
      </c>
      <c r="M98" s="80"/>
    </row>
    <row r="99" customFormat="false" ht="15" hidden="false" customHeight="false" outlineLevel="0" collapsed="false">
      <c r="A99" s="73"/>
      <c r="B99" s="10"/>
      <c r="C99" s="50"/>
      <c r="D99" s="50"/>
      <c r="E99" s="50"/>
      <c r="F99" s="50"/>
      <c r="G99" s="28" t="str">
        <f aca="false">IF(COUNT(C99:F99)=0,"",SUM(C99:F99))</f>
        <v/>
      </c>
      <c r="H99" s="50"/>
      <c r="I99" s="28" t="str">
        <f aca="false">IF(G99="","",G99-N(H99))</f>
        <v/>
      </c>
      <c r="J99" s="40"/>
      <c r="K99" s="40"/>
      <c r="L99" s="28" t="str">
        <f aca="false">IF(OR(G99="",J99="",J99=0),"",G99/J99)</f>
        <v/>
      </c>
      <c r="M99" s="80"/>
    </row>
    <row r="100" customFormat="false" ht="15" hidden="false" customHeight="false" outlineLevel="0" collapsed="false">
      <c r="A100" s="73"/>
      <c r="B100" s="10"/>
      <c r="C100" s="50"/>
      <c r="D100" s="50"/>
      <c r="E100" s="50"/>
      <c r="F100" s="50"/>
      <c r="G100" s="28" t="str">
        <f aca="false">IF(COUNT(C100:F100)=0,"",SUM(C100:F100))</f>
        <v/>
      </c>
      <c r="H100" s="50"/>
      <c r="I100" s="28" t="str">
        <f aca="false">IF(G100="","",G100-N(H100))</f>
        <v/>
      </c>
      <c r="J100" s="40"/>
      <c r="K100" s="40"/>
      <c r="L100" s="28" t="str">
        <f aca="false">IF(OR(G100="",J100="",J100=0),"",G100/J100)</f>
        <v/>
      </c>
      <c r="M100" s="80"/>
    </row>
    <row r="101" customFormat="false" ht="15" hidden="false" customHeight="false" outlineLevel="0" collapsed="false">
      <c r="A101" s="73"/>
      <c r="B101" s="10"/>
      <c r="C101" s="50"/>
      <c r="D101" s="50"/>
      <c r="E101" s="50"/>
      <c r="F101" s="50"/>
      <c r="G101" s="28" t="str">
        <f aca="false">IF(COUNT(C101:F101)=0,"",SUM(C101:F101))</f>
        <v/>
      </c>
      <c r="H101" s="50"/>
      <c r="I101" s="28" t="str">
        <f aca="false">IF(G101="","",G101-N(H101))</f>
        <v/>
      </c>
      <c r="J101" s="40"/>
      <c r="K101" s="40"/>
      <c r="L101" s="28" t="str">
        <f aca="false">IF(OR(G101="",J101="",J101=0),"",G101/J101)</f>
        <v/>
      </c>
      <c r="M101" s="80"/>
    </row>
    <row r="102" customFormat="false" ht="15" hidden="false" customHeight="false" outlineLevel="0" collapsed="false">
      <c r="A102" s="73"/>
      <c r="B102" s="10"/>
      <c r="C102" s="50"/>
      <c r="D102" s="50"/>
      <c r="E102" s="50"/>
      <c r="F102" s="50"/>
      <c r="G102" s="28" t="str">
        <f aca="false">IF(COUNT(C102:F102)=0,"",SUM(C102:F102))</f>
        <v/>
      </c>
      <c r="H102" s="50"/>
      <c r="I102" s="28" t="str">
        <f aca="false">IF(G102="","",G102-N(H102))</f>
        <v/>
      </c>
      <c r="J102" s="40"/>
      <c r="K102" s="40"/>
      <c r="L102" s="28" t="str">
        <f aca="false">IF(OR(G102="",J102="",J102=0),"",G102/J102)</f>
        <v/>
      </c>
      <c r="M102" s="80"/>
    </row>
    <row r="103" customFormat="false" ht="15" hidden="false" customHeight="false" outlineLevel="0" collapsed="false">
      <c r="A103" s="73"/>
      <c r="B103" s="10"/>
      <c r="C103" s="50"/>
      <c r="D103" s="50"/>
      <c r="E103" s="50"/>
      <c r="F103" s="50"/>
      <c r="G103" s="28" t="str">
        <f aca="false">IF(COUNT(C103:F103)=0,"",SUM(C103:F103))</f>
        <v/>
      </c>
      <c r="H103" s="50"/>
      <c r="I103" s="28" t="str">
        <f aca="false">IF(G103="","",G103-N(H103))</f>
        <v/>
      </c>
      <c r="J103" s="40"/>
      <c r="K103" s="40"/>
      <c r="L103" s="28" t="str">
        <f aca="false">IF(OR(G103="",J103="",J103=0),"",G103/J103)</f>
        <v/>
      </c>
      <c r="M103" s="80"/>
    </row>
    <row r="104" customFormat="false" ht="15" hidden="false" customHeight="false" outlineLevel="0" collapsed="false">
      <c r="A104" s="73"/>
      <c r="B104" s="10"/>
      <c r="C104" s="50"/>
      <c r="D104" s="50"/>
      <c r="E104" s="50"/>
      <c r="F104" s="50"/>
      <c r="G104" s="28" t="str">
        <f aca="false">IF(COUNT(C104:F104)=0,"",SUM(C104:F104))</f>
        <v/>
      </c>
      <c r="H104" s="50"/>
      <c r="I104" s="28" t="str">
        <f aca="false">IF(G104="","",G104-N(H104))</f>
        <v/>
      </c>
      <c r="J104" s="40"/>
      <c r="K104" s="40"/>
      <c r="L104" s="28" t="str">
        <f aca="false">IF(OR(G104="",J104="",J104=0),"",G104/J104)</f>
        <v/>
      </c>
      <c r="M104" s="80"/>
    </row>
    <row r="105" customFormat="false" ht="15" hidden="false" customHeight="false" outlineLevel="0" collapsed="false">
      <c r="A105" s="73"/>
      <c r="B105" s="10"/>
      <c r="C105" s="50"/>
      <c r="D105" s="50"/>
      <c r="E105" s="50"/>
      <c r="F105" s="50"/>
      <c r="G105" s="28" t="str">
        <f aca="false">IF(COUNT(C105:F105)=0,"",SUM(C105:F105))</f>
        <v/>
      </c>
      <c r="H105" s="50"/>
      <c r="I105" s="28" t="str">
        <f aca="false">IF(G105="","",G105-N(H105))</f>
        <v/>
      </c>
      <c r="J105" s="40"/>
      <c r="K105" s="40"/>
      <c r="L105" s="28" t="str">
        <f aca="false">IF(OR(G105="",J105="",J105=0),"",G105/J105)</f>
        <v/>
      </c>
      <c r="M105" s="80"/>
    </row>
    <row r="106" customFormat="false" ht="15" hidden="false" customHeight="false" outlineLevel="0" collapsed="false">
      <c r="A106" s="73"/>
      <c r="B106" s="10"/>
      <c r="C106" s="50"/>
      <c r="D106" s="50"/>
      <c r="E106" s="50"/>
      <c r="F106" s="50"/>
      <c r="G106" s="28" t="str">
        <f aca="false">IF(COUNT(C106:F106)=0,"",SUM(C106:F106))</f>
        <v/>
      </c>
      <c r="H106" s="50"/>
      <c r="I106" s="28" t="str">
        <f aca="false">IF(G106="","",G106-N(H106))</f>
        <v/>
      </c>
      <c r="J106" s="40"/>
      <c r="K106" s="40"/>
      <c r="L106" s="28" t="str">
        <f aca="false">IF(OR(G106="",J106="",J106=0),"",G106/J106)</f>
        <v/>
      </c>
      <c r="M106" s="80"/>
    </row>
    <row r="107" customFormat="false" ht="15" hidden="false" customHeight="false" outlineLevel="0" collapsed="false">
      <c r="A107" s="73"/>
      <c r="B107" s="10"/>
      <c r="C107" s="50"/>
      <c r="D107" s="50"/>
      <c r="E107" s="50"/>
      <c r="F107" s="50"/>
      <c r="G107" s="28" t="str">
        <f aca="false">IF(COUNT(C107:F107)=0,"",SUM(C107:F107))</f>
        <v/>
      </c>
      <c r="H107" s="50"/>
      <c r="I107" s="28" t="str">
        <f aca="false">IF(G107="","",G107-N(H107))</f>
        <v/>
      </c>
      <c r="J107" s="40"/>
      <c r="K107" s="40"/>
      <c r="L107" s="28" t="str">
        <f aca="false">IF(OR(G107="",J107="",J107=0),"",G107/J107)</f>
        <v/>
      </c>
      <c r="M107" s="80"/>
    </row>
    <row r="108" customFormat="false" ht="15" hidden="false" customHeight="false" outlineLevel="0" collapsed="false">
      <c r="A108" s="73"/>
      <c r="B108" s="10"/>
      <c r="C108" s="50"/>
      <c r="D108" s="50"/>
      <c r="E108" s="50"/>
      <c r="F108" s="50"/>
      <c r="G108" s="28" t="str">
        <f aca="false">IF(COUNT(C108:F108)=0,"",SUM(C108:F108))</f>
        <v/>
      </c>
      <c r="H108" s="50"/>
      <c r="I108" s="28" t="str">
        <f aca="false">IF(G108="","",G108-N(H108))</f>
        <v/>
      </c>
      <c r="J108" s="40"/>
      <c r="K108" s="40"/>
      <c r="L108" s="28" t="str">
        <f aca="false">IF(OR(G108="",J108="",J108=0),"",G108/J108)</f>
        <v/>
      </c>
      <c r="M108" s="80"/>
    </row>
    <row r="109" customFormat="false" ht="15" hidden="false" customHeight="false" outlineLevel="0" collapsed="false">
      <c r="A109" s="73"/>
      <c r="B109" s="10"/>
      <c r="C109" s="50"/>
      <c r="D109" s="50"/>
      <c r="E109" s="50"/>
      <c r="F109" s="50"/>
      <c r="G109" s="28" t="str">
        <f aca="false">IF(COUNT(C109:F109)=0,"",SUM(C109:F109))</f>
        <v/>
      </c>
      <c r="H109" s="50"/>
      <c r="I109" s="28" t="str">
        <f aca="false">IF(G109="","",G109-N(H109))</f>
        <v/>
      </c>
      <c r="J109" s="40"/>
      <c r="K109" s="40"/>
      <c r="L109" s="28" t="str">
        <f aca="false">IF(OR(G109="",J109="",J109=0),"",G109/J109)</f>
        <v/>
      </c>
      <c r="M109" s="80"/>
    </row>
    <row r="110" customFormat="false" ht="15" hidden="false" customHeight="false" outlineLevel="0" collapsed="false">
      <c r="A110" s="73"/>
      <c r="B110" s="10"/>
      <c r="C110" s="50"/>
      <c r="D110" s="50"/>
      <c r="E110" s="50"/>
      <c r="F110" s="50"/>
      <c r="G110" s="28" t="str">
        <f aca="false">IF(COUNT(C110:F110)=0,"",SUM(C110:F110))</f>
        <v/>
      </c>
      <c r="H110" s="50"/>
      <c r="I110" s="28" t="str">
        <f aca="false">IF(G110="","",G110-N(H110))</f>
        <v/>
      </c>
      <c r="J110" s="40"/>
      <c r="K110" s="40"/>
      <c r="L110" s="28" t="str">
        <f aca="false">IF(OR(G110="",J110="",J110=0),"",G110/J110)</f>
        <v/>
      </c>
      <c r="M110" s="80"/>
    </row>
    <row r="111" customFormat="false" ht="15" hidden="false" customHeight="false" outlineLevel="0" collapsed="false">
      <c r="A111" s="73"/>
      <c r="B111" s="10"/>
      <c r="C111" s="50"/>
      <c r="D111" s="50"/>
      <c r="E111" s="50"/>
      <c r="F111" s="50"/>
      <c r="G111" s="28" t="str">
        <f aca="false">IF(COUNT(C111:F111)=0,"",SUM(C111:F111))</f>
        <v/>
      </c>
      <c r="H111" s="50"/>
      <c r="I111" s="28" t="str">
        <f aca="false">IF(G111="","",G111-N(H111))</f>
        <v/>
      </c>
      <c r="J111" s="40"/>
      <c r="K111" s="40"/>
      <c r="L111" s="28" t="str">
        <f aca="false">IF(OR(G111="",J111="",J111=0),"",G111/J111)</f>
        <v/>
      </c>
      <c r="M111" s="80"/>
    </row>
    <row r="112" customFormat="false" ht="15" hidden="false" customHeight="false" outlineLevel="0" collapsed="false">
      <c r="A112" s="73"/>
      <c r="B112" s="10"/>
      <c r="C112" s="50"/>
      <c r="D112" s="50"/>
      <c r="E112" s="50"/>
      <c r="F112" s="50"/>
      <c r="G112" s="28" t="str">
        <f aca="false">IF(COUNT(C112:F112)=0,"",SUM(C112:F112))</f>
        <v/>
      </c>
      <c r="H112" s="50"/>
      <c r="I112" s="28" t="str">
        <f aca="false">IF(G112="","",G112-N(H112))</f>
        <v/>
      </c>
      <c r="J112" s="40"/>
      <c r="K112" s="40"/>
      <c r="L112" s="28" t="str">
        <f aca="false">IF(OR(G112="",J112="",J112=0),"",G112/J112)</f>
        <v/>
      </c>
      <c r="M112" s="80"/>
    </row>
    <row r="113" customFormat="false" ht="15" hidden="false" customHeight="false" outlineLevel="0" collapsed="false">
      <c r="A113" s="73"/>
      <c r="B113" s="10"/>
      <c r="C113" s="50"/>
      <c r="D113" s="50"/>
      <c r="E113" s="50"/>
      <c r="F113" s="50"/>
      <c r="G113" s="28" t="str">
        <f aca="false">IF(COUNT(C113:F113)=0,"",SUM(C113:F113))</f>
        <v/>
      </c>
      <c r="H113" s="50"/>
      <c r="I113" s="28" t="str">
        <f aca="false">IF(G113="","",G113-N(H113))</f>
        <v/>
      </c>
      <c r="J113" s="40"/>
      <c r="K113" s="40"/>
      <c r="L113" s="28" t="str">
        <f aca="false">IF(OR(G113="",J113="",J113=0),"",G113/J113)</f>
        <v/>
      </c>
      <c r="M113" s="80"/>
    </row>
    <row r="114" customFormat="false" ht="15" hidden="false" customHeight="false" outlineLevel="0" collapsed="false">
      <c r="A114" s="73"/>
      <c r="B114" s="10"/>
      <c r="C114" s="50"/>
      <c r="D114" s="50"/>
      <c r="E114" s="50"/>
      <c r="F114" s="50"/>
      <c r="G114" s="28" t="str">
        <f aca="false">IF(COUNT(C114:F114)=0,"",SUM(C114:F114))</f>
        <v/>
      </c>
      <c r="H114" s="50"/>
      <c r="I114" s="28" t="str">
        <f aca="false">IF(G114="","",G114-N(H114))</f>
        <v/>
      </c>
      <c r="J114" s="40"/>
      <c r="K114" s="40"/>
      <c r="L114" s="28" t="str">
        <f aca="false">IF(OR(G114="",J114="",J114=0),"",G114/J114)</f>
        <v/>
      </c>
      <c r="M114" s="80"/>
    </row>
    <row r="115" customFormat="false" ht="15" hidden="false" customHeight="false" outlineLevel="0" collapsed="false">
      <c r="A115" s="73"/>
      <c r="B115" s="10"/>
      <c r="C115" s="50"/>
      <c r="D115" s="50"/>
      <c r="E115" s="50"/>
      <c r="F115" s="50"/>
      <c r="G115" s="28" t="str">
        <f aca="false">IF(COUNT(C115:F115)=0,"",SUM(C115:F115))</f>
        <v/>
      </c>
      <c r="H115" s="50"/>
      <c r="I115" s="28" t="str">
        <f aca="false">IF(G115="","",G115-N(H115))</f>
        <v/>
      </c>
      <c r="J115" s="40"/>
      <c r="K115" s="40"/>
      <c r="L115" s="28" t="str">
        <f aca="false">IF(OR(G115="",J115="",J115=0),"",G115/J115)</f>
        <v/>
      </c>
      <c r="M115" s="80"/>
    </row>
    <row r="116" customFormat="false" ht="15" hidden="false" customHeight="false" outlineLevel="0" collapsed="false">
      <c r="A116" s="73"/>
      <c r="B116" s="10"/>
      <c r="C116" s="50"/>
      <c r="D116" s="50"/>
      <c r="E116" s="50"/>
      <c r="F116" s="50"/>
      <c r="G116" s="28" t="str">
        <f aca="false">IF(COUNT(C116:F116)=0,"",SUM(C116:F116))</f>
        <v/>
      </c>
      <c r="H116" s="50"/>
      <c r="I116" s="28" t="str">
        <f aca="false">IF(G116="","",G116-N(H116))</f>
        <v/>
      </c>
      <c r="J116" s="40"/>
      <c r="K116" s="40"/>
      <c r="L116" s="28" t="str">
        <f aca="false">IF(OR(G116="",J116="",J116=0),"",G116/J116)</f>
        <v/>
      </c>
      <c r="M116" s="80"/>
    </row>
    <row r="117" customFormat="false" ht="15" hidden="false" customHeight="false" outlineLevel="0" collapsed="false">
      <c r="A117" s="73"/>
      <c r="B117" s="10"/>
      <c r="C117" s="50"/>
      <c r="D117" s="50"/>
      <c r="E117" s="50"/>
      <c r="F117" s="50"/>
      <c r="G117" s="28" t="str">
        <f aca="false">IF(COUNT(C117:F117)=0,"",SUM(C117:F117))</f>
        <v/>
      </c>
      <c r="H117" s="50"/>
      <c r="I117" s="28" t="str">
        <f aca="false">IF(G117="","",G117-N(H117))</f>
        <v/>
      </c>
      <c r="J117" s="40"/>
      <c r="K117" s="40"/>
      <c r="L117" s="28" t="str">
        <f aca="false">IF(OR(G117="",J117="",J117=0),"",G117/J117)</f>
        <v/>
      </c>
      <c r="M117" s="80"/>
    </row>
    <row r="118" customFormat="false" ht="15" hidden="false" customHeight="false" outlineLevel="0" collapsed="false">
      <c r="A118" s="73"/>
      <c r="B118" s="10"/>
      <c r="C118" s="50"/>
      <c r="D118" s="50"/>
      <c r="E118" s="50"/>
      <c r="F118" s="50"/>
      <c r="G118" s="28" t="str">
        <f aca="false">IF(COUNT(C118:F118)=0,"",SUM(C118:F118))</f>
        <v/>
      </c>
      <c r="H118" s="50"/>
      <c r="I118" s="28" t="str">
        <f aca="false">IF(G118="","",G118-N(H118))</f>
        <v/>
      </c>
      <c r="J118" s="40"/>
      <c r="K118" s="40"/>
      <c r="L118" s="28" t="str">
        <f aca="false">IF(OR(G118="",J118="",J118=0),"",G118/J118)</f>
        <v/>
      </c>
      <c r="M118" s="80"/>
    </row>
    <row r="119" customFormat="false" ht="15" hidden="false" customHeight="false" outlineLevel="0" collapsed="false">
      <c r="A119" s="73"/>
      <c r="B119" s="10"/>
      <c r="C119" s="50"/>
      <c r="D119" s="50"/>
      <c r="E119" s="50"/>
      <c r="F119" s="50"/>
      <c r="G119" s="28" t="str">
        <f aca="false">IF(COUNT(C119:F119)=0,"",SUM(C119:F119))</f>
        <v/>
      </c>
      <c r="H119" s="50"/>
      <c r="I119" s="28" t="str">
        <f aca="false">IF(G119="","",G119-N(H119))</f>
        <v/>
      </c>
      <c r="J119" s="40"/>
      <c r="K119" s="40"/>
      <c r="L119" s="28" t="str">
        <f aca="false">IF(OR(G119="",J119="",J119=0),"",G119/J119)</f>
        <v/>
      </c>
      <c r="M119" s="80"/>
    </row>
    <row r="120" customFormat="false" ht="15" hidden="false" customHeight="false" outlineLevel="0" collapsed="false">
      <c r="A120" s="73"/>
      <c r="B120" s="10"/>
      <c r="C120" s="50"/>
      <c r="D120" s="50"/>
      <c r="E120" s="50"/>
      <c r="F120" s="50"/>
      <c r="G120" s="28" t="str">
        <f aca="false">IF(COUNT(C120:F120)=0,"",SUM(C120:F120))</f>
        <v/>
      </c>
      <c r="H120" s="50"/>
      <c r="I120" s="28" t="str">
        <f aca="false">IF(G120="","",G120-N(H120))</f>
        <v/>
      </c>
      <c r="J120" s="40"/>
      <c r="K120" s="40"/>
      <c r="L120" s="28" t="str">
        <f aca="false">IF(OR(G120="",J120="",J120=0),"",G120/J120)</f>
        <v/>
      </c>
      <c r="M120" s="80"/>
    </row>
    <row r="121" customFormat="false" ht="15" hidden="false" customHeight="false" outlineLevel="0" collapsed="false">
      <c r="A121" s="73"/>
      <c r="B121" s="10"/>
      <c r="C121" s="50"/>
      <c r="D121" s="50"/>
      <c r="E121" s="50"/>
      <c r="F121" s="50"/>
      <c r="G121" s="28" t="str">
        <f aca="false">IF(COUNT(C121:F121)=0,"",SUM(C121:F121))</f>
        <v/>
      </c>
      <c r="H121" s="50"/>
      <c r="I121" s="28" t="str">
        <f aca="false">IF(G121="","",G121-N(H121))</f>
        <v/>
      </c>
      <c r="J121" s="40"/>
      <c r="K121" s="40"/>
      <c r="L121" s="28" t="str">
        <f aca="false">IF(OR(G121="",J121="",J121=0),"",G121/J121)</f>
        <v/>
      </c>
      <c r="M121" s="80"/>
    </row>
    <row r="122" customFormat="false" ht="15" hidden="false" customHeight="false" outlineLevel="0" collapsed="false">
      <c r="A122" s="73"/>
      <c r="B122" s="10"/>
      <c r="C122" s="50"/>
      <c r="D122" s="50"/>
      <c r="E122" s="50"/>
      <c r="F122" s="50"/>
      <c r="G122" s="28" t="str">
        <f aca="false">IF(COUNT(C122:F122)=0,"",SUM(C122:F122))</f>
        <v/>
      </c>
      <c r="H122" s="50"/>
      <c r="I122" s="28" t="str">
        <f aca="false">IF(G122="","",G122-N(H122))</f>
        <v/>
      </c>
      <c r="J122" s="40"/>
      <c r="K122" s="40"/>
      <c r="L122" s="28" t="str">
        <f aca="false">IF(OR(G122="",J122="",J122=0),"",G122/J122)</f>
        <v/>
      </c>
      <c r="M122" s="80"/>
    </row>
    <row r="123" customFormat="false" ht="15" hidden="false" customHeight="false" outlineLevel="0" collapsed="false">
      <c r="A123" s="73"/>
      <c r="B123" s="10"/>
      <c r="C123" s="50"/>
      <c r="D123" s="50"/>
      <c r="E123" s="50"/>
      <c r="F123" s="50"/>
      <c r="G123" s="28" t="str">
        <f aca="false">IF(COUNT(C123:F123)=0,"",SUM(C123:F123))</f>
        <v/>
      </c>
      <c r="H123" s="50"/>
      <c r="I123" s="28" t="str">
        <f aca="false">IF(G123="","",G123-N(H123))</f>
        <v/>
      </c>
      <c r="J123" s="40"/>
      <c r="K123" s="40"/>
      <c r="L123" s="28" t="str">
        <f aca="false">IF(OR(G123="",J123="",J123=0),"",G123/J123)</f>
        <v/>
      </c>
      <c r="M123" s="80"/>
    </row>
    <row r="124" customFormat="false" ht="15" hidden="false" customHeight="false" outlineLevel="0" collapsed="false">
      <c r="A124" s="73"/>
      <c r="B124" s="10"/>
      <c r="C124" s="50"/>
      <c r="D124" s="50"/>
      <c r="E124" s="50"/>
      <c r="F124" s="50"/>
      <c r="G124" s="28" t="str">
        <f aca="false">IF(COUNT(C124:F124)=0,"",SUM(C124:F124))</f>
        <v/>
      </c>
      <c r="H124" s="50"/>
      <c r="I124" s="28" t="str">
        <f aca="false">IF(G124="","",G124-N(H124))</f>
        <v/>
      </c>
      <c r="J124" s="40"/>
      <c r="K124" s="40"/>
      <c r="L124" s="28" t="str">
        <f aca="false">IF(OR(G124="",J124="",J124=0),"",G124/J124)</f>
        <v/>
      </c>
      <c r="M124" s="80"/>
    </row>
    <row r="125" customFormat="false" ht="15" hidden="false" customHeight="false" outlineLevel="0" collapsed="false">
      <c r="A125" s="73"/>
      <c r="B125" s="10"/>
      <c r="C125" s="50"/>
      <c r="D125" s="50"/>
      <c r="E125" s="50"/>
      <c r="F125" s="50"/>
      <c r="G125" s="28" t="str">
        <f aca="false">IF(COUNT(C125:F125)=0,"",SUM(C125:F125))</f>
        <v/>
      </c>
      <c r="H125" s="50"/>
      <c r="I125" s="28" t="str">
        <f aca="false">IF(G125="","",G125-N(H125))</f>
        <v/>
      </c>
      <c r="J125" s="40"/>
      <c r="K125" s="40"/>
      <c r="L125" s="28" t="str">
        <f aca="false">IF(OR(G125="",J125="",J125=0),"",G125/J125)</f>
        <v/>
      </c>
      <c r="M125" s="80"/>
    </row>
    <row r="126" customFormat="false" ht="15" hidden="false" customHeight="false" outlineLevel="0" collapsed="false">
      <c r="A126" s="73"/>
      <c r="B126" s="10"/>
      <c r="C126" s="50"/>
      <c r="D126" s="50"/>
      <c r="E126" s="50"/>
      <c r="F126" s="50"/>
      <c r="G126" s="28" t="str">
        <f aca="false">IF(COUNT(C126:F126)=0,"",SUM(C126:F126))</f>
        <v/>
      </c>
      <c r="H126" s="50"/>
      <c r="I126" s="28" t="str">
        <f aca="false">IF(G126="","",G126-N(H126))</f>
        <v/>
      </c>
      <c r="J126" s="40"/>
      <c r="K126" s="40"/>
      <c r="L126" s="28" t="str">
        <f aca="false">IF(OR(G126="",J126="",J126=0),"",G126/J126)</f>
        <v/>
      </c>
      <c r="M126" s="80"/>
    </row>
    <row r="127" customFormat="false" ht="15" hidden="false" customHeight="false" outlineLevel="0" collapsed="false">
      <c r="A127" s="73"/>
      <c r="B127" s="10"/>
      <c r="C127" s="50"/>
      <c r="D127" s="50"/>
      <c r="E127" s="50"/>
      <c r="F127" s="50"/>
      <c r="G127" s="28" t="str">
        <f aca="false">IF(COUNT(C127:F127)=0,"",SUM(C127:F127))</f>
        <v/>
      </c>
      <c r="H127" s="50"/>
      <c r="I127" s="28" t="str">
        <f aca="false">IF(G127="","",G127-N(H127))</f>
        <v/>
      </c>
      <c r="J127" s="40"/>
      <c r="K127" s="40"/>
      <c r="L127" s="28" t="str">
        <f aca="false">IF(OR(G127="",J127="",J127=0),"",G127/J127)</f>
        <v/>
      </c>
      <c r="M127" s="80"/>
    </row>
    <row r="128" customFormat="false" ht="15" hidden="false" customHeight="false" outlineLevel="0" collapsed="false">
      <c r="A128" s="73"/>
      <c r="B128" s="10"/>
      <c r="C128" s="50"/>
      <c r="D128" s="50"/>
      <c r="E128" s="50"/>
      <c r="F128" s="50"/>
      <c r="G128" s="28" t="str">
        <f aca="false">IF(COUNT(C128:F128)=0,"",SUM(C128:F128))</f>
        <v/>
      </c>
      <c r="H128" s="50"/>
      <c r="I128" s="28" t="str">
        <f aca="false">IF(G128="","",G128-N(H128))</f>
        <v/>
      </c>
      <c r="J128" s="40"/>
      <c r="K128" s="40"/>
      <c r="L128" s="28" t="str">
        <f aca="false">IF(OR(G128="",J128="",J128=0),"",G128/J128)</f>
        <v/>
      </c>
      <c r="M128" s="80"/>
    </row>
    <row r="129" customFormat="false" ht="15" hidden="false" customHeight="false" outlineLevel="0" collapsed="false">
      <c r="A129" s="73"/>
      <c r="B129" s="10"/>
      <c r="C129" s="50"/>
      <c r="D129" s="50"/>
      <c r="E129" s="50"/>
      <c r="F129" s="50"/>
      <c r="G129" s="28" t="str">
        <f aca="false">IF(COUNT(C129:F129)=0,"",SUM(C129:F129))</f>
        <v/>
      </c>
      <c r="H129" s="50"/>
      <c r="I129" s="28" t="str">
        <f aca="false">IF(G129="","",G129-N(H129))</f>
        <v/>
      </c>
      <c r="J129" s="40"/>
      <c r="K129" s="40"/>
      <c r="L129" s="28" t="str">
        <f aca="false">IF(OR(G129="",J129="",J129=0),"",G129/J129)</f>
        <v/>
      </c>
      <c r="M129" s="80"/>
    </row>
    <row r="130" customFormat="false" ht="15" hidden="false" customHeight="false" outlineLevel="0" collapsed="false">
      <c r="A130" s="73"/>
      <c r="B130" s="10"/>
      <c r="C130" s="50"/>
      <c r="D130" s="50"/>
      <c r="E130" s="50"/>
      <c r="F130" s="50"/>
      <c r="G130" s="28" t="str">
        <f aca="false">IF(COUNT(C130:F130)=0,"",SUM(C130:F130))</f>
        <v/>
      </c>
      <c r="H130" s="50"/>
      <c r="I130" s="28" t="str">
        <f aca="false">IF(G130="","",G130-N(H130))</f>
        <v/>
      </c>
      <c r="J130" s="40"/>
      <c r="K130" s="40"/>
      <c r="L130" s="28" t="str">
        <f aca="false">IF(OR(G130="",J130="",J130=0),"",G130/J130)</f>
        <v/>
      </c>
      <c r="M130" s="80"/>
    </row>
    <row r="131" customFormat="false" ht="15" hidden="false" customHeight="false" outlineLevel="0" collapsed="false">
      <c r="A131" s="73"/>
      <c r="B131" s="10"/>
      <c r="C131" s="50"/>
      <c r="D131" s="50"/>
      <c r="E131" s="50"/>
      <c r="F131" s="50"/>
      <c r="G131" s="28" t="str">
        <f aca="false">IF(COUNT(C131:F131)=0,"",SUM(C131:F131))</f>
        <v/>
      </c>
      <c r="H131" s="50"/>
      <c r="I131" s="28" t="str">
        <f aca="false">IF(G131="","",G131-N(H131))</f>
        <v/>
      </c>
      <c r="J131" s="40"/>
      <c r="K131" s="40"/>
      <c r="L131" s="28" t="str">
        <f aca="false">IF(OR(G131="",J131="",J131=0),"",G131/J131)</f>
        <v/>
      </c>
      <c r="M131" s="80"/>
    </row>
    <row r="132" customFormat="false" ht="15" hidden="false" customHeight="false" outlineLevel="0" collapsed="false">
      <c r="A132" s="73"/>
      <c r="B132" s="10"/>
      <c r="C132" s="50"/>
      <c r="D132" s="50"/>
      <c r="E132" s="50"/>
      <c r="F132" s="50"/>
      <c r="G132" s="28" t="str">
        <f aca="false">IF(COUNT(C132:F132)=0,"",SUM(C132:F132))</f>
        <v/>
      </c>
      <c r="H132" s="50"/>
      <c r="I132" s="28" t="str">
        <f aca="false">IF(G132="","",G132-N(H132))</f>
        <v/>
      </c>
      <c r="J132" s="40"/>
      <c r="K132" s="40"/>
      <c r="L132" s="28" t="str">
        <f aca="false">IF(OR(G132="",J132="",J132=0),"",G132/J132)</f>
        <v/>
      </c>
      <c r="M132" s="80"/>
    </row>
    <row r="133" customFormat="false" ht="15" hidden="false" customHeight="false" outlineLevel="0" collapsed="false">
      <c r="A133" s="73"/>
      <c r="B133" s="10"/>
      <c r="C133" s="50"/>
      <c r="D133" s="50"/>
      <c r="E133" s="50"/>
      <c r="F133" s="50"/>
      <c r="G133" s="28" t="str">
        <f aca="false">IF(COUNT(C133:F133)=0,"",SUM(C133:F133))</f>
        <v/>
      </c>
      <c r="H133" s="50"/>
      <c r="I133" s="28" t="str">
        <f aca="false">IF(G133="","",G133-N(H133))</f>
        <v/>
      </c>
      <c r="J133" s="40"/>
      <c r="K133" s="40"/>
      <c r="L133" s="28" t="str">
        <f aca="false">IF(OR(G133="",J133="",J133=0),"",G133/J133)</f>
        <v/>
      </c>
      <c r="M133" s="80"/>
    </row>
    <row r="134" customFormat="false" ht="15" hidden="false" customHeight="false" outlineLevel="0" collapsed="false">
      <c r="A134" s="73"/>
      <c r="B134" s="10"/>
      <c r="C134" s="50"/>
      <c r="D134" s="50"/>
      <c r="E134" s="50"/>
      <c r="F134" s="50"/>
      <c r="G134" s="28" t="str">
        <f aca="false">IF(COUNT(C134:F134)=0,"",SUM(C134:F134))</f>
        <v/>
      </c>
      <c r="H134" s="50"/>
      <c r="I134" s="28" t="str">
        <f aca="false">IF(G134="","",G134-N(H134))</f>
        <v/>
      </c>
      <c r="J134" s="40"/>
      <c r="K134" s="40"/>
      <c r="L134" s="28" t="str">
        <f aca="false">IF(OR(G134="",J134="",J134=0),"",G134/J134)</f>
        <v/>
      </c>
      <c r="M134" s="80"/>
    </row>
    <row r="135" customFormat="false" ht="15" hidden="false" customHeight="false" outlineLevel="0" collapsed="false">
      <c r="A135" s="73"/>
      <c r="B135" s="10"/>
      <c r="C135" s="50"/>
      <c r="D135" s="50"/>
      <c r="E135" s="50"/>
      <c r="F135" s="50"/>
      <c r="G135" s="28" t="str">
        <f aca="false">IF(COUNT(C135:F135)=0,"",SUM(C135:F135))</f>
        <v/>
      </c>
      <c r="H135" s="50"/>
      <c r="I135" s="28" t="str">
        <f aca="false">IF(G135="","",G135-N(H135))</f>
        <v/>
      </c>
      <c r="J135" s="40"/>
      <c r="K135" s="40"/>
      <c r="L135" s="28" t="str">
        <f aca="false">IF(OR(G135="",J135="",J135=0),"",G135/J135)</f>
        <v/>
      </c>
      <c r="M135" s="80"/>
    </row>
    <row r="136" customFormat="false" ht="15" hidden="false" customHeight="false" outlineLevel="0" collapsed="false">
      <c r="A136" s="73"/>
      <c r="B136" s="10"/>
      <c r="C136" s="50"/>
      <c r="D136" s="50"/>
      <c r="E136" s="50"/>
      <c r="F136" s="50"/>
      <c r="G136" s="28" t="str">
        <f aca="false">IF(COUNT(C136:F136)=0,"",SUM(C136:F136))</f>
        <v/>
      </c>
      <c r="H136" s="50"/>
      <c r="I136" s="28" t="str">
        <f aca="false">IF(G136="","",G136-N(H136))</f>
        <v/>
      </c>
      <c r="J136" s="40"/>
      <c r="K136" s="40"/>
      <c r="L136" s="28" t="str">
        <f aca="false">IF(OR(G136="",J136="",J136=0),"",G136/J136)</f>
        <v/>
      </c>
      <c r="M136" s="80"/>
    </row>
    <row r="137" customFormat="false" ht="15" hidden="false" customHeight="false" outlineLevel="0" collapsed="false">
      <c r="A137" s="73"/>
      <c r="B137" s="10"/>
      <c r="C137" s="50"/>
      <c r="D137" s="50"/>
      <c r="E137" s="50"/>
      <c r="F137" s="50"/>
      <c r="G137" s="28" t="str">
        <f aca="false">IF(COUNT(C137:F137)=0,"",SUM(C137:F137))</f>
        <v/>
      </c>
      <c r="H137" s="50"/>
      <c r="I137" s="28" t="str">
        <f aca="false">IF(G137="","",G137-N(H137))</f>
        <v/>
      </c>
      <c r="J137" s="40"/>
      <c r="K137" s="40"/>
      <c r="L137" s="28" t="str">
        <f aca="false">IF(OR(G137="",J137="",J137=0),"",G137/J137)</f>
        <v/>
      </c>
      <c r="M137" s="80"/>
    </row>
    <row r="138" customFormat="false" ht="15" hidden="false" customHeight="false" outlineLevel="0" collapsed="false">
      <c r="A138" s="73"/>
      <c r="B138" s="10"/>
      <c r="C138" s="50"/>
      <c r="D138" s="50"/>
      <c r="E138" s="50"/>
      <c r="F138" s="50"/>
      <c r="G138" s="28" t="str">
        <f aca="false">IF(COUNT(C138:F138)=0,"",SUM(C138:F138))</f>
        <v/>
      </c>
      <c r="H138" s="50"/>
      <c r="I138" s="28" t="str">
        <f aca="false">IF(G138="","",G138-N(H138))</f>
        <v/>
      </c>
      <c r="J138" s="40"/>
      <c r="K138" s="40"/>
      <c r="L138" s="28" t="str">
        <f aca="false">IF(OR(G138="",J138="",J138=0),"",G138/J138)</f>
        <v/>
      </c>
      <c r="M138" s="80"/>
    </row>
    <row r="139" customFormat="false" ht="15" hidden="false" customHeight="false" outlineLevel="0" collapsed="false">
      <c r="A139" s="73"/>
      <c r="B139" s="10"/>
      <c r="C139" s="50"/>
      <c r="D139" s="50"/>
      <c r="E139" s="50"/>
      <c r="F139" s="50"/>
      <c r="G139" s="28" t="str">
        <f aca="false">IF(COUNT(C139:F139)=0,"",SUM(C139:F139))</f>
        <v/>
      </c>
      <c r="H139" s="50"/>
      <c r="I139" s="28" t="str">
        <f aca="false">IF(G139="","",G139-N(H139))</f>
        <v/>
      </c>
      <c r="J139" s="40"/>
      <c r="K139" s="40"/>
      <c r="L139" s="28" t="str">
        <f aca="false">IF(OR(G139="",J139="",J139=0),"",G139/J139)</f>
        <v/>
      </c>
      <c r="M139" s="80"/>
    </row>
    <row r="140" customFormat="false" ht="15" hidden="false" customHeight="false" outlineLevel="0" collapsed="false">
      <c r="A140" s="73"/>
      <c r="B140" s="10"/>
      <c r="C140" s="50"/>
      <c r="D140" s="50"/>
      <c r="E140" s="50"/>
      <c r="F140" s="50"/>
      <c r="G140" s="28" t="str">
        <f aca="false">IF(COUNT(C140:F140)=0,"",SUM(C140:F140))</f>
        <v/>
      </c>
      <c r="H140" s="50"/>
      <c r="I140" s="28" t="str">
        <f aca="false">IF(G140="","",G140-N(H140))</f>
        <v/>
      </c>
      <c r="J140" s="40"/>
      <c r="K140" s="40"/>
      <c r="L140" s="28" t="str">
        <f aca="false">IF(OR(G140="",J140="",J140=0),"",G140/J140)</f>
        <v/>
      </c>
      <c r="M140" s="80"/>
    </row>
    <row r="141" customFormat="false" ht="15" hidden="false" customHeight="false" outlineLevel="0" collapsed="false">
      <c r="A141" s="73"/>
      <c r="B141" s="10"/>
      <c r="C141" s="50"/>
      <c r="D141" s="50"/>
      <c r="E141" s="50"/>
      <c r="F141" s="50"/>
      <c r="G141" s="28" t="str">
        <f aca="false">IF(COUNT(C141:F141)=0,"",SUM(C141:F141))</f>
        <v/>
      </c>
      <c r="H141" s="50"/>
      <c r="I141" s="28" t="str">
        <f aca="false">IF(G141="","",G141-N(H141))</f>
        <v/>
      </c>
      <c r="J141" s="40"/>
      <c r="K141" s="40"/>
      <c r="L141" s="28" t="str">
        <f aca="false">IF(OR(G141="",J141="",J141=0),"",G141/J141)</f>
        <v/>
      </c>
      <c r="M141" s="80"/>
    </row>
    <row r="142" customFormat="false" ht="15" hidden="false" customHeight="false" outlineLevel="0" collapsed="false">
      <c r="A142" s="73"/>
      <c r="B142" s="10"/>
      <c r="C142" s="50"/>
      <c r="D142" s="50"/>
      <c r="E142" s="50"/>
      <c r="F142" s="50"/>
      <c r="G142" s="28" t="str">
        <f aca="false">IF(COUNT(C142:F142)=0,"",SUM(C142:F142))</f>
        <v/>
      </c>
      <c r="H142" s="50"/>
      <c r="I142" s="28" t="str">
        <f aca="false">IF(G142="","",G142-N(H142))</f>
        <v/>
      </c>
      <c r="J142" s="40"/>
      <c r="K142" s="40"/>
      <c r="L142" s="28" t="str">
        <f aca="false">IF(OR(G142="",J142="",J142=0),"",G142/J142)</f>
        <v/>
      </c>
      <c r="M142" s="80"/>
    </row>
    <row r="143" customFormat="false" ht="15" hidden="false" customHeight="false" outlineLevel="0" collapsed="false">
      <c r="A143" s="73"/>
      <c r="B143" s="10"/>
      <c r="C143" s="50"/>
      <c r="D143" s="50"/>
      <c r="E143" s="50"/>
      <c r="F143" s="50"/>
      <c r="G143" s="28" t="str">
        <f aca="false">IF(COUNT(C143:F143)=0,"",SUM(C143:F143))</f>
        <v/>
      </c>
      <c r="H143" s="50"/>
      <c r="I143" s="28" t="str">
        <f aca="false">IF(G143="","",G143-N(H143))</f>
        <v/>
      </c>
      <c r="J143" s="40"/>
      <c r="K143" s="40"/>
      <c r="L143" s="28" t="str">
        <f aca="false">IF(OR(G143="",J143="",J143=0),"",G143/J143)</f>
        <v/>
      </c>
      <c r="M143" s="80"/>
    </row>
    <row r="144" customFormat="false" ht="15" hidden="false" customHeight="false" outlineLevel="0" collapsed="false">
      <c r="A144" s="73"/>
      <c r="B144" s="10"/>
      <c r="C144" s="50"/>
      <c r="D144" s="50"/>
      <c r="E144" s="50"/>
      <c r="F144" s="50"/>
      <c r="G144" s="28" t="str">
        <f aca="false">IF(COUNT(C144:F144)=0,"",SUM(C144:F144))</f>
        <v/>
      </c>
      <c r="H144" s="50"/>
      <c r="I144" s="28" t="str">
        <f aca="false">IF(G144="","",G144-N(H144))</f>
        <v/>
      </c>
      <c r="J144" s="40"/>
      <c r="K144" s="40"/>
      <c r="L144" s="28" t="str">
        <f aca="false">IF(OR(G144="",J144="",J144=0),"",G144/J144)</f>
        <v/>
      </c>
      <c r="M144" s="80"/>
    </row>
    <row r="145" customFormat="false" ht="15" hidden="false" customHeight="false" outlineLevel="0" collapsed="false">
      <c r="A145" s="73"/>
      <c r="B145" s="10"/>
      <c r="C145" s="50"/>
      <c r="D145" s="50"/>
      <c r="E145" s="50"/>
      <c r="F145" s="50"/>
      <c r="G145" s="28" t="str">
        <f aca="false">IF(COUNT(C145:F145)=0,"",SUM(C145:F145))</f>
        <v/>
      </c>
      <c r="H145" s="50"/>
      <c r="I145" s="28" t="str">
        <f aca="false">IF(G145="","",G145-N(H145))</f>
        <v/>
      </c>
      <c r="J145" s="40"/>
      <c r="K145" s="40"/>
      <c r="L145" s="28" t="str">
        <f aca="false">IF(OR(G145="",J145="",J145=0),"",G145/J145)</f>
        <v/>
      </c>
      <c r="M145" s="80"/>
    </row>
    <row r="146" customFormat="false" ht="15" hidden="false" customHeight="false" outlineLevel="0" collapsed="false">
      <c r="A146" s="73"/>
      <c r="B146" s="10"/>
      <c r="C146" s="50"/>
      <c r="D146" s="50"/>
      <c r="E146" s="50"/>
      <c r="F146" s="50"/>
      <c r="G146" s="28" t="str">
        <f aca="false">IF(COUNT(C146:F146)=0,"",SUM(C146:F146))</f>
        <v/>
      </c>
      <c r="H146" s="50"/>
      <c r="I146" s="28" t="str">
        <f aca="false">IF(G146="","",G146-N(H146))</f>
        <v/>
      </c>
      <c r="J146" s="40"/>
      <c r="K146" s="40"/>
      <c r="L146" s="28" t="str">
        <f aca="false">IF(OR(G146="",J146="",J146=0),"",G146/J146)</f>
        <v/>
      </c>
      <c r="M146" s="80"/>
    </row>
    <row r="147" customFormat="false" ht="15" hidden="false" customHeight="false" outlineLevel="0" collapsed="false">
      <c r="A147" s="73"/>
      <c r="B147" s="10"/>
      <c r="C147" s="50"/>
      <c r="D147" s="50"/>
      <c r="E147" s="50"/>
      <c r="F147" s="50"/>
      <c r="G147" s="28" t="str">
        <f aca="false">IF(COUNT(C147:F147)=0,"",SUM(C147:F147))</f>
        <v/>
      </c>
      <c r="H147" s="50"/>
      <c r="I147" s="28" t="str">
        <f aca="false">IF(G147="","",G147-N(H147))</f>
        <v/>
      </c>
      <c r="J147" s="40"/>
      <c r="K147" s="40"/>
      <c r="L147" s="28" t="str">
        <f aca="false">IF(OR(G147="",J147="",J147=0),"",G147/J147)</f>
        <v/>
      </c>
      <c r="M147" s="80"/>
    </row>
    <row r="148" customFormat="false" ht="15" hidden="false" customHeight="false" outlineLevel="0" collapsed="false">
      <c r="A148" s="73"/>
      <c r="B148" s="10"/>
      <c r="C148" s="50"/>
      <c r="D148" s="50"/>
      <c r="E148" s="50"/>
      <c r="F148" s="50"/>
      <c r="G148" s="28" t="str">
        <f aca="false">IF(COUNT(C148:F148)=0,"",SUM(C148:F148))</f>
        <v/>
      </c>
      <c r="H148" s="50"/>
      <c r="I148" s="28" t="str">
        <f aca="false">IF(G148="","",G148-N(H148))</f>
        <v/>
      </c>
      <c r="J148" s="40"/>
      <c r="K148" s="40"/>
      <c r="L148" s="28" t="str">
        <f aca="false">IF(OR(G148="",J148="",J148=0),"",G148/J148)</f>
        <v/>
      </c>
      <c r="M148" s="80"/>
    </row>
    <row r="149" customFormat="false" ht="15" hidden="false" customHeight="false" outlineLevel="0" collapsed="false">
      <c r="A149" s="73"/>
      <c r="B149" s="10"/>
      <c r="C149" s="50"/>
      <c r="D149" s="50"/>
      <c r="E149" s="50"/>
      <c r="F149" s="50"/>
      <c r="G149" s="28" t="str">
        <f aca="false">IF(COUNT(C149:F149)=0,"",SUM(C149:F149))</f>
        <v/>
      </c>
      <c r="H149" s="50"/>
      <c r="I149" s="28" t="str">
        <f aca="false">IF(G149="","",G149-N(H149))</f>
        <v/>
      </c>
      <c r="J149" s="40"/>
      <c r="K149" s="40"/>
      <c r="L149" s="28" t="str">
        <f aca="false">IF(OR(G149="",J149="",J149=0),"",G149/J149)</f>
        <v/>
      </c>
      <c r="M149" s="80"/>
    </row>
    <row r="150" customFormat="false" ht="15" hidden="false" customHeight="false" outlineLevel="0" collapsed="false">
      <c r="A150" s="73"/>
      <c r="B150" s="10"/>
      <c r="C150" s="50"/>
      <c r="D150" s="50"/>
      <c r="E150" s="50"/>
      <c r="F150" s="50"/>
      <c r="G150" s="28" t="str">
        <f aca="false">IF(COUNT(C150:F150)=0,"",SUM(C150:F150))</f>
        <v/>
      </c>
      <c r="H150" s="50"/>
      <c r="I150" s="28" t="str">
        <f aca="false">IF(G150="","",G150-N(H150))</f>
        <v/>
      </c>
      <c r="J150" s="40"/>
      <c r="K150" s="40"/>
      <c r="L150" s="28" t="str">
        <f aca="false">IF(OR(G150="",J150="",J150=0),"",G150/J150)</f>
        <v/>
      </c>
      <c r="M150" s="80"/>
    </row>
    <row r="151" customFormat="false" ht="15" hidden="false" customHeight="false" outlineLevel="0" collapsed="false">
      <c r="A151" s="73"/>
      <c r="B151" s="10"/>
      <c r="C151" s="50"/>
      <c r="D151" s="50"/>
      <c r="E151" s="50"/>
      <c r="F151" s="50"/>
      <c r="G151" s="28" t="str">
        <f aca="false">IF(COUNT(C151:F151)=0,"",SUM(C151:F151))</f>
        <v/>
      </c>
      <c r="H151" s="50"/>
      <c r="I151" s="28" t="str">
        <f aca="false">IF(G151="","",G151-N(H151))</f>
        <v/>
      </c>
      <c r="J151" s="40"/>
      <c r="K151" s="40"/>
      <c r="L151" s="28" t="str">
        <f aca="false">IF(OR(G151="",J151="",J151=0),"",G151/J151)</f>
        <v/>
      </c>
      <c r="M151" s="80"/>
    </row>
    <row r="152" customFormat="false" ht="15" hidden="false" customHeight="false" outlineLevel="0" collapsed="false">
      <c r="A152" s="73"/>
      <c r="B152" s="10"/>
      <c r="C152" s="50"/>
      <c r="D152" s="50"/>
      <c r="E152" s="50"/>
      <c r="F152" s="50"/>
      <c r="G152" s="28" t="str">
        <f aca="false">IF(COUNT(C152:F152)=0,"",SUM(C152:F152))</f>
        <v/>
      </c>
      <c r="H152" s="50"/>
      <c r="I152" s="28" t="str">
        <f aca="false">IF(G152="","",G152-N(H152))</f>
        <v/>
      </c>
      <c r="J152" s="40"/>
      <c r="K152" s="40"/>
      <c r="L152" s="28" t="str">
        <f aca="false">IF(OR(G152="",J152="",J152=0),"",G152/J152)</f>
        <v/>
      </c>
      <c r="M152" s="80"/>
    </row>
    <row r="153" customFormat="false" ht="15" hidden="false" customHeight="false" outlineLevel="0" collapsed="false">
      <c r="A153" s="73"/>
      <c r="B153" s="10"/>
      <c r="C153" s="50"/>
      <c r="D153" s="50"/>
      <c r="E153" s="50"/>
      <c r="F153" s="50"/>
      <c r="G153" s="28" t="str">
        <f aca="false">IF(COUNT(C153:F153)=0,"",SUM(C153:F153))</f>
        <v/>
      </c>
      <c r="H153" s="50"/>
      <c r="I153" s="28" t="str">
        <f aca="false">IF(G153="","",G153-N(H153))</f>
        <v/>
      </c>
      <c r="J153" s="40"/>
      <c r="K153" s="40"/>
      <c r="L153" s="28" t="str">
        <f aca="false">IF(OR(G153="",J153="",J153=0),"",G153/J153)</f>
        <v/>
      </c>
      <c r="M153" s="80"/>
    </row>
    <row r="154" customFormat="false" ht="15" hidden="false" customHeight="false" outlineLevel="0" collapsed="false">
      <c r="A154" s="73"/>
      <c r="B154" s="10"/>
      <c r="C154" s="50"/>
      <c r="D154" s="50"/>
      <c r="E154" s="50"/>
      <c r="F154" s="50"/>
      <c r="G154" s="28" t="str">
        <f aca="false">IF(COUNT(C154:F154)=0,"",SUM(C154:F154))</f>
        <v/>
      </c>
      <c r="H154" s="50"/>
      <c r="I154" s="28" t="str">
        <f aca="false">IF(G154="","",G154-N(H154))</f>
        <v/>
      </c>
      <c r="J154" s="40"/>
      <c r="K154" s="40"/>
      <c r="L154" s="28" t="str">
        <f aca="false">IF(OR(G154="",J154="",J154=0),"",G154/J154)</f>
        <v/>
      </c>
      <c r="M154" s="80"/>
    </row>
    <row r="155" customFormat="false" ht="15" hidden="false" customHeight="false" outlineLevel="0" collapsed="false">
      <c r="A155" s="73"/>
      <c r="B155" s="10"/>
      <c r="C155" s="50"/>
      <c r="D155" s="50"/>
      <c r="E155" s="50"/>
      <c r="F155" s="50"/>
      <c r="G155" s="28" t="str">
        <f aca="false">IF(COUNT(C155:F155)=0,"",SUM(C155:F155))</f>
        <v/>
      </c>
      <c r="H155" s="50"/>
      <c r="I155" s="28" t="str">
        <f aca="false">IF(G155="","",G155-N(H155))</f>
        <v/>
      </c>
      <c r="J155" s="40"/>
      <c r="K155" s="40"/>
      <c r="L155" s="28" t="str">
        <f aca="false">IF(OR(G155="",J155="",J155=0),"",G155/J155)</f>
        <v/>
      </c>
      <c r="M155" s="80"/>
    </row>
    <row r="156" customFormat="false" ht="15" hidden="false" customHeight="false" outlineLevel="0" collapsed="false">
      <c r="A156" s="73"/>
      <c r="B156" s="10"/>
      <c r="C156" s="50"/>
      <c r="D156" s="50"/>
      <c r="E156" s="50"/>
      <c r="F156" s="50"/>
      <c r="G156" s="28" t="str">
        <f aca="false">IF(COUNT(C156:F156)=0,"",SUM(C156:F156))</f>
        <v/>
      </c>
      <c r="H156" s="50"/>
      <c r="I156" s="28" t="str">
        <f aca="false">IF(G156="","",G156-N(H156))</f>
        <v/>
      </c>
      <c r="J156" s="40"/>
      <c r="K156" s="40"/>
      <c r="L156" s="28" t="str">
        <f aca="false">IF(OR(G156="",J156="",J156=0),"",G156/J156)</f>
        <v/>
      </c>
      <c r="M156" s="80"/>
    </row>
    <row r="157" customFormat="false" ht="15" hidden="false" customHeight="false" outlineLevel="0" collapsed="false">
      <c r="A157" s="73"/>
      <c r="B157" s="10"/>
      <c r="C157" s="50"/>
      <c r="D157" s="50"/>
      <c r="E157" s="50"/>
      <c r="F157" s="50"/>
      <c r="G157" s="28" t="str">
        <f aca="false">IF(COUNT(C157:F157)=0,"",SUM(C157:F157))</f>
        <v/>
      </c>
      <c r="H157" s="50"/>
      <c r="I157" s="28" t="str">
        <f aca="false">IF(G157="","",G157-N(H157))</f>
        <v/>
      </c>
      <c r="J157" s="40"/>
      <c r="K157" s="40"/>
      <c r="L157" s="28" t="str">
        <f aca="false">IF(OR(G157="",J157="",J157=0),"",G157/J157)</f>
        <v/>
      </c>
      <c r="M157" s="80"/>
    </row>
    <row r="158" customFormat="false" ht="15" hidden="false" customHeight="false" outlineLevel="0" collapsed="false">
      <c r="A158" s="73"/>
      <c r="B158" s="10"/>
      <c r="C158" s="50"/>
      <c r="D158" s="50"/>
      <c r="E158" s="50"/>
      <c r="F158" s="50"/>
      <c r="G158" s="28" t="str">
        <f aca="false">IF(COUNT(C158:F158)=0,"",SUM(C158:F158))</f>
        <v/>
      </c>
      <c r="H158" s="50"/>
      <c r="I158" s="28" t="str">
        <f aca="false">IF(G158="","",G158-N(H158))</f>
        <v/>
      </c>
      <c r="J158" s="40"/>
      <c r="K158" s="40"/>
      <c r="L158" s="28" t="str">
        <f aca="false">IF(OR(G158="",J158="",J158=0),"",G158/J158)</f>
        <v/>
      </c>
      <c r="M158" s="80"/>
    </row>
    <row r="159" customFormat="false" ht="15" hidden="false" customHeight="false" outlineLevel="0" collapsed="false">
      <c r="A159" s="73"/>
      <c r="B159" s="10"/>
      <c r="C159" s="50"/>
      <c r="D159" s="50"/>
      <c r="E159" s="50"/>
      <c r="F159" s="50"/>
      <c r="G159" s="28" t="str">
        <f aca="false">IF(COUNT(C159:F159)=0,"",SUM(C159:F159))</f>
        <v/>
      </c>
      <c r="H159" s="50"/>
      <c r="I159" s="28" t="str">
        <f aca="false">IF(G159="","",G159-N(H159))</f>
        <v/>
      </c>
      <c r="J159" s="40"/>
      <c r="K159" s="40"/>
      <c r="L159" s="28" t="str">
        <f aca="false">IF(OR(G159="",J159="",J159=0),"",G159/J159)</f>
        <v/>
      </c>
      <c r="M159" s="80"/>
    </row>
    <row r="160" customFormat="false" ht="15" hidden="false" customHeight="false" outlineLevel="0" collapsed="false">
      <c r="A160" s="73"/>
      <c r="B160" s="10"/>
      <c r="C160" s="50"/>
      <c r="D160" s="50"/>
      <c r="E160" s="50"/>
      <c r="F160" s="50"/>
      <c r="G160" s="28" t="str">
        <f aca="false">IF(COUNT(C160:F160)=0,"",SUM(C160:F160))</f>
        <v/>
      </c>
      <c r="H160" s="50"/>
      <c r="I160" s="28" t="str">
        <f aca="false">IF(G160="","",G160-N(H160))</f>
        <v/>
      </c>
      <c r="J160" s="40"/>
      <c r="K160" s="40"/>
      <c r="L160" s="28" t="str">
        <f aca="false">IF(OR(G160="",J160="",J160=0),"",G160/J160)</f>
        <v/>
      </c>
      <c r="M160" s="80"/>
    </row>
    <row r="161" customFormat="false" ht="15" hidden="false" customHeight="false" outlineLevel="0" collapsed="false">
      <c r="A161" s="73"/>
      <c r="B161" s="10"/>
      <c r="C161" s="50"/>
      <c r="D161" s="50"/>
      <c r="E161" s="50"/>
      <c r="F161" s="50"/>
      <c r="G161" s="28" t="str">
        <f aca="false">IF(COUNT(C161:F161)=0,"",SUM(C161:F161))</f>
        <v/>
      </c>
      <c r="H161" s="50"/>
      <c r="I161" s="28" t="str">
        <f aca="false">IF(G161="","",G161-N(H161))</f>
        <v/>
      </c>
      <c r="J161" s="40"/>
      <c r="K161" s="40"/>
      <c r="L161" s="28" t="str">
        <f aca="false">IF(OR(G161="",J161="",J161=0),"",G161/J161)</f>
        <v/>
      </c>
      <c r="M161" s="80"/>
    </row>
    <row r="162" customFormat="false" ht="15" hidden="false" customHeight="false" outlineLevel="0" collapsed="false">
      <c r="A162" s="73"/>
      <c r="B162" s="10"/>
      <c r="C162" s="50"/>
      <c r="D162" s="50"/>
      <c r="E162" s="50"/>
      <c r="F162" s="50"/>
      <c r="G162" s="28" t="str">
        <f aca="false">IF(COUNT(C162:F162)=0,"",SUM(C162:F162))</f>
        <v/>
      </c>
      <c r="H162" s="50"/>
      <c r="I162" s="28" t="str">
        <f aca="false">IF(G162="","",G162-N(H162))</f>
        <v/>
      </c>
      <c r="J162" s="40"/>
      <c r="K162" s="40"/>
      <c r="L162" s="28" t="str">
        <f aca="false">IF(OR(G162="",J162="",J162=0),"",G162/J162)</f>
        <v/>
      </c>
      <c r="M162" s="80"/>
    </row>
    <row r="163" customFormat="false" ht="15" hidden="false" customHeight="false" outlineLevel="0" collapsed="false">
      <c r="A163" s="73"/>
      <c r="B163" s="10"/>
      <c r="C163" s="50"/>
      <c r="D163" s="50"/>
      <c r="E163" s="50"/>
      <c r="F163" s="50"/>
      <c r="G163" s="28" t="str">
        <f aca="false">IF(COUNT(C163:F163)=0,"",SUM(C163:F163))</f>
        <v/>
      </c>
      <c r="H163" s="50"/>
      <c r="I163" s="28" t="str">
        <f aca="false">IF(G163="","",G163-N(H163))</f>
        <v/>
      </c>
      <c r="J163" s="40"/>
      <c r="K163" s="40"/>
      <c r="L163" s="28" t="str">
        <f aca="false">IF(OR(G163="",J163="",J163=0),"",G163/J163)</f>
        <v/>
      </c>
      <c r="M163" s="80"/>
    </row>
    <row r="164" customFormat="false" ht="15" hidden="false" customHeight="false" outlineLevel="0" collapsed="false">
      <c r="A164" s="73"/>
      <c r="B164" s="10"/>
      <c r="C164" s="50"/>
      <c r="D164" s="50"/>
      <c r="E164" s="50"/>
      <c r="F164" s="50"/>
      <c r="G164" s="28" t="str">
        <f aca="false">IF(COUNT(C164:F164)=0,"",SUM(C164:F164))</f>
        <v/>
      </c>
      <c r="H164" s="50"/>
      <c r="I164" s="28" t="str">
        <f aca="false">IF(G164="","",G164-N(H164))</f>
        <v/>
      </c>
      <c r="J164" s="40"/>
      <c r="K164" s="40"/>
      <c r="L164" s="28" t="str">
        <f aca="false">IF(OR(G164="",J164="",J164=0),"",G164/J164)</f>
        <v/>
      </c>
      <c r="M164" s="80"/>
    </row>
    <row r="165" customFormat="false" ht="15" hidden="false" customHeight="false" outlineLevel="0" collapsed="false">
      <c r="A165" s="73"/>
      <c r="B165" s="10"/>
      <c r="C165" s="50"/>
      <c r="D165" s="50"/>
      <c r="E165" s="50"/>
      <c r="F165" s="50"/>
      <c r="G165" s="28" t="str">
        <f aca="false">IF(COUNT(C165:F165)=0,"",SUM(C165:F165))</f>
        <v/>
      </c>
      <c r="H165" s="50"/>
      <c r="I165" s="28" t="str">
        <f aca="false">IF(G165="","",G165-N(H165))</f>
        <v/>
      </c>
      <c r="J165" s="40"/>
      <c r="K165" s="40"/>
      <c r="L165" s="28" t="str">
        <f aca="false">IF(OR(G165="",J165="",J165=0),"",G165/J165)</f>
        <v/>
      </c>
      <c r="M165" s="80"/>
    </row>
    <row r="166" customFormat="false" ht="15" hidden="false" customHeight="false" outlineLevel="0" collapsed="false">
      <c r="A166" s="73"/>
      <c r="B166" s="10"/>
      <c r="C166" s="50"/>
      <c r="D166" s="50"/>
      <c r="E166" s="50"/>
      <c r="F166" s="50"/>
      <c r="G166" s="28" t="str">
        <f aca="false">IF(COUNT(C166:F166)=0,"",SUM(C166:F166))</f>
        <v/>
      </c>
      <c r="H166" s="50"/>
      <c r="I166" s="28" t="str">
        <f aca="false">IF(G166="","",G166-N(H166))</f>
        <v/>
      </c>
      <c r="J166" s="40"/>
      <c r="K166" s="40"/>
      <c r="L166" s="28" t="str">
        <f aca="false">IF(OR(G166="",J166="",J166=0),"",G166/J166)</f>
        <v/>
      </c>
      <c r="M166" s="80"/>
    </row>
    <row r="167" customFormat="false" ht="15" hidden="false" customHeight="false" outlineLevel="0" collapsed="false">
      <c r="A167" s="73"/>
      <c r="B167" s="10"/>
      <c r="C167" s="50"/>
      <c r="D167" s="50"/>
      <c r="E167" s="50"/>
      <c r="F167" s="50"/>
      <c r="G167" s="28" t="str">
        <f aca="false">IF(COUNT(C167:F167)=0,"",SUM(C167:F167))</f>
        <v/>
      </c>
      <c r="H167" s="50"/>
      <c r="I167" s="28" t="str">
        <f aca="false">IF(G167="","",G167-N(H167))</f>
        <v/>
      </c>
      <c r="J167" s="40"/>
      <c r="K167" s="40"/>
      <c r="L167" s="28" t="str">
        <f aca="false">IF(OR(G167="",J167="",J167=0),"",G167/J167)</f>
        <v/>
      </c>
      <c r="M167" s="80"/>
    </row>
    <row r="168" customFormat="false" ht="15" hidden="false" customHeight="false" outlineLevel="0" collapsed="false">
      <c r="A168" s="73"/>
      <c r="B168" s="10"/>
      <c r="C168" s="50"/>
      <c r="D168" s="50"/>
      <c r="E168" s="50"/>
      <c r="F168" s="50"/>
      <c r="G168" s="28" t="str">
        <f aca="false">IF(COUNT(C168:F168)=0,"",SUM(C168:F168))</f>
        <v/>
      </c>
      <c r="H168" s="50"/>
      <c r="I168" s="28" t="str">
        <f aca="false">IF(G168="","",G168-N(H168))</f>
        <v/>
      </c>
      <c r="J168" s="40"/>
      <c r="K168" s="40"/>
      <c r="L168" s="28" t="str">
        <f aca="false">IF(OR(G168="",J168="",J168=0),"",G168/J168)</f>
        <v/>
      </c>
      <c r="M168" s="80"/>
    </row>
    <row r="169" customFormat="false" ht="15" hidden="false" customHeight="false" outlineLevel="0" collapsed="false">
      <c r="A169" s="73"/>
      <c r="B169" s="10"/>
      <c r="C169" s="50"/>
      <c r="D169" s="50"/>
      <c r="E169" s="50"/>
      <c r="F169" s="50"/>
      <c r="G169" s="28" t="str">
        <f aca="false">IF(COUNT(C169:F169)=0,"",SUM(C169:F169))</f>
        <v/>
      </c>
      <c r="H169" s="50"/>
      <c r="I169" s="28" t="str">
        <f aca="false">IF(G169="","",G169-N(H169))</f>
        <v/>
      </c>
      <c r="J169" s="40"/>
      <c r="K169" s="40"/>
      <c r="L169" s="28" t="str">
        <f aca="false">IF(OR(G169="",J169="",J169=0),"",G169/J169)</f>
        <v/>
      </c>
      <c r="M169" s="80"/>
    </row>
    <row r="170" customFormat="false" ht="15" hidden="false" customHeight="false" outlineLevel="0" collapsed="false">
      <c r="A170" s="73"/>
      <c r="B170" s="10"/>
      <c r="C170" s="50"/>
      <c r="D170" s="50"/>
      <c r="E170" s="50"/>
      <c r="F170" s="50"/>
      <c r="G170" s="28" t="str">
        <f aca="false">IF(COUNT(C170:F170)=0,"",SUM(C170:F170))</f>
        <v/>
      </c>
      <c r="H170" s="50"/>
      <c r="I170" s="28" t="str">
        <f aca="false">IF(G170="","",G170-N(H170))</f>
        <v/>
      </c>
      <c r="J170" s="40"/>
      <c r="K170" s="40"/>
      <c r="L170" s="28" t="str">
        <f aca="false">IF(OR(G170="",J170="",J170=0),"",G170/J170)</f>
        <v/>
      </c>
      <c r="M170" s="80"/>
    </row>
    <row r="171" customFormat="false" ht="15" hidden="false" customHeight="false" outlineLevel="0" collapsed="false">
      <c r="A171" s="73"/>
      <c r="B171" s="10"/>
      <c r="C171" s="50"/>
      <c r="D171" s="50"/>
      <c r="E171" s="50"/>
      <c r="F171" s="50"/>
      <c r="G171" s="28" t="str">
        <f aca="false">IF(COUNT(C171:F171)=0,"",SUM(C171:F171))</f>
        <v/>
      </c>
      <c r="H171" s="50"/>
      <c r="I171" s="28" t="str">
        <f aca="false">IF(G171="","",G171-N(H171))</f>
        <v/>
      </c>
      <c r="J171" s="40"/>
      <c r="K171" s="40"/>
      <c r="L171" s="28" t="str">
        <f aca="false">IF(OR(G171="",J171="",J171=0),"",G171/J171)</f>
        <v/>
      </c>
      <c r="M171" s="80"/>
    </row>
    <row r="172" customFormat="false" ht="15" hidden="false" customHeight="false" outlineLevel="0" collapsed="false">
      <c r="A172" s="73"/>
      <c r="B172" s="10"/>
      <c r="C172" s="50"/>
      <c r="D172" s="50"/>
      <c r="E172" s="50"/>
      <c r="F172" s="50"/>
      <c r="G172" s="28" t="str">
        <f aca="false">IF(COUNT(C172:F172)=0,"",SUM(C172:F172))</f>
        <v/>
      </c>
      <c r="H172" s="50"/>
      <c r="I172" s="28" t="str">
        <f aca="false">IF(G172="","",G172-N(H172))</f>
        <v/>
      </c>
      <c r="J172" s="40"/>
      <c r="K172" s="40"/>
      <c r="L172" s="28" t="str">
        <f aca="false">IF(OR(G172="",J172="",J172=0),"",G172/J172)</f>
        <v/>
      </c>
      <c r="M172" s="80"/>
    </row>
    <row r="173" customFormat="false" ht="15" hidden="false" customHeight="false" outlineLevel="0" collapsed="false">
      <c r="A173" s="73"/>
      <c r="B173" s="10"/>
      <c r="C173" s="50"/>
      <c r="D173" s="50"/>
      <c r="E173" s="50"/>
      <c r="F173" s="50"/>
      <c r="G173" s="28" t="str">
        <f aca="false">IF(COUNT(C173:F173)=0,"",SUM(C173:F173))</f>
        <v/>
      </c>
      <c r="H173" s="50"/>
      <c r="I173" s="28" t="str">
        <f aca="false">IF(G173="","",G173-N(H173))</f>
        <v/>
      </c>
      <c r="J173" s="40"/>
      <c r="K173" s="40"/>
      <c r="L173" s="28" t="str">
        <f aca="false">IF(OR(G173="",J173="",J173=0),"",G173/J173)</f>
        <v/>
      </c>
      <c r="M173" s="80"/>
    </row>
    <row r="174" customFormat="false" ht="15" hidden="false" customHeight="false" outlineLevel="0" collapsed="false">
      <c r="A174" s="73"/>
      <c r="B174" s="10"/>
      <c r="C174" s="50"/>
      <c r="D174" s="50"/>
      <c r="E174" s="50"/>
      <c r="F174" s="50"/>
      <c r="G174" s="28" t="str">
        <f aca="false">IF(COUNT(C174:F174)=0,"",SUM(C174:F174))</f>
        <v/>
      </c>
      <c r="H174" s="50"/>
      <c r="I174" s="28" t="str">
        <f aca="false">IF(G174="","",G174-N(H174))</f>
        <v/>
      </c>
      <c r="J174" s="40"/>
      <c r="K174" s="40"/>
      <c r="L174" s="28" t="str">
        <f aca="false">IF(OR(G174="",J174="",J174=0),"",G174/J174)</f>
        <v/>
      </c>
      <c r="M174" s="80"/>
    </row>
    <row r="175" customFormat="false" ht="15" hidden="false" customHeight="false" outlineLevel="0" collapsed="false">
      <c r="A175" s="73"/>
      <c r="B175" s="10"/>
      <c r="C175" s="50"/>
      <c r="D175" s="50"/>
      <c r="E175" s="50"/>
      <c r="F175" s="50"/>
      <c r="G175" s="28" t="str">
        <f aca="false">IF(COUNT(C175:F175)=0,"",SUM(C175:F175))</f>
        <v/>
      </c>
      <c r="H175" s="50"/>
      <c r="I175" s="28" t="str">
        <f aca="false">IF(G175="","",G175-N(H175))</f>
        <v/>
      </c>
      <c r="J175" s="40"/>
      <c r="K175" s="40"/>
      <c r="L175" s="28" t="str">
        <f aca="false">IF(OR(G175="",J175="",J175=0),"",G175/J175)</f>
        <v/>
      </c>
      <c r="M175" s="80"/>
    </row>
    <row r="176" customFormat="false" ht="15" hidden="false" customHeight="false" outlineLevel="0" collapsed="false">
      <c r="A176" s="73"/>
      <c r="B176" s="10"/>
      <c r="C176" s="50"/>
      <c r="D176" s="50"/>
      <c r="E176" s="50"/>
      <c r="F176" s="50"/>
      <c r="G176" s="28" t="str">
        <f aca="false">IF(COUNT(C176:F176)=0,"",SUM(C176:F176))</f>
        <v/>
      </c>
      <c r="H176" s="50"/>
      <c r="I176" s="28" t="str">
        <f aca="false">IF(G176="","",G176-N(H176))</f>
        <v/>
      </c>
      <c r="J176" s="40"/>
      <c r="K176" s="40"/>
      <c r="L176" s="28" t="str">
        <f aca="false">IF(OR(G176="",J176="",J176=0),"",G176/J176)</f>
        <v/>
      </c>
      <c r="M176" s="80"/>
    </row>
    <row r="177" customFormat="false" ht="15" hidden="false" customHeight="false" outlineLevel="0" collapsed="false">
      <c r="A177" s="73"/>
      <c r="B177" s="10"/>
      <c r="C177" s="50"/>
      <c r="D177" s="50"/>
      <c r="E177" s="50"/>
      <c r="F177" s="50"/>
      <c r="G177" s="28" t="str">
        <f aca="false">IF(COUNT(C177:F177)=0,"",SUM(C177:F177))</f>
        <v/>
      </c>
      <c r="H177" s="50"/>
      <c r="I177" s="28" t="str">
        <f aca="false">IF(G177="","",G177-N(H177))</f>
        <v/>
      </c>
      <c r="J177" s="40"/>
      <c r="K177" s="40"/>
      <c r="L177" s="28" t="str">
        <f aca="false">IF(OR(G177="",J177="",J177=0),"",G177/J177)</f>
        <v/>
      </c>
      <c r="M177" s="80"/>
    </row>
    <row r="178" customFormat="false" ht="15" hidden="false" customHeight="false" outlineLevel="0" collapsed="false">
      <c r="A178" s="73"/>
      <c r="B178" s="10"/>
      <c r="C178" s="50"/>
      <c r="D178" s="50"/>
      <c r="E178" s="50"/>
      <c r="F178" s="50"/>
      <c r="G178" s="28" t="str">
        <f aca="false">IF(COUNT(C178:F178)=0,"",SUM(C178:F178))</f>
        <v/>
      </c>
      <c r="H178" s="50"/>
      <c r="I178" s="28" t="str">
        <f aca="false">IF(G178="","",G178-N(H178))</f>
        <v/>
      </c>
      <c r="J178" s="40"/>
      <c r="K178" s="40"/>
      <c r="L178" s="28" t="str">
        <f aca="false">IF(OR(G178="",J178="",J178=0),"",G178/J178)</f>
        <v/>
      </c>
      <c r="M178" s="80"/>
    </row>
    <row r="179" customFormat="false" ht="15" hidden="false" customHeight="false" outlineLevel="0" collapsed="false">
      <c r="A179" s="73"/>
      <c r="B179" s="10"/>
      <c r="C179" s="50"/>
      <c r="D179" s="50"/>
      <c r="E179" s="50"/>
      <c r="F179" s="50"/>
      <c r="G179" s="28" t="str">
        <f aca="false">IF(COUNT(C179:F179)=0,"",SUM(C179:F179))</f>
        <v/>
      </c>
      <c r="H179" s="50"/>
      <c r="I179" s="28" t="str">
        <f aca="false">IF(G179="","",G179-N(H179))</f>
        <v/>
      </c>
      <c r="J179" s="40"/>
      <c r="K179" s="40"/>
      <c r="L179" s="28" t="str">
        <f aca="false">IF(OR(G179="",J179="",J179=0),"",G179/J179)</f>
        <v/>
      </c>
      <c r="M179" s="80"/>
    </row>
    <row r="180" customFormat="false" ht="15" hidden="false" customHeight="false" outlineLevel="0" collapsed="false">
      <c r="A180" s="73"/>
      <c r="B180" s="10"/>
      <c r="C180" s="50"/>
      <c r="D180" s="50"/>
      <c r="E180" s="50"/>
      <c r="F180" s="50"/>
      <c r="G180" s="28" t="str">
        <f aca="false">IF(COUNT(C180:F180)=0,"",SUM(C180:F180))</f>
        <v/>
      </c>
      <c r="H180" s="50"/>
      <c r="I180" s="28" t="str">
        <f aca="false">IF(G180="","",G180-N(H180))</f>
        <v/>
      </c>
      <c r="J180" s="40"/>
      <c r="K180" s="40"/>
      <c r="L180" s="28" t="str">
        <f aca="false">IF(OR(G180="",J180="",J180=0),"",G180/J180)</f>
        <v/>
      </c>
      <c r="M180" s="80"/>
    </row>
    <row r="181" customFormat="false" ht="15" hidden="false" customHeight="false" outlineLevel="0" collapsed="false">
      <c r="A181" s="73"/>
      <c r="B181" s="10"/>
      <c r="C181" s="50"/>
      <c r="D181" s="50"/>
      <c r="E181" s="50"/>
      <c r="F181" s="50"/>
      <c r="G181" s="28" t="str">
        <f aca="false">IF(COUNT(C181:F181)=0,"",SUM(C181:F181))</f>
        <v/>
      </c>
      <c r="H181" s="50"/>
      <c r="I181" s="28" t="str">
        <f aca="false">IF(G181="","",G181-N(H181))</f>
        <v/>
      </c>
      <c r="J181" s="40"/>
      <c r="K181" s="40"/>
      <c r="L181" s="28" t="str">
        <f aca="false">IF(OR(G181="",J181="",J181=0),"",G181/J181)</f>
        <v/>
      </c>
      <c r="M181" s="80"/>
    </row>
    <row r="182" customFormat="false" ht="15" hidden="false" customHeight="false" outlineLevel="0" collapsed="false">
      <c r="A182" s="73"/>
      <c r="B182" s="10"/>
      <c r="C182" s="50"/>
      <c r="D182" s="50"/>
      <c r="E182" s="50"/>
      <c r="F182" s="50"/>
      <c r="G182" s="28" t="str">
        <f aca="false">IF(COUNT(C182:F182)=0,"",SUM(C182:F182))</f>
        <v/>
      </c>
      <c r="H182" s="50"/>
      <c r="I182" s="28" t="str">
        <f aca="false">IF(G182="","",G182-N(H182))</f>
        <v/>
      </c>
      <c r="J182" s="40"/>
      <c r="K182" s="40"/>
      <c r="L182" s="28" t="str">
        <f aca="false">IF(OR(G182="",J182="",J182=0),"",G182/J182)</f>
        <v/>
      </c>
      <c r="M182" s="80"/>
    </row>
    <row r="183" customFormat="false" ht="15" hidden="false" customHeight="false" outlineLevel="0" collapsed="false">
      <c r="A183" s="73"/>
      <c r="B183" s="10"/>
      <c r="C183" s="50"/>
      <c r="D183" s="50"/>
      <c r="E183" s="50"/>
      <c r="F183" s="50"/>
      <c r="G183" s="28" t="str">
        <f aca="false">IF(COUNT(C183:F183)=0,"",SUM(C183:F183))</f>
        <v/>
      </c>
      <c r="H183" s="50"/>
      <c r="I183" s="28" t="str">
        <f aca="false">IF(G183="","",G183-N(H183))</f>
        <v/>
      </c>
      <c r="J183" s="40"/>
      <c r="K183" s="40"/>
      <c r="L183" s="28" t="str">
        <f aca="false">IF(OR(G183="",J183="",J183=0),"",G183/J183)</f>
        <v/>
      </c>
      <c r="M183" s="80"/>
    </row>
    <row r="184" customFormat="false" ht="15" hidden="false" customHeight="false" outlineLevel="0" collapsed="false">
      <c r="A184" s="73"/>
      <c r="B184" s="10"/>
      <c r="C184" s="50"/>
      <c r="D184" s="50"/>
      <c r="E184" s="50"/>
      <c r="F184" s="50"/>
      <c r="G184" s="28" t="str">
        <f aca="false">IF(COUNT(C184:F184)=0,"",SUM(C184:F184))</f>
        <v/>
      </c>
      <c r="H184" s="50"/>
      <c r="I184" s="28" t="str">
        <f aca="false">IF(G184="","",G184-N(H184))</f>
        <v/>
      </c>
      <c r="J184" s="40"/>
      <c r="K184" s="40"/>
      <c r="L184" s="28" t="str">
        <f aca="false">IF(OR(G184="",J184="",J184=0),"",G184/J184)</f>
        <v/>
      </c>
      <c r="M184" s="80"/>
    </row>
    <row r="185" customFormat="false" ht="15" hidden="false" customHeight="false" outlineLevel="0" collapsed="false">
      <c r="A185" s="73"/>
      <c r="B185" s="10"/>
      <c r="C185" s="50"/>
      <c r="D185" s="50"/>
      <c r="E185" s="50"/>
      <c r="F185" s="50"/>
      <c r="G185" s="28" t="str">
        <f aca="false">IF(COUNT(C185:F185)=0,"",SUM(C185:F185))</f>
        <v/>
      </c>
      <c r="H185" s="50"/>
      <c r="I185" s="28" t="str">
        <f aca="false">IF(G185="","",G185-N(H185))</f>
        <v/>
      </c>
      <c r="J185" s="40"/>
      <c r="K185" s="40"/>
      <c r="L185" s="28" t="str">
        <f aca="false">IF(OR(G185="",J185="",J185=0),"",G185/J185)</f>
        <v/>
      </c>
      <c r="M185" s="80"/>
    </row>
    <row r="186" customFormat="false" ht="15" hidden="false" customHeight="false" outlineLevel="0" collapsed="false">
      <c r="A186" s="73"/>
      <c r="B186" s="10"/>
      <c r="C186" s="50"/>
      <c r="D186" s="50"/>
      <c r="E186" s="50"/>
      <c r="F186" s="50"/>
      <c r="G186" s="28" t="str">
        <f aca="false">IF(COUNT(C186:F186)=0,"",SUM(C186:F186))</f>
        <v/>
      </c>
      <c r="H186" s="50"/>
      <c r="I186" s="28" t="str">
        <f aca="false">IF(G186="","",G186-N(H186))</f>
        <v/>
      </c>
      <c r="J186" s="40"/>
      <c r="K186" s="40"/>
      <c r="L186" s="28" t="str">
        <f aca="false">IF(OR(G186="",J186="",J186=0),"",G186/J186)</f>
        <v/>
      </c>
      <c r="M186" s="80"/>
    </row>
    <row r="187" customFormat="false" ht="15" hidden="false" customHeight="false" outlineLevel="0" collapsed="false">
      <c r="A187" s="73"/>
      <c r="B187" s="10"/>
      <c r="C187" s="50"/>
      <c r="D187" s="50"/>
      <c r="E187" s="50"/>
      <c r="F187" s="50"/>
      <c r="G187" s="28" t="str">
        <f aca="false">IF(COUNT(C187:F187)=0,"",SUM(C187:F187))</f>
        <v/>
      </c>
      <c r="H187" s="50"/>
      <c r="I187" s="28" t="str">
        <f aca="false">IF(G187="","",G187-N(H187))</f>
        <v/>
      </c>
      <c r="J187" s="40"/>
      <c r="K187" s="40"/>
      <c r="L187" s="28" t="str">
        <f aca="false">IF(OR(G187="",J187="",J187=0),"",G187/J187)</f>
        <v/>
      </c>
      <c r="M187" s="80"/>
    </row>
    <row r="188" customFormat="false" ht="15" hidden="false" customHeight="false" outlineLevel="0" collapsed="false">
      <c r="A188" s="73"/>
      <c r="B188" s="10"/>
      <c r="C188" s="50"/>
      <c r="D188" s="50"/>
      <c r="E188" s="50"/>
      <c r="F188" s="50"/>
      <c r="G188" s="28" t="str">
        <f aca="false">IF(COUNT(C188:F188)=0,"",SUM(C188:F188))</f>
        <v/>
      </c>
      <c r="H188" s="50"/>
      <c r="I188" s="28" t="str">
        <f aca="false">IF(G188="","",G188-N(H188))</f>
        <v/>
      </c>
      <c r="J188" s="40"/>
      <c r="K188" s="40"/>
      <c r="L188" s="28" t="str">
        <f aca="false">IF(OR(G188="",J188="",J188=0),"",G188/J188)</f>
        <v/>
      </c>
      <c r="M188" s="80"/>
    </row>
    <row r="189" customFormat="false" ht="15" hidden="false" customHeight="false" outlineLevel="0" collapsed="false">
      <c r="A189" s="73"/>
      <c r="B189" s="10"/>
      <c r="C189" s="50"/>
      <c r="D189" s="50"/>
      <c r="E189" s="50"/>
      <c r="F189" s="50"/>
      <c r="G189" s="28" t="str">
        <f aca="false">IF(COUNT(C189:F189)=0,"",SUM(C189:F189))</f>
        <v/>
      </c>
      <c r="H189" s="50"/>
      <c r="I189" s="28" t="str">
        <f aca="false">IF(G189="","",G189-N(H189))</f>
        <v/>
      </c>
      <c r="J189" s="40"/>
      <c r="K189" s="40"/>
      <c r="L189" s="28" t="str">
        <f aca="false">IF(OR(G189="",J189="",J189=0),"",G189/J189)</f>
        <v/>
      </c>
      <c r="M189" s="80"/>
    </row>
    <row r="190" customFormat="false" ht="15" hidden="false" customHeight="false" outlineLevel="0" collapsed="false">
      <c r="A190" s="73"/>
      <c r="B190" s="10"/>
      <c r="C190" s="50"/>
      <c r="D190" s="50"/>
      <c r="E190" s="50"/>
      <c r="F190" s="50"/>
      <c r="G190" s="28" t="str">
        <f aca="false">IF(COUNT(C190:F190)=0,"",SUM(C190:F190))</f>
        <v/>
      </c>
      <c r="H190" s="50"/>
      <c r="I190" s="28" t="str">
        <f aca="false">IF(G190="","",G190-N(H190))</f>
        <v/>
      </c>
      <c r="J190" s="40"/>
      <c r="K190" s="40"/>
      <c r="L190" s="28" t="str">
        <f aca="false">IF(OR(G190="",J190="",J190=0),"",G190/J190)</f>
        <v/>
      </c>
      <c r="M190" s="80"/>
    </row>
    <row r="191" customFormat="false" ht="15" hidden="false" customHeight="false" outlineLevel="0" collapsed="false">
      <c r="A191" s="73"/>
      <c r="B191" s="10"/>
      <c r="C191" s="50"/>
      <c r="D191" s="50"/>
      <c r="E191" s="50"/>
      <c r="F191" s="50"/>
      <c r="G191" s="28" t="str">
        <f aca="false">IF(COUNT(C191:F191)=0,"",SUM(C191:F191))</f>
        <v/>
      </c>
      <c r="H191" s="50"/>
      <c r="I191" s="28" t="str">
        <f aca="false">IF(G191="","",G191-N(H191))</f>
        <v/>
      </c>
      <c r="J191" s="40"/>
      <c r="K191" s="40"/>
      <c r="L191" s="28" t="str">
        <f aca="false">IF(OR(G191="",J191="",J191=0),"",G191/J191)</f>
        <v/>
      </c>
      <c r="M191" s="80"/>
    </row>
    <row r="192" customFormat="false" ht="15" hidden="false" customHeight="false" outlineLevel="0" collapsed="false">
      <c r="A192" s="73"/>
      <c r="B192" s="10"/>
      <c r="C192" s="50"/>
      <c r="D192" s="50"/>
      <c r="E192" s="50"/>
      <c r="F192" s="50"/>
      <c r="G192" s="28" t="str">
        <f aca="false">IF(COUNT(C192:F192)=0,"",SUM(C192:F192))</f>
        <v/>
      </c>
      <c r="H192" s="50"/>
      <c r="I192" s="28" t="str">
        <f aca="false">IF(G192="","",G192-N(H192))</f>
        <v/>
      </c>
      <c r="J192" s="40"/>
      <c r="K192" s="40"/>
      <c r="L192" s="28" t="str">
        <f aca="false">IF(OR(G192="",J192="",J192=0),"",G192/J192)</f>
        <v/>
      </c>
      <c r="M192" s="80"/>
    </row>
    <row r="193" customFormat="false" ht="15" hidden="false" customHeight="false" outlineLevel="0" collapsed="false">
      <c r="A193" s="73"/>
      <c r="B193" s="10"/>
      <c r="C193" s="50"/>
      <c r="D193" s="50"/>
      <c r="E193" s="50"/>
      <c r="F193" s="50"/>
      <c r="G193" s="28" t="str">
        <f aca="false">IF(COUNT(C193:F193)=0,"",SUM(C193:F193))</f>
        <v/>
      </c>
      <c r="H193" s="50"/>
      <c r="I193" s="28" t="str">
        <f aca="false">IF(G193="","",G193-N(H193))</f>
        <v/>
      </c>
      <c r="J193" s="40"/>
      <c r="K193" s="40"/>
      <c r="L193" s="28" t="str">
        <f aca="false">IF(OR(G193="",J193="",J193=0),"",G193/J193)</f>
        <v/>
      </c>
      <c r="M193" s="80"/>
    </row>
    <row r="194" customFormat="false" ht="15" hidden="false" customHeight="false" outlineLevel="0" collapsed="false">
      <c r="A194" s="73"/>
      <c r="B194" s="10"/>
      <c r="C194" s="50"/>
      <c r="D194" s="50"/>
      <c r="E194" s="50"/>
      <c r="F194" s="50"/>
      <c r="G194" s="28" t="str">
        <f aca="false">IF(COUNT(C194:F194)=0,"",SUM(C194:F194))</f>
        <v/>
      </c>
      <c r="H194" s="50"/>
      <c r="I194" s="28" t="str">
        <f aca="false">IF(G194="","",G194-N(H194))</f>
        <v/>
      </c>
      <c r="J194" s="40"/>
      <c r="K194" s="40"/>
      <c r="L194" s="28" t="str">
        <f aca="false">IF(OR(G194="",J194="",J194=0),"",G194/J194)</f>
        <v/>
      </c>
      <c r="M194" s="80"/>
    </row>
    <row r="195" customFormat="false" ht="15" hidden="false" customHeight="false" outlineLevel="0" collapsed="false">
      <c r="A195" s="73"/>
      <c r="B195" s="10"/>
      <c r="C195" s="50"/>
      <c r="D195" s="50"/>
      <c r="E195" s="50"/>
      <c r="F195" s="50"/>
      <c r="G195" s="28" t="str">
        <f aca="false">IF(COUNT(C195:F195)=0,"",SUM(C195:F195))</f>
        <v/>
      </c>
      <c r="H195" s="50"/>
      <c r="I195" s="28" t="str">
        <f aca="false">IF(G195="","",G195-N(H195))</f>
        <v/>
      </c>
      <c r="J195" s="40"/>
      <c r="K195" s="40"/>
      <c r="L195" s="28" t="str">
        <f aca="false">IF(OR(G195="",J195="",J195=0),"",G195/J195)</f>
        <v/>
      </c>
      <c r="M195" s="80"/>
    </row>
    <row r="196" customFormat="false" ht="15" hidden="false" customHeight="false" outlineLevel="0" collapsed="false">
      <c r="A196" s="73"/>
      <c r="B196" s="10"/>
      <c r="C196" s="50"/>
      <c r="D196" s="50"/>
      <c r="E196" s="50"/>
      <c r="F196" s="50"/>
      <c r="G196" s="28" t="str">
        <f aca="false">IF(COUNT(C196:F196)=0,"",SUM(C196:F196))</f>
        <v/>
      </c>
      <c r="H196" s="50"/>
      <c r="I196" s="28" t="str">
        <f aca="false">IF(G196="","",G196-N(H196))</f>
        <v/>
      </c>
      <c r="J196" s="40"/>
      <c r="K196" s="40"/>
      <c r="L196" s="28" t="str">
        <f aca="false">IF(OR(G196="",J196="",J196=0),"",G196/J196)</f>
        <v/>
      </c>
      <c r="M196" s="80"/>
    </row>
    <row r="197" customFormat="false" ht="15" hidden="false" customHeight="false" outlineLevel="0" collapsed="false">
      <c r="A197" s="73"/>
      <c r="B197" s="10"/>
      <c r="C197" s="50"/>
      <c r="D197" s="50"/>
      <c r="E197" s="50"/>
      <c r="F197" s="50"/>
      <c r="G197" s="28" t="str">
        <f aca="false">IF(COUNT(C197:F197)=0,"",SUM(C197:F197))</f>
        <v/>
      </c>
      <c r="H197" s="50"/>
      <c r="I197" s="28" t="str">
        <f aca="false">IF(G197="","",G197-N(H197))</f>
        <v/>
      </c>
      <c r="J197" s="40"/>
      <c r="K197" s="40"/>
      <c r="L197" s="28" t="str">
        <f aca="false">IF(OR(G197="",J197="",J197=0),"",G197/J197)</f>
        <v/>
      </c>
      <c r="M197" s="80"/>
    </row>
    <row r="198" customFormat="false" ht="15" hidden="false" customHeight="false" outlineLevel="0" collapsed="false">
      <c r="A198" s="73"/>
      <c r="B198" s="10"/>
      <c r="C198" s="50"/>
      <c r="D198" s="50"/>
      <c r="E198" s="50"/>
      <c r="F198" s="50"/>
      <c r="G198" s="28" t="str">
        <f aca="false">IF(COUNT(C198:F198)=0,"",SUM(C198:F198))</f>
        <v/>
      </c>
      <c r="H198" s="50"/>
      <c r="I198" s="28" t="str">
        <f aca="false">IF(G198="","",G198-N(H198))</f>
        <v/>
      </c>
      <c r="J198" s="40"/>
      <c r="K198" s="40"/>
      <c r="L198" s="28" t="str">
        <f aca="false">IF(OR(G198="",J198="",J198=0),"",G198/J198)</f>
        <v/>
      </c>
      <c r="M198" s="80"/>
    </row>
    <row r="199" customFormat="false" ht="15" hidden="false" customHeight="false" outlineLevel="0" collapsed="false">
      <c r="A199" s="73"/>
      <c r="B199" s="10"/>
      <c r="C199" s="50"/>
      <c r="D199" s="50"/>
      <c r="E199" s="50"/>
      <c r="F199" s="50"/>
      <c r="G199" s="28" t="str">
        <f aca="false">IF(COUNT(C199:F199)=0,"",SUM(C199:F199))</f>
        <v/>
      </c>
      <c r="H199" s="50"/>
      <c r="I199" s="28" t="str">
        <f aca="false">IF(G199="","",G199-N(H199))</f>
        <v/>
      </c>
      <c r="J199" s="40"/>
      <c r="K199" s="40"/>
      <c r="L199" s="28" t="str">
        <f aca="false">IF(OR(G199="",J199="",J199=0),"",G199/J199)</f>
        <v/>
      </c>
      <c r="M199" s="80"/>
    </row>
    <row r="200" customFormat="false" ht="15" hidden="false" customHeight="false" outlineLevel="0" collapsed="false">
      <c r="A200" s="73"/>
      <c r="B200" s="10"/>
      <c r="C200" s="50"/>
      <c r="D200" s="50"/>
      <c r="E200" s="50"/>
      <c r="F200" s="50"/>
      <c r="G200" s="28" t="str">
        <f aca="false">IF(COUNT(C200:F200)=0,"",SUM(C200:F200))</f>
        <v/>
      </c>
      <c r="H200" s="50"/>
      <c r="I200" s="28" t="str">
        <f aca="false">IF(G200="","",G200-N(H200))</f>
        <v/>
      </c>
      <c r="J200" s="40"/>
      <c r="K200" s="40"/>
      <c r="L200" s="28" t="str">
        <f aca="false">IF(OR(G200="",J200="",J200=0),"",G200/J200)</f>
        <v/>
      </c>
      <c r="M200" s="80"/>
    </row>
    <row r="201" customFormat="false" ht="15" hidden="false" customHeight="false" outlineLevel="0" collapsed="false">
      <c r="A201" s="73"/>
      <c r="B201" s="10"/>
      <c r="C201" s="50"/>
      <c r="D201" s="50"/>
      <c r="E201" s="50"/>
      <c r="F201" s="50"/>
      <c r="G201" s="28" t="str">
        <f aca="false">IF(COUNT(C201:F201)=0,"",SUM(C201:F201))</f>
        <v/>
      </c>
      <c r="H201" s="50"/>
      <c r="I201" s="28" t="str">
        <f aca="false">IF(G201="","",G201-N(H201))</f>
        <v/>
      </c>
      <c r="J201" s="40"/>
      <c r="K201" s="40"/>
      <c r="L201" s="28" t="str">
        <f aca="false">IF(OR(G201="",J201="",J201=0),"",G201/J201)</f>
        <v/>
      </c>
      <c r="M201" s="80"/>
    </row>
    <row r="202" customFormat="false" ht="15" hidden="false" customHeight="false" outlineLevel="0" collapsed="false">
      <c r="A202" s="73"/>
      <c r="B202" s="10"/>
      <c r="C202" s="50"/>
      <c r="D202" s="50"/>
      <c r="E202" s="50"/>
      <c r="F202" s="50"/>
      <c r="G202" s="28" t="str">
        <f aca="false">IF(COUNT(C202:F202)=0,"",SUM(C202:F202))</f>
        <v/>
      </c>
      <c r="H202" s="50"/>
      <c r="I202" s="28" t="str">
        <f aca="false">IF(G202="","",G202-N(H202))</f>
        <v/>
      </c>
      <c r="J202" s="40"/>
      <c r="K202" s="40"/>
      <c r="L202" s="28" t="str">
        <f aca="false">IF(OR(G202="",J202="",J202=0),"",G202/J202)</f>
        <v/>
      </c>
      <c r="M202" s="80"/>
    </row>
    <row r="203" customFormat="false" ht="15" hidden="false" customHeight="false" outlineLevel="0" collapsed="false">
      <c r="A203" s="73"/>
      <c r="B203" s="10"/>
      <c r="C203" s="50"/>
      <c r="D203" s="50"/>
      <c r="E203" s="50"/>
      <c r="F203" s="50"/>
      <c r="G203" s="28" t="str">
        <f aca="false">IF(COUNT(C203:F203)=0,"",SUM(C203:F203))</f>
        <v/>
      </c>
      <c r="H203" s="50"/>
      <c r="I203" s="28" t="str">
        <f aca="false">IF(G203="","",G203-N(H203))</f>
        <v/>
      </c>
      <c r="J203" s="40"/>
      <c r="K203" s="40"/>
      <c r="L203" s="28" t="str">
        <f aca="false">IF(OR(G203="",J203="",J203=0),"",G203/J203)</f>
        <v/>
      </c>
      <c r="M203" s="80"/>
    </row>
    <row r="204" customFormat="false" ht="15" hidden="false" customHeight="false" outlineLevel="0" collapsed="false">
      <c r="A204" s="73"/>
      <c r="B204" s="10"/>
      <c r="C204" s="50"/>
      <c r="D204" s="50"/>
      <c r="E204" s="50"/>
      <c r="F204" s="50"/>
      <c r="G204" s="28" t="str">
        <f aca="false">IF(COUNT(C204:F204)=0,"",SUM(C204:F204))</f>
        <v/>
      </c>
      <c r="H204" s="50"/>
      <c r="I204" s="28" t="str">
        <f aca="false">IF(G204="","",G204-N(H204))</f>
        <v/>
      </c>
      <c r="J204" s="40"/>
      <c r="K204" s="40"/>
      <c r="L204" s="28" t="str">
        <f aca="false">IF(OR(G204="",J204="",J204=0),"",G204/J204)</f>
        <v/>
      </c>
      <c r="M204" s="80"/>
    </row>
    <row r="205" customFormat="false" ht="15" hidden="false" customHeight="false" outlineLevel="0" collapsed="false">
      <c r="A205" s="73"/>
      <c r="B205" s="10"/>
      <c r="C205" s="50"/>
      <c r="D205" s="50"/>
      <c r="E205" s="50"/>
      <c r="F205" s="50"/>
      <c r="G205" s="28" t="str">
        <f aca="false">IF(COUNT(C205:F205)=0,"",SUM(C205:F205))</f>
        <v/>
      </c>
      <c r="H205" s="50"/>
      <c r="I205" s="28" t="str">
        <f aca="false">IF(G205="","",G205-N(H205))</f>
        <v/>
      </c>
      <c r="J205" s="40"/>
      <c r="K205" s="40"/>
      <c r="L205" s="28" t="str">
        <f aca="false">IF(OR(G205="",J205="",J205=0),"",G205/J205)</f>
        <v/>
      </c>
      <c r="M205" s="80"/>
    </row>
    <row r="206" customFormat="false" ht="15" hidden="false" customHeight="false" outlineLevel="0" collapsed="false">
      <c r="A206" s="73"/>
      <c r="B206" s="10"/>
      <c r="C206" s="50"/>
      <c r="D206" s="50"/>
      <c r="E206" s="50"/>
      <c r="F206" s="50"/>
      <c r="G206" s="28" t="str">
        <f aca="false">IF(COUNT(C206:F206)=0,"",SUM(C206:F206))</f>
        <v/>
      </c>
      <c r="H206" s="50"/>
      <c r="I206" s="28" t="str">
        <f aca="false">IF(G206="","",G206-N(H206))</f>
        <v/>
      </c>
      <c r="J206" s="40"/>
      <c r="K206" s="40"/>
      <c r="L206" s="28" t="str">
        <f aca="false">IF(OR(G206="",J206="",J206=0),"",G206/J206)</f>
        <v/>
      </c>
      <c r="M206" s="80"/>
    </row>
    <row r="207" customFormat="false" ht="15" hidden="false" customHeight="false" outlineLevel="0" collapsed="false">
      <c r="A207" s="73"/>
      <c r="B207" s="10"/>
      <c r="C207" s="50"/>
      <c r="D207" s="50"/>
      <c r="E207" s="50"/>
      <c r="F207" s="50"/>
      <c r="G207" s="28" t="str">
        <f aca="false">IF(COUNT(C207:F207)=0,"",SUM(C207:F207))</f>
        <v/>
      </c>
      <c r="H207" s="50"/>
      <c r="I207" s="28" t="str">
        <f aca="false">IF(G207="","",G207-N(H207))</f>
        <v/>
      </c>
      <c r="J207" s="40"/>
      <c r="K207" s="40"/>
      <c r="L207" s="28" t="str">
        <f aca="false">IF(OR(G207="",J207="",J207=0),"",G207/J207)</f>
        <v/>
      </c>
      <c r="M207" s="80"/>
    </row>
    <row r="208" customFormat="false" ht="15" hidden="false" customHeight="false" outlineLevel="0" collapsed="false">
      <c r="A208" s="73"/>
      <c r="B208" s="10"/>
      <c r="C208" s="50"/>
      <c r="D208" s="50"/>
      <c r="E208" s="50"/>
      <c r="F208" s="50"/>
      <c r="G208" s="28" t="str">
        <f aca="false">IF(COUNT(C208:F208)=0,"",SUM(C208:F208))</f>
        <v/>
      </c>
      <c r="H208" s="50"/>
      <c r="I208" s="28" t="str">
        <f aca="false">IF(G208="","",G208-N(H208))</f>
        <v/>
      </c>
      <c r="J208" s="40"/>
      <c r="K208" s="40"/>
      <c r="L208" s="28" t="str">
        <f aca="false">IF(OR(G208="",J208="",J208=0),"",G208/J208)</f>
        <v/>
      </c>
      <c r="M208" s="80"/>
    </row>
    <row r="209" customFormat="false" ht="15" hidden="false" customHeight="false" outlineLevel="0" collapsed="false">
      <c r="A209" s="73"/>
      <c r="B209" s="10"/>
      <c r="C209" s="50"/>
      <c r="D209" s="50"/>
      <c r="E209" s="50"/>
      <c r="F209" s="50"/>
      <c r="G209" s="28" t="str">
        <f aca="false">IF(COUNT(C209:F209)=0,"",SUM(C209:F209))</f>
        <v/>
      </c>
      <c r="H209" s="50"/>
      <c r="I209" s="28" t="str">
        <f aca="false">IF(G209="","",G209-N(H209))</f>
        <v/>
      </c>
      <c r="J209" s="40"/>
      <c r="K209" s="40"/>
      <c r="L209" s="28" t="str">
        <f aca="false">IF(OR(G209="",J209="",J209=0),"",G209/J209)</f>
        <v/>
      </c>
      <c r="M209" s="80"/>
    </row>
    <row r="210" customFormat="false" ht="15" hidden="false" customHeight="false" outlineLevel="0" collapsed="false">
      <c r="A210" s="73"/>
      <c r="B210" s="10"/>
      <c r="C210" s="50"/>
      <c r="D210" s="50"/>
      <c r="E210" s="50"/>
      <c r="F210" s="50"/>
      <c r="G210" s="28" t="str">
        <f aca="false">IF(COUNT(C210:F210)=0,"",SUM(C210:F210))</f>
        <v/>
      </c>
      <c r="H210" s="50"/>
      <c r="I210" s="28" t="str">
        <f aca="false">IF(G210="","",G210-N(H210))</f>
        <v/>
      </c>
      <c r="J210" s="40"/>
      <c r="K210" s="40"/>
      <c r="L210" s="28" t="str">
        <f aca="false">IF(OR(G210="",J210="",J210=0),"",G210/J210)</f>
        <v/>
      </c>
      <c r="M210" s="80"/>
    </row>
    <row r="211" customFormat="false" ht="15" hidden="false" customHeight="false" outlineLevel="0" collapsed="false">
      <c r="A211" s="73"/>
      <c r="B211" s="10"/>
      <c r="C211" s="50"/>
      <c r="D211" s="50"/>
      <c r="E211" s="50"/>
      <c r="F211" s="50"/>
      <c r="G211" s="28" t="str">
        <f aca="false">IF(COUNT(C211:F211)=0,"",SUM(C211:F211))</f>
        <v/>
      </c>
      <c r="H211" s="50"/>
      <c r="I211" s="28" t="str">
        <f aca="false">IF(G211="","",G211-N(H211))</f>
        <v/>
      </c>
      <c r="J211" s="40"/>
      <c r="K211" s="40"/>
      <c r="L211" s="28" t="str">
        <f aca="false">IF(OR(G211="",J211="",J211=0),"",G211/J211)</f>
        <v/>
      </c>
      <c r="M211" s="80"/>
    </row>
    <row r="212" customFormat="false" ht="15" hidden="false" customHeight="false" outlineLevel="0" collapsed="false">
      <c r="A212" s="73"/>
      <c r="B212" s="10"/>
      <c r="C212" s="50"/>
      <c r="D212" s="50"/>
      <c r="E212" s="50"/>
      <c r="F212" s="50"/>
      <c r="G212" s="28" t="str">
        <f aca="false">IF(COUNT(C212:F212)=0,"",SUM(C212:F212))</f>
        <v/>
      </c>
      <c r="H212" s="50"/>
      <c r="I212" s="28" t="str">
        <f aca="false">IF(G212="","",G212-N(H212))</f>
        <v/>
      </c>
      <c r="J212" s="40"/>
      <c r="K212" s="40"/>
      <c r="L212" s="28" t="str">
        <f aca="false">IF(OR(G212="",J212="",J212=0),"",G212/J212)</f>
        <v/>
      </c>
      <c r="M212" s="80"/>
    </row>
    <row r="213" customFormat="false" ht="15" hidden="false" customHeight="false" outlineLevel="0" collapsed="false">
      <c r="A213" s="73"/>
      <c r="B213" s="10"/>
      <c r="C213" s="50"/>
      <c r="D213" s="50"/>
      <c r="E213" s="50"/>
      <c r="F213" s="50"/>
      <c r="G213" s="28" t="str">
        <f aca="false">IF(COUNT(C213:F213)=0,"",SUM(C213:F213))</f>
        <v/>
      </c>
      <c r="H213" s="50"/>
      <c r="I213" s="28" t="str">
        <f aca="false">IF(G213="","",G213-N(H213))</f>
        <v/>
      </c>
      <c r="J213" s="40"/>
      <c r="K213" s="40"/>
      <c r="L213" s="28" t="str">
        <f aca="false">IF(OR(G213="",J213="",J213=0),"",G213/J213)</f>
        <v/>
      </c>
      <c r="M213" s="80"/>
    </row>
    <row r="214" customFormat="false" ht="15" hidden="false" customHeight="false" outlineLevel="0" collapsed="false">
      <c r="A214" s="73"/>
      <c r="B214" s="10"/>
      <c r="C214" s="50"/>
      <c r="D214" s="50"/>
      <c r="E214" s="50"/>
      <c r="F214" s="50"/>
      <c r="G214" s="28" t="str">
        <f aca="false">IF(COUNT(C214:F214)=0,"",SUM(C214:F214))</f>
        <v/>
      </c>
      <c r="H214" s="50"/>
      <c r="I214" s="28" t="str">
        <f aca="false">IF(G214="","",G214-N(H214))</f>
        <v/>
      </c>
      <c r="J214" s="40"/>
      <c r="K214" s="40"/>
      <c r="L214" s="28" t="str">
        <f aca="false">IF(OR(G214="",J214="",J214=0),"",G214/J214)</f>
        <v/>
      </c>
      <c r="M214" s="80"/>
    </row>
    <row r="215" customFormat="false" ht="15" hidden="false" customHeight="false" outlineLevel="0" collapsed="false">
      <c r="A215" s="73"/>
      <c r="B215" s="10"/>
      <c r="C215" s="50"/>
      <c r="D215" s="50"/>
      <c r="E215" s="50"/>
      <c r="F215" s="50"/>
      <c r="G215" s="28" t="str">
        <f aca="false">IF(COUNT(C215:F215)=0,"",SUM(C215:F215))</f>
        <v/>
      </c>
      <c r="H215" s="50"/>
      <c r="I215" s="28" t="str">
        <f aca="false">IF(G215="","",G215-N(H215))</f>
        <v/>
      </c>
      <c r="J215" s="40"/>
      <c r="K215" s="40"/>
      <c r="L215" s="28" t="str">
        <f aca="false">IF(OR(G215="",J215="",J215=0),"",G215/J215)</f>
        <v/>
      </c>
      <c r="M215" s="80"/>
    </row>
    <row r="216" customFormat="false" ht="15" hidden="false" customHeight="false" outlineLevel="0" collapsed="false">
      <c r="A216" s="73"/>
      <c r="B216" s="10"/>
      <c r="C216" s="50"/>
      <c r="D216" s="50"/>
      <c r="E216" s="50"/>
      <c r="F216" s="50"/>
      <c r="G216" s="28" t="str">
        <f aca="false">IF(COUNT(C216:F216)=0,"",SUM(C216:F216))</f>
        <v/>
      </c>
      <c r="H216" s="50"/>
      <c r="I216" s="28" t="str">
        <f aca="false">IF(G216="","",G216-N(H216))</f>
        <v/>
      </c>
      <c r="J216" s="40"/>
      <c r="K216" s="40"/>
      <c r="L216" s="28" t="str">
        <f aca="false">IF(OR(G216="",J216="",J216=0),"",G216/J216)</f>
        <v/>
      </c>
      <c r="M216" s="80"/>
    </row>
    <row r="217" customFormat="false" ht="15" hidden="false" customHeight="false" outlineLevel="0" collapsed="false">
      <c r="A217" s="73"/>
      <c r="B217" s="10"/>
      <c r="C217" s="50"/>
      <c r="D217" s="50"/>
      <c r="E217" s="50"/>
      <c r="F217" s="50"/>
      <c r="G217" s="28" t="str">
        <f aca="false">IF(COUNT(C217:F217)=0,"",SUM(C217:F217))</f>
        <v/>
      </c>
      <c r="H217" s="50"/>
      <c r="I217" s="28" t="str">
        <f aca="false">IF(G217="","",G217-N(H217))</f>
        <v/>
      </c>
      <c r="J217" s="40"/>
      <c r="K217" s="40"/>
      <c r="L217" s="28" t="str">
        <f aca="false">IF(OR(G217="",J217="",J217=0),"",G217/J217)</f>
        <v/>
      </c>
      <c r="M217" s="80"/>
    </row>
    <row r="218" customFormat="false" ht="15" hidden="false" customHeight="false" outlineLevel="0" collapsed="false">
      <c r="A218" s="73"/>
      <c r="B218" s="10"/>
      <c r="C218" s="50"/>
      <c r="D218" s="50"/>
      <c r="E218" s="50"/>
      <c r="F218" s="50"/>
      <c r="G218" s="28" t="str">
        <f aca="false">IF(COUNT(C218:F218)=0,"",SUM(C218:F218))</f>
        <v/>
      </c>
      <c r="H218" s="50"/>
      <c r="I218" s="28" t="str">
        <f aca="false">IF(G218="","",G218-N(H218))</f>
        <v/>
      </c>
      <c r="J218" s="40"/>
      <c r="K218" s="40"/>
      <c r="L218" s="28" t="str">
        <f aca="false">IF(OR(G218="",J218="",J218=0),"",G218/J218)</f>
        <v/>
      </c>
      <c r="M218" s="80"/>
    </row>
    <row r="219" customFormat="false" ht="15" hidden="false" customHeight="false" outlineLevel="0" collapsed="false">
      <c r="A219" s="73"/>
      <c r="B219" s="10"/>
      <c r="C219" s="50"/>
      <c r="D219" s="50"/>
      <c r="E219" s="50"/>
      <c r="F219" s="50"/>
      <c r="G219" s="28" t="str">
        <f aca="false">IF(COUNT(C219:F219)=0,"",SUM(C219:F219))</f>
        <v/>
      </c>
      <c r="H219" s="50"/>
      <c r="I219" s="28" t="str">
        <f aca="false">IF(G219="","",G219-N(H219))</f>
        <v/>
      </c>
      <c r="J219" s="40"/>
      <c r="K219" s="40"/>
      <c r="L219" s="28" t="str">
        <f aca="false">IF(OR(G219="",J219="",J219=0),"",G219/J219)</f>
        <v/>
      </c>
      <c r="M219" s="80"/>
    </row>
    <row r="220" customFormat="false" ht="15" hidden="false" customHeight="false" outlineLevel="0" collapsed="false">
      <c r="A220" s="73"/>
      <c r="B220" s="10"/>
      <c r="C220" s="50"/>
      <c r="D220" s="50"/>
      <c r="E220" s="50"/>
      <c r="F220" s="50"/>
      <c r="G220" s="28" t="str">
        <f aca="false">IF(COUNT(C220:F220)=0,"",SUM(C220:F220))</f>
        <v/>
      </c>
      <c r="H220" s="50"/>
      <c r="I220" s="28" t="str">
        <f aca="false">IF(G220="","",G220-N(H220))</f>
        <v/>
      </c>
      <c r="J220" s="40"/>
      <c r="K220" s="40"/>
      <c r="L220" s="28" t="str">
        <f aca="false">IF(OR(G220="",J220="",J220=0),"",G220/J220)</f>
        <v/>
      </c>
      <c r="M220" s="80"/>
    </row>
    <row r="221" customFormat="false" ht="15" hidden="false" customHeight="false" outlineLevel="0" collapsed="false">
      <c r="A221" s="73"/>
      <c r="B221" s="10"/>
      <c r="C221" s="50"/>
      <c r="D221" s="50"/>
      <c r="E221" s="50"/>
      <c r="F221" s="50"/>
      <c r="G221" s="28" t="str">
        <f aca="false">IF(COUNT(C221:F221)=0,"",SUM(C221:F221))</f>
        <v/>
      </c>
      <c r="H221" s="50"/>
      <c r="I221" s="28" t="str">
        <f aca="false">IF(G221="","",G221-N(H221))</f>
        <v/>
      </c>
      <c r="J221" s="40"/>
      <c r="K221" s="40"/>
      <c r="L221" s="28" t="str">
        <f aca="false">IF(OR(G221="",J221="",J221=0),"",G221/J221)</f>
        <v/>
      </c>
      <c r="M221" s="80"/>
    </row>
    <row r="222" customFormat="false" ht="15" hidden="false" customHeight="false" outlineLevel="0" collapsed="false">
      <c r="A222" s="73"/>
      <c r="B222" s="10"/>
      <c r="C222" s="50"/>
      <c r="D222" s="50"/>
      <c r="E222" s="50"/>
      <c r="F222" s="50"/>
      <c r="G222" s="28" t="str">
        <f aca="false">IF(COUNT(C222:F222)=0,"",SUM(C222:F222))</f>
        <v/>
      </c>
      <c r="H222" s="50"/>
      <c r="I222" s="28" t="str">
        <f aca="false">IF(G222="","",G222-N(H222))</f>
        <v/>
      </c>
      <c r="J222" s="40"/>
      <c r="K222" s="40"/>
      <c r="L222" s="28" t="str">
        <f aca="false">IF(OR(G222="",J222="",J222=0),"",G222/J222)</f>
        <v/>
      </c>
      <c r="M222" s="80"/>
    </row>
    <row r="223" customFormat="false" ht="15" hidden="false" customHeight="false" outlineLevel="0" collapsed="false">
      <c r="A223" s="73"/>
      <c r="B223" s="10"/>
      <c r="C223" s="50"/>
      <c r="D223" s="50"/>
      <c r="E223" s="50"/>
      <c r="F223" s="50"/>
      <c r="G223" s="28" t="str">
        <f aca="false">IF(COUNT(C223:F223)=0,"",SUM(C223:F223))</f>
        <v/>
      </c>
      <c r="H223" s="50"/>
      <c r="I223" s="28" t="str">
        <f aca="false">IF(G223="","",G223-N(H223))</f>
        <v/>
      </c>
      <c r="J223" s="40"/>
      <c r="K223" s="40"/>
      <c r="L223" s="28" t="str">
        <f aca="false">IF(OR(G223="",J223="",J223=0),"",G223/J223)</f>
        <v/>
      </c>
      <c r="M223" s="80"/>
    </row>
    <row r="224" customFormat="false" ht="15" hidden="false" customHeight="false" outlineLevel="0" collapsed="false">
      <c r="A224" s="73"/>
      <c r="B224" s="10"/>
      <c r="C224" s="50"/>
      <c r="D224" s="50"/>
      <c r="E224" s="50"/>
      <c r="F224" s="50"/>
      <c r="G224" s="28" t="str">
        <f aca="false">IF(COUNT(C224:F224)=0,"",SUM(C224:F224))</f>
        <v/>
      </c>
      <c r="H224" s="50"/>
      <c r="I224" s="28" t="str">
        <f aca="false">IF(G224="","",G224-N(H224))</f>
        <v/>
      </c>
      <c r="J224" s="40"/>
      <c r="K224" s="40"/>
      <c r="L224" s="28" t="str">
        <f aca="false">IF(OR(G224="",J224="",J224=0),"",G224/J224)</f>
        <v/>
      </c>
      <c r="M224" s="80"/>
    </row>
    <row r="225" customFormat="false" ht="15" hidden="false" customHeight="false" outlineLevel="0" collapsed="false">
      <c r="A225" s="73"/>
      <c r="B225" s="10"/>
      <c r="C225" s="50"/>
      <c r="D225" s="50"/>
      <c r="E225" s="50"/>
      <c r="F225" s="50"/>
      <c r="G225" s="28" t="str">
        <f aca="false">IF(COUNT(C225:F225)=0,"",SUM(C225:F225))</f>
        <v/>
      </c>
      <c r="H225" s="50"/>
      <c r="I225" s="28" t="str">
        <f aca="false">IF(G225="","",G225-N(H225))</f>
        <v/>
      </c>
      <c r="J225" s="40"/>
      <c r="K225" s="40"/>
      <c r="L225" s="28" t="str">
        <f aca="false">IF(OR(G225="",J225="",J225=0),"",G225/J225)</f>
        <v/>
      </c>
      <c r="M225" s="80"/>
    </row>
    <row r="226" customFormat="false" ht="15" hidden="false" customHeight="false" outlineLevel="0" collapsed="false">
      <c r="A226" s="73"/>
      <c r="B226" s="10"/>
      <c r="C226" s="50"/>
      <c r="D226" s="50"/>
      <c r="E226" s="50"/>
      <c r="F226" s="50"/>
      <c r="G226" s="28" t="str">
        <f aca="false">IF(COUNT(C226:F226)=0,"",SUM(C226:F226))</f>
        <v/>
      </c>
      <c r="H226" s="50"/>
      <c r="I226" s="28" t="str">
        <f aca="false">IF(G226="","",G226-N(H226))</f>
        <v/>
      </c>
      <c r="J226" s="40"/>
      <c r="K226" s="40"/>
      <c r="L226" s="28" t="str">
        <f aca="false">IF(OR(G226="",J226="",J226=0),"",G226/J226)</f>
        <v/>
      </c>
      <c r="M226" s="80"/>
    </row>
    <row r="227" customFormat="false" ht="15" hidden="false" customHeight="false" outlineLevel="0" collapsed="false">
      <c r="A227" s="73"/>
      <c r="B227" s="10"/>
      <c r="C227" s="50"/>
      <c r="D227" s="50"/>
      <c r="E227" s="50"/>
      <c r="F227" s="50"/>
      <c r="G227" s="28" t="str">
        <f aca="false">IF(COUNT(C227:F227)=0,"",SUM(C227:F227))</f>
        <v/>
      </c>
      <c r="H227" s="50"/>
      <c r="I227" s="28" t="str">
        <f aca="false">IF(G227="","",G227-N(H227))</f>
        <v/>
      </c>
      <c r="J227" s="40"/>
      <c r="K227" s="40"/>
      <c r="L227" s="28" t="str">
        <f aca="false">IF(OR(G227="",J227="",J227=0),"",G227/J227)</f>
        <v/>
      </c>
      <c r="M227" s="80"/>
    </row>
    <row r="228" customFormat="false" ht="15" hidden="false" customHeight="false" outlineLevel="0" collapsed="false">
      <c r="A228" s="73"/>
      <c r="B228" s="10"/>
      <c r="C228" s="50"/>
      <c r="D228" s="50"/>
      <c r="E228" s="50"/>
      <c r="F228" s="50"/>
      <c r="G228" s="28" t="str">
        <f aca="false">IF(COUNT(C228:F228)=0,"",SUM(C228:F228))</f>
        <v/>
      </c>
      <c r="H228" s="50"/>
      <c r="I228" s="28" t="str">
        <f aca="false">IF(G228="","",G228-N(H228))</f>
        <v/>
      </c>
      <c r="J228" s="40"/>
      <c r="K228" s="40"/>
      <c r="L228" s="28" t="str">
        <f aca="false">IF(OR(G228="",J228="",J228=0),"",G228/J228)</f>
        <v/>
      </c>
      <c r="M228" s="80"/>
    </row>
    <row r="229" customFormat="false" ht="15" hidden="false" customHeight="false" outlineLevel="0" collapsed="false">
      <c r="A229" s="73"/>
      <c r="B229" s="10"/>
      <c r="C229" s="50"/>
      <c r="D229" s="50"/>
      <c r="E229" s="50"/>
      <c r="F229" s="50"/>
      <c r="G229" s="28" t="str">
        <f aca="false">IF(COUNT(C229:F229)=0,"",SUM(C229:F229))</f>
        <v/>
      </c>
      <c r="H229" s="50"/>
      <c r="I229" s="28" t="str">
        <f aca="false">IF(G229="","",G229-N(H229))</f>
        <v/>
      </c>
      <c r="J229" s="40"/>
      <c r="K229" s="40"/>
      <c r="L229" s="28" t="str">
        <f aca="false">IF(OR(G229="",J229="",J229=0),"",G229/J229)</f>
        <v/>
      </c>
      <c r="M229" s="80"/>
    </row>
    <row r="230" customFormat="false" ht="15" hidden="false" customHeight="false" outlineLevel="0" collapsed="false">
      <c r="A230" s="73"/>
      <c r="B230" s="10"/>
      <c r="C230" s="50"/>
      <c r="D230" s="50"/>
      <c r="E230" s="50"/>
      <c r="F230" s="50"/>
      <c r="G230" s="28" t="str">
        <f aca="false">IF(COUNT(C230:F230)=0,"",SUM(C230:F230))</f>
        <v/>
      </c>
      <c r="H230" s="50"/>
      <c r="I230" s="28" t="str">
        <f aca="false">IF(G230="","",G230-N(H230))</f>
        <v/>
      </c>
      <c r="J230" s="40"/>
      <c r="K230" s="40"/>
      <c r="L230" s="28" t="str">
        <f aca="false">IF(OR(G230="",J230="",J230=0),"",G230/J230)</f>
        <v/>
      </c>
      <c r="M230" s="80"/>
    </row>
    <row r="231" customFormat="false" ht="15" hidden="false" customHeight="false" outlineLevel="0" collapsed="false">
      <c r="A231" s="73"/>
      <c r="B231" s="10"/>
      <c r="C231" s="50"/>
      <c r="D231" s="50"/>
      <c r="E231" s="50"/>
      <c r="F231" s="50"/>
      <c r="G231" s="28" t="str">
        <f aca="false">IF(COUNT(C231:F231)=0,"",SUM(C231:F231))</f>
        <v/>
      </c>
      <c r="H231" s="50"/>
      <c r="I231" s="28" t="str">
        <f aca="false">IF(G231="","",G231-N(H231))</f>
        <v/>
      </c>
      <c r="J231" s="40"/>
      <c r="K231" s="40"/>
      <c r="L231" s="28" t="str">
        <f aca="false">IF(OR(G231="",J231="",J231=0),"",G231/J231)</f>
        <v/>
      </c>
      <c r="M231" s="80"/>
    </row>
    <row r="232" customFormat="false" ht="15" hidden="false" customHeight="false" outlineLevel="0" collapsed="false">
      <c r="A232" s="73"/>
      <c r="B232" s="10"/>
      <c r="C232" s="50"/>
      <c r="D232" s="50"/>
      <c r="E232" s="50"/>
      <c r="F232" s="50"/>
      <c r="G232" s="28" t="str">
        <f aca="false">IF(COUNT(C232:F232)=0,"",SUM(C232:F232))</f>
        <v/>
      </c>
      <c r="H232" s="50"/>
      <c r="I232" s="28" t="str">
        <f aca="false">IF(G232="","",G232-N(H232))</f>
        <v/>
      </c>
      <c r="J232" s="40"/>
      <c r="K232" s="40"/>
      <c r="L232" s="28" t="str">
        <f aca="false">IF(OR(G232="",J232="",J232=0),"",G232/J232)</f>
        <v/>
      </c>
      <c r="M232" s="80"/>
    </row>
    <row r="233" customFormat="false" ht="15" hidden="false" customHeight="false" outlineLevel="0" collapsed="false">
      <c r="A233" s="73"/>
      <c r="B233" s="10"/>
      <c r="C233" s="50"/>
      <c r="D233" s="50"/>
      <c r="E233" s="50"/>
      <c r="F233" s="50"/>
      <c r="G233" s="28" t="str">
        <f aca="false">IF(COUNT(C233:F233)=0,"",SUM(C233:F233))</f>
        <v/>
      </c>
      <c r="H233" s="50"/>
      <c r="I233" s="28" t="str">
        <f aca="false">IF(G233="","",G233-N(H233))</f>
        <v/>
      </c>
      <c r="J233" s="40"/>
      <c r="K233" s="40"/>
      <c r="L233" s="28" t="str">
        <f aca="false">IF(OR(G233="",J233="",J233=0),"",G233/J233)</f>
        <v/>
      </c>
      <c r="M233" s="80"/>
    </row>
    <row r="234" customFormat="false" ht="15" hidden="false" customHeight="false" outlineLevel="0" collapsed="false">
      <c r="A234" s="73"/>
      <c r="B234" s="10"/>
      <c r="C234" s="50"/>
      <c r="D234" s="50"/>
      <c r="E234" s="50"/>
      <c r="F234" s="50"/>
      <c r="G234" s="28" t="str">
        <f aca="false">IF(COUNT(C234:F234)=0,"",SUM(C234:F234))</f>
        <v/>
      </c>
      <c r="H234" s="50"/>
      <c r="I234" s="28" t="str">
        <f aca="false">IF(G234="","",G234-N(H234))</f>
        <v/>
      </c>
      <c r="J234" s="40"/>
      <c r="K234" s="40"/>
      <c r="L234" s="28" t="str">
        <f aca="false">IF(OR(G234="",J234="",J234=0),"",G234/J234)</f>
        <v/>
      </c>
      <c r="M234" s="80"/>
    </row>
    <row r="235" customFormat="false" ht="15" hidden="false" customHeight="false" outlineLevel="0" collapsed="false">
      <c r="A235" s="73"/>
      <c r="B235" s="10"/>
      <c r="C235" s="50"/>
      <c r="D235" s="50"/>
      <c r="E235" s="50"/>
      <c r="F235" s="50"/>
      <c r="G235" s="28" t="str">
        <f aca="false">IF(COUNT(C235:F235)=0,"",SUM(C235:F235))</f>
        <v/>
      </c>
      <c r="H235" s="50"/>
      <c r="I235" s="28" t="str">
        <f aca="false">IF(G235="","",G235-N(H235))</f>
        <v/>
      </c>
      <c r="J235" s="40"/>
      <c r="K235" s="40"/>
      <c r="L235" s="28" t="str">
        <f aca="false">IF(OR(G235="",J235="",J235=0),"",G235/J235)</f>
        <v/>
      </c>
      <c r="M235" s="80"/>
    </row>
    <row r="236" customFormat="false" ht="15" hidden="false" customHeight="false" outlineLevel="0" collapsed="false">
      <c r="A236" s="73"/>
      <c r="B236" s="10"/>
      <c r="C236" s="50"/>
      <c r="D236" s="50"/>
      <c r="E236" s="50"/>
      <c r="F236" s="50"/>
      <c r="G236" s="28" t="str">
        <f aca="false">IF(COUNT(C236:F236)=0,"",SUM(C236:F236))</f>
        <v/>
      </c>
      <c r="H236" s="50"/>
      <c r="I236" s="28" t="str">
        <f aca="false">IF(G236="","",G236-N(H236))</f>
        <v/>
      </c>
      <c r="J236" s="40"/>
      <c r="K236" s="40"/>
      <c r="L236" s="28" t="str">
        <f aca="false">IF(OR(G236="",J236="",J236=0),"",G236/J236)</f>
        <v/>
      </c>
      <c r="M236" s="80"/>
    </row>
    <row r="237" customFormat="false" ht="15" hidden="false" customHeight="false" outlineLevel="0" collapsed="false">
      <c r="A237" s="73"/>
      <c r="B237" s="10"/>
      <c r="C237" s="50"/>
      <c r="D237" s="50"/>
      <c r="E237" s="50"/>
      <c r="F237" s="50"/>
      <c r="G237" s="28" t="str">
        <f aca="false">IF(COUNT(C237:F237)=0,"",SUM(C237:F237))</f>
        <v/>
      </c>
      <c r="H237" s="50"/>
      <c r="I237" s="28" t="str">
        <f aca="false">IF(G237="","",G237-N(H237))</f>
        <v/>
      </c>
      <c r="J237" s="40"/>
      <c r="K237" s="40"/>
      <c r="L237" s="28" t="str">
        <f aca="false">IF(OR(G237="",J237="",J237=0),"",G237/J237)</f>
        <v/>
      </c>
      <c r="M237" s="80"/>
    </row>
    <row r="238" customFormat="false" ht="15" hidden="false" customHeight="false" outlineLevel="0" collapsed="false">
      <c r="A238" s="73"/>
      <c r="B238" s="10"/>
      <c r="C238" s="50"/>
      <c r="D238" s="50"/>
      <c r="E238" s="50"/>
      <c r="F238" s="50"/>
      <c r="G238" s="28" t="str">
        <f aca="false">IF(COUNT(C238:F238)=0,"",SUM(C238:F238))</f>
        <v/>
      </c>
      <c r="H238" s="50"/>
      <c r="I238" s="28" t="str">
        <f aca="false">IF(G238="","",G238-N(H238))</f>
        <v/>
      </c>
      <c r="J238" s="40"/>
      <c r="K238" s="40"/>
      <c r="L238" s="28" t="str">
        <f aca="false">IF(OR(G238="",J238="",J238=0),"",G238/J238)</f>
        <v/>
      </c>
      <c r="M238" s="80"/>
    </row>
    <row r="239" customFormat="false" ht="15" hidden="false" customHeight="false" outlineLevel="0" collapsed="false">
      <c r="A239" s="73"/>
      <c r="B239" s="10"/>
      <c r="C239" s="50"/>
      <c r="D239" s="50"/>
      <c r="E239" s="50"/>
      <c r="F239" s="50"/>
      <c r="G239" s="28" t="str">
        <f aca="false">IF(COUNT(C239:F239)=0,"",SUM(C239:F239))</f>
        <v/>
      </c>
      <c r="H239" s="50"/>
      <c r="I239" s="28" t="str">
        <f aca="false">IF(G239="","",G239-N(H239))</f>
        <v/>
      </c>
      <c r="J239" s="40"/>
      <c r="K239" s="40"/>
      <c r="L239" s="28" t="str">
        <f aca="false">IF(OR(G239="",J239="",J239=0),"",G239/J239)</f>
        <v/>
      </c>
      <c r="M239" s="80"/>
    </row>
    <row r="240" customFormat="false" ht="15" hidden="false" customHeight="false" outlineLevel="0" collapsed="false">
      <c r="A240" s="73"/>
      <c r="B240" s="10"/>
      <c r="C240" s="50"/>
      <c r="D240" s="50"/>
      <c r="E240" s="50"/>
      <c r="F240" s="50"/>
      <c r="G240" s="28" t="str">
        <f aca="false">IF(COUNT(C240:F240)=0,"",SUM(C240:F240))</f>
        <v/>
      </c>
      <c r="H240" s="50"/>
      <c r="I240" s="28" t="str">
        <f aca="false">IF(G240="","",G240-N(H240))</f>
        <v/>
      </c>
      <c r="J240" s="40"/>
      <c r="K240" s="40"/>
      <c r="L240" s="28" t="str">
        <f aca="false">IF(OR(G240="",J240="",J240=0),"",G240/J240)</f>
        <v/>
      </c>
      <c r="M240" s="80"/>
    </row>
    <row r="241" customFormat="false" ht="15" hidden="false" customHeight="false" outlineLevel="0" collapsed="false">
      <c r="A241" s="73"/>
      <c r="B241" s="10"/>
      <c r="C241" s="50"/>
      <c r="D241" s="50"/>
      <c r="E241" s="50"/>
      <c r="F241" s="50"/>
      <c r="G241" s="28" t="str">
        <f aca="false">IF(COUNT(C241:F241)=0,"",SUM(C241:F241))</f>
        <v/>
      </c>
      <c r="H241" s="50"/>
      <c r="I241" s="28" t="str">
        <f aca="false">IF(G241="","",G241-N(H241))</f>
        <v/>
      </c>
      <c r="J241" s="40"/>
      <c r="K241" s="40"/>
      <c r="L241" s="28" t="str">
        <f aca="false">IF(OR(G241="",J241="",J241=0),"",G241/J241)</f>
        <v/>
      </c>
      <c r="M241" s="80"/>
    </row>
    <row r="242" customFormat="false" ht="15" hidden="false" customHeight="false" outlineLevel="0" collapsed="false">
      <c r="A242" s="73"/>
      <c r="B242" s="10"/>
      <c r="C242" s="50"/>
      <c r="D242" s="50"/>
      <c r="E242" s="50"/>
      <c r="F242" s="50"/>
      <c r="G242" s="28" t="str">
        <f aca="false">IF(COUNT(C242:F242)=0,"",SUM(C242:F242))</f>
        <v/>
      </c>
      <c r="H242" s="50"/>
      <c r="I242" s="28" t="str">
        <f aca="false">IF(G242="","",G242-N(H242))</f>
        <v/>
      </c>
      <c r="J242" s="40"/>
      <c r="K242" s="40"/>
      <c r="L242" s="28" t="str">
        <f aca="false">IF(OR(G242="",J242="",J242=0),"",G242/J242)</f>
        <v/>
      </c>
      <c r="M242" s="80"/>
    </row>
    <row r="243" customFormat="false" ht="15" hidden="false" customHeight="false" outlineLevel="0" collapsed="false">
      <c r="A243" s="73"/>
      <c r="B243" s="10"/>
      <c r="C243" s="50"/>
      <c r="D243" s="50"/>
      <c r="E243" s="50"/>
      <c r="F243" s="50"/>
      <c r="G243" s="28" t="str">
        <f aca="false">IF(COUNT(C243:F243)=0,"",SUM(C243:F243))</f>
        <v/>
      </c>
      <c r="H243" s="50"/>
      <c r="I243" s="28" t="str">
        <f aca="false">IF(G243="","",G243-N(H243))</f>
        <v/>
      </c>
      <c r="J243" s="40"/>
      <c r="K243" s="40"/>
      <c r="L243" s="28" t="str">
        <f aca="false">IF(OR(G243="",J243="",J243=0),"",G243/J243)</f>
        <v/>
      </c>
      <c r="M243" s="80"/>
    </row>
    <row r="244" customFormat="false" ht="15" hidden="false" customHeight="false" outlineLevel="0" collapsed="false">
      <c r="A244" s="73"/>
      <c r="B244" s="10"/>
      <c r="C244" s="50"/>
      <c r="D244" s="50"/>
      <c r="E244" s="50"/>
      <c r="F244" s="50"/>
      <c r="G244" s="28" t="str">
        <f aca="false">IF(COUNT(C244:F244)=0,"",SUM(C244:F244))</f>
        <v/>
      </c>
      <c r="H244" s="50"/>
      <c r="I244" s="28" t="str">
        <f aca="false">IF(G244="","",G244-N(H244))</f>
        <v/>
      </c>
      <c r="J244" s="40"/>
      <c r="K244" s="40"/>
      <c r="L244" s="28" t="str">
        <f aca="false">IF(OR(G244="",J244="",J244=0),"",G244/J244)</f>
        <v/>
      </c>
      <c r="M244" s="80"/>
    </row>
    <row r="245" customFormat="false" ht="15" hidden="false" customHeight="false" outlineLevel="0" collapsed="false">
      <c r="A245" s="73"/>
      <c r="B245" s="10"/>
      <c r="C245" s="50"/>
      <c r="D245" s="50"/>
      <c r="E245" s="50"/>
      <c r="F245" s="50"/>
      <c r="G245" s="28" t="str">
        <f aca="false">IF(COUNT(C245:F245)=0,"",SUM(C245:F245))</f>
        <v/>
      </c>
      <c r="H245" s="50"/>
      <c r="I245" s="28" t="str">
        <f aca="false">IF(G245="","",G245-N(H245))</f>
        <v/>
      </c>
      <c r="J245" s="40"/>
      <c r="K245" s="40"/>
      <c r="L245" s="28" t="str">
        <f aca="false">IF(OR(G245="",J245="",J245=0),"",G245/J245)</f>
        <v/>
      </c>
      <c r="M245" s="80"/>
    </row>
    <row r="246" customFormat="false" ht="15" hidden="false" customHeight="false" outlineLevel="0" collapsed="false">
      <c r="A246" s="73"/>
      <c r="B246" s="10"/>
      <c r="C246" s="50"/>
      <c r="D246" s="50"/>
      <c r="E246" s="50"/>
      <c r="F246" s="50"/>
      <c r="G246" s="28" t="str">
        <f aca="false">IF(COUNT(C246:F246)=0,"",SUM(C246:F246))</f>
        <v/>
      </c>
      <c r="H246" s="50"/>
      <c r="I246" s="28" t="str">
        <f aca="false">IF(G246="","",G246-N(H246))</f>
        <v/>
      </c>
      <c r="J246" s="40"/>
      <c r="K246" s="40"/>
      <c r="L246" s="28" t="str">
        <f aca="false">IF(OR(G246="",J246="",J246=0),"",G246/J246)</f>
        <v/>
      </c>
      <c r="M246" s="80"/>
    </row>
    <row r="247" customFormat="false" ht="15" hidden="false" customHeight="false" outlineLevel="0" collapsed="false">
      <c r="A247" s="73"/>
      <c r="B247" s="10"/>
      <c r="C247" s="50"/>
      <c r="D247" s="50"/>
      <c r="E247" s="50"/>
      <c r="F247" s="50"/>
      <c r="G247" s="28" t="str">
        <f aca="false">IF(COUNT(C247:F247)=0,"",SUM(C247:F247))</f>
        <v/>
      </c>
      <c r="H247" s="50"/>
      <c r="I247" s="28" t="str">
        <f aca="false">IF(G247="","",G247-N(H247))</f>
        <v/>
      </c>
      <c r="J247" s="40"/>
      <c r="K247" s="40"/>
      <c r="L247" s="28" t="str">
        <f aca="false">IF(OR(G247="",J247="",J247=0),"",G247/J247)</f>
        <v/>
      </c>
      <c r="M247" s="80"/>
    </row>
    <row r="248" customFormat="false" ht="15" hidden="false" customHeight="false" outlineLevel="0" collapsed="false">
      <c r="A248" s="73"/>
      <c r="B248" s="10"/>
      <c r="C248" s="50"/>
      <c r="D248" s="50"/>
      <c r="E248" s="50"/>
      <c r="F248" s="50"/>
      <c r="G248" s="28" t="str">
        <f aca="false">IF(COUNT(C248:F248)=0,"",SUM(C248:F248))</f>
        <v/>
      </c>
      <c r="H248" s="50"/>
      <c r="I248" s="28" t="str">
        <f aca="false">IF(G248="","",G248-N(H248))</f>
        <v/>
      </c>
      <c r="J248" s="40"/>
      <c r="K248" s="40"/>
      <c r="L248" s="28" t="str">
        <f aca="false">IF(OR(G248="",J248="",J248=0),"",G248/J248)</f>
        <v/>
      </c>
      <c r="M248" s="80"/>
    </row>
    <row r="249" customFormat="false" ht="15" hidden="false" customHeight="false" outlineLevel="0" collapsed="false">
      <c r="A249" s="73"/>
      <c r="B249" s="10"/>
      <c r="C249" s="50"/>
      <c r="D249" s="50"/>
      <c r="E249" s="50"/>
      <c r="F249" s="50"/>
      <c r="G249" s="28" t="str">
        <f aca="false">IF(COUNT(C249:F249)=0,"",SUM(C249:F249))</f>
        <v/>
      </c>
      <c r="H249" s="50"/>
      <c r="I249" s="28" t="str">
        <f aca="false">IF(G249="","",G249-N(H249))</f>
        <v/>
      </c>
      <c r="J249" s="40"/>
      <c r="K249" s="40"/>
      <c r="L249" s="28" t="str">
        <f aca="false">IF(OR(G249="",J249="",J249=0),"",G249/J249)</f>
        <v/>
      </c>
      <c r="M249" s="80"/>
    </row>
    <row r="250" customFormat="false" ht="15" hidden="false" customHeight="false" outlineLevel="0" collapsed="false">
      <c r="A250" s="73"/>
      <c r="B250" s="10"/>
      <c r="C250" s="50"/>
      <c r="D250" s="50"/>
      <c r="E250" s="50"/>
      <c r="F250" s="50"/>
      <c r="G250" s="28" t="str">
        <f aca="false">IF(COUNT(C250:F250)=0,"",SUM(C250:F250))</f>
        <v/>
      </c>
      <c r="H250" s="50"/>
      <c r="I250" s="28" t="str">
        <f aca="false">IF(G250="","",G250-N(H250))</f>
        <v/>
      </c>
      <c r="J250" s="40"/>
      <c r="K250" s="40"/>
      <c r="L250" s="28" t="str">
        <f aca="false">IF(OR(G250="",J250="",J250=0),"",G250/J250)</f>
        <v/>
      </c>
      <c r="M250" s="80"/>
    </row>
    <row r="251" customFormat="false" ht="15" hidden="false" customHeight="false" outlineLevel="0" collapsed="false">
      <c r="A251" s="73"/>
      <c r="B251" s="10"/>
      <c r="C251" s="50"/>
      <c r="D251" s="50"/>
      <c r="E251" s="50"/>
      <c r="F251" s="50"/>
      <c r="G251" s="28" t="str">
        <f aca="false">IF(COUNT(C251:F251)=0,"",SUM(C251:F251))</f>
        <v/>
      </c>
      <c r="H251" s="50"/>
      <c r="I251" s="28" t="str">
        <f aca="false">IF(G251="","",G251-N(H251))</f>
        <v/>
      </c>
      <c r="J251" s="40"/>
      <c r="K251" s="40"/>
      <c r="L251" s="28" t="str">
        <f aca="false">IF(OR(G251="",J251="",J251=0),"",G251/J251)</f>
        <v/>
      </c>
      <c r="M251" s="80"/>
    </row>
    <row r="252" customFormat="false" ht="15" hidden="false" customHeight="false" outlineLevel="0" collapsed="false">
      <c r="A252" s="73"/>
      <c r="B252" s="10"/>
      <c r="C252" s="50"/>
      <c r="D252" s="50"/>
      <c r="E252" s="50"/>
      <c r="F252" s="50"/>
      <c r="G252" s="28" t="str">
        <f aca="false">IF(COUNT(C252:F252)=0,"",SUM(C252:F252))</f>
        <v/>
      </c>
      <c r="H252" s="50"/>
      <c r="I252" s="28" t="str">
        <f aca="false">IF(G252="","",G252-N(H252))</f>
        <v/>
      </c>
      <c r="J252" s="40"/>
      <c r="K252" s="40"/>
      <c r="L252" s="28" t="str">
        <f aca="false">IF(OR(G252="",J252="",J252=0),"",G252/J252)</f>
        <v/>
      </c>
      <c r="M252" s="80"/>
    </row>
    <row r="253" customFormat="false" ht="15" hidden="false" customHeight="false" outlineLevel="0" collapsed="false">
      <c r="A253" s="73"/>
      <c r="B253" s="10"/>
      <c r="C253" s="50"/>
      <c r="D253" s="50"/>
      <c r="E253" s="50"/>
      <c r="F253" s="50"/>
      <c r="G253" s="28" t="str">
        <f aca="false">IF(COUNT(C253:F253)=0,"",SUM(C253:F253))</f>
        <v/>
      </c>
      <c r="H253" s="50"/>
      <c r="I253" s="28" t="str">
        <f aca="false">IF(G253="","",G253-N(H253))</f>
        <v/>
      </c>
      <c r="J253" s="40"/>
      <c r="K253" s="40"/>
      <c r="L253" s="28" t="str">
        <f aca="false">IF(OR(G253="",J253="",J253=0),"",G253/J253)</f>
        <v/>
      </c>
      <c r="M253" s="80"/>
    </row>
    <row r="254" customFormat="false" ht="15" hidden="false" customHeight="false" outlineLevel="0" collapsed="false">
      <c r="A254" s="73"/>
      <c r="B254" s="10"/>
      <c r="C254" s="50"/>
      <c r="D254" s="50"/>
      <c r="E254" s="50"/>
      <c r="F254" s="50"/>
      <c r="G254" s="28" t="str">
        <f aca="false">IF(COUNT(C254:F254)=0,"",SUM(C254:F254))</f>
        <v/>
      </c>
      <c r="H254" s="50"/>
      <c r="I254" s="28" t="str">
        <f aca="false">IF(G254="","",G254-N(H254))</f>
        <v/>
      </c>
      <c r="J254" s="40"/>
      <c r="K254" s="40"/>
      <c r="L254" s="28" t="str">
        <f aca="false">IF(OR(G254="",J254="",J254=0),"",G254/J254)</f>
        <v/>
      </c>
      <c r="M254" s="80"/>
    </row>
    <row r="255" customFormat="false" ht="15" hidden="false" customHeight="false" outlineLevel="0" collapsed="false">
      <c r="A255" s="73"/>
      <c r="B255" s="10"/>
      <c r="C255" s="50"/>
      <c r="D255" s="50"/>
      <c r="E255" s="50"/>
      <c r="F255" s="50"/>
      <c r="G255" s="28" t="str">
        <f aca="false">IF(COUNT(C255:F255)=0,"",SUM(C255:F255))</f>
        <v/>
      </c>
      <c r="H255" s="50"/>
      <c r="I255" s="28" t="str">
        <f aca="false">IF(G255="","",G255-N(H255))</f>
        <v/>
      </c>
      <c r="J255" s="40"/>
      <c r="K255" s="40"/>
      <c r="L255" s="28" t="str">
        <f aca="false">IF(OR(G255="",J255="",J255=0),"",G255/J255)</f>
        <v/>
      </c>
      <c r="M255" s="80"/>
    </row>
    <row r="256" customFormat="false" ht="15" hidden="false" customHeight="false" outlineLevel="0" collapsed="false">
      <c r="A256" s="73"/>
      <c r="B256" s="10"/>
      <c r="C256" s="50"/>
      <c r="D256" s="50"/>
      <c r="E256" s="50"/>
      <c r="F256" s="50"/>
      <c r="G256" s="28" t="str">
        <f aca="false">IF(COUNT(C256:F256)=0,"",SUM(C256:F256))</f>
        <v/>
      </c>
      <c r="H256" s="50"/>
      <c r="I256" s="28" t="str">
        <f aca="false">IF(G256="","",G256-N(H256))</f>
        <v/>
      </c>
      <c r="J256" s="40"/>
      <c r="K256" s="40"/>
      <c r="L256" s="28" t="str">
        <f aca="false">IF(OR(G256="",J256="",J256=0),"",G256/J256)</f>
        <v/>
      </c>
      <c r="M256" s="80"/>
    </row>
    <row r="257" customFormat="false" ht="15" hidden="false" customHeight="false" outlineLevel="0" collapsed="false">
      <c r="A257" s="73"/>
      <c r="B257" s="10"/>
      <c r="C257" s="50"/>
      <c r="D257" s="50"/>
      <c r="E257" s="50"/>
      <c r="F257" s="50"/>
      <c r="G257" s="28" t="str">
        <f aca="false">IF(COUNT(C257:F257)=0,"",SUM(C257:F257))</f>
        <v/>
      </c>
      <c r="H257" s="50"/>
      <c r="I257" s="28" t="str">
        <f aca="false">IF(G257="","",G257-N(H257))</f>
        <v/>
      </c>
      <c r="J257" s="40"/>
      <c r="K257" s="40"/>
      <c r="L257" s="28" t="str">
        <f aca="false">IF(OR(G257="",J257="",J257=0),"",G257/J257)</f>
        <v/>
      </c>
      <c r="M257" s="80"/>
    </row>
    <row r="258" customFormat="false" ht="15" hidden="false" customHeight="false" outlineLevel="0" collapsed="false">
      <c r="A258" s="73"/>
      <c r="B258" s="10"/>
      <c r="C258" s="50"/>
      <c r="D258" s="50"/>
      <c r="E258" s="50"/>
      <c r="F258" s="50"/>
      <c r="G258" s="28" t="str">
        <f aca="false">IF(COUNT(C258:F258)=0,"",SUM(C258:F258))</f>
        <v/>
      </c>
      <c r="H258" s="50"/>
      <c r="I258" s="28" t="str">
        <f aca="false">IF(G258="","",G258-N(H258))</f>
        <v/>
      </c>
      <c r="J258" s="40"/>
      <c r="K258" s="40"/>
      <c r="L258" s="28" t="str">
        <f aca="false">IF(OR(G258="",J258="",J258=0),"",G258/J258)</f>
        <v/>
      </c>
      <c r="M258" s="80"/>
    </row>
    <row r="259" customFormat="false" ht="15" hidden="false" customHeight="false" outlineLevel="0" collapsed="false">
      <c r="A259" s="73"/>
      <c r="B259" s="10"/>
      <c r="C259" s="50"/>
      <c r="D259" s="50"/>
      <c r="E259" s="50"/>
      <c r="F259" s="50"/>
      <c r="G259" s="28" t="str">
        <f aca="false">IF(COUNT(C259:F259)=0,"",SUM(C259:F259))</f>
        <v/>
      </c>
      <c r="H259" s="50"/>
      <c r="I259" s="28" t="str">
        <f aca="false">IF(G259="","",G259-N(H259))</f>
        <v/>
      </c>
      <c r="J259" s="40"/>
      <c r="K259" s="40"/>
      <c r="L259" s="28" t="str">
        <f aca="false">IF(OR(G259="",J259="",J259=0),"",G259/J259)</f>
        <v/>
      </c>
      <c r="M259" s="80"/>
    </row>
    <row r="260" customFormat="false" ht="15" hidden="false" customHeight="false" outlineLevel="0" collapsed="false">
      <c r="A260" s="73"/>
      <c r="B260" s="10"/>
      <c r="C260" s="50"/>
      <c r="D260" s="50"/>
      <c r="E260" s="50"/>
      <c r="F260" s="50"/>
      <c r="G260" s="28" t="str">
        <f aca="false">IF(COUNT(C260:F260)=0,"",SUM(C260:F260))</f>
        <v/>
      </c>
      <c r="H260" s="50"/>
      <c r="I260" s="28" t="str">
        <f aca="false">IF(G260="","",G260-N(H260))</f>
        <v/>
      </c>
      <c r="J260" s="40"/>
      <c r="K260" s="40"/>
      <c r="L260" s="28" t="str">
        <f aca="false">IF(OR(G260="",J260="",J260=0),"",G260/J260)</f>
        <v/>
      </c>
      <c r="M260" s="80"/>
    </row>
    <row r="261" customFormat="false" ht="15" hidden="false" customHeight="false" outlineLevel="0" collapsed="false">
      <c r="A261" s="73"/>
      <c r="B261" s="10"/>
      <c r="C261" s="50"/>
      <c r="D261" s="50"/>
      <c r="E261" s="50"/>
      <c r="F261" s="50"/>
      <c r="G261" s="28" t="str">
        <f aca="false">IF(COUNT(C261:F261)=0,"",SUM(C261:F261))</f>
        <v/>
      </c>
      <c r="H261" s="50"/>
      <c r="I261" s="28" t="str">
        <f aca="false">IF(G261="","",G261-N(H261))</f>
        <v/>
      </c>
      <c r="J261" s="40"/>
      <c r="K261" s="40"/>
      <c r="L261" s="28" t="str">
        <f aca="false">IF(OR(G261="",J261="",J261=0),"",G261/J261)</f>
        <v/>
      </c>
      <c r="M261" s="80"/>
    </row>
    <row r="262" customFormat="false" ht="15" hidden="false" customHeight="false" outlineLevel="0" collapsed="false">
      <c r="A262" s="73"/>
      <c r="B262" s="10"/>
      <c r="C262" s="50"/>
      <c r="D262" s="50"/>
      <c r="E262" s="50"/>
      <c r="F262" s="50"/>
      <c r="G262" s="28" t="str">
        <f aca="false">IF(COUNT(C262:F262)=0,"",SUM(C262:F262))</f>
        <v/>
      </c>
      <c r="H262" s="50"/>
      <c r="I262" s="28" t="str">
        <f aca="false">IF(G262="","",G262-N(H262))</f>
        <v/>
      </c>
      <c r="J262" s="40"/>
      <c r="K262" s="40"/>
      <c r="L262" s="28" t="str">
        <f aca="false">IF(OR(G262="",J262="",J262=0),"",G262/J262)</f>
        <v/>
      </c>
      <c r="M262" s="80"/>
    </row>
    <row r="263" customFormat="false" ht="15" hidden="false" customHeight="false" outlineLevel="0" collapsed="false">
      <c r="A263" s="73"/>
      <c r="B263" s="10"/>
      <c r="C263" s="50"/>
      <c r="D263" s="50"/>
      <c r="E263" s="50"/>
      <c r="F263" s="50"/>
      <c r="G263" s="28" t="str">
        <f aca="false">IF(COUNT(C263:F263)=0,"",SUM(C263:F263))</f>
        <v/>
      </c>
      <c r="H263" s="50"/>
      <c r="I263" s="28" t="str">
        <f aca="false">IF(G263="","",G263-N(H263))</f>
        <v/>
      </c>
      <c r="J263" s="40"/>
      <c r="K263" s="40"/>
      <c r="L263" s="28" t="str">
        <f aca="false">IF(OR(G263="",J263="",J263=0),"",G263/J263)</f>
        <v/>
      </c>
      <c r="M263" s="80"/>
    </row>
    <row r="264" customFormat="false" ht="15" hidden="false" customHeight="false" outlineLevel="0" collapsed="false">
      <c r="A264" s="73"/>
      <c r="B264" s="10"/>
      <c r="C264" s="50"/>
      <c r="D264" s="50"/>
      <c r="E264" s="50"/>
      <c r="F264" s="50"/>
      <c r="G264" s="28" t="str">
        <f aca="false">IF(COUNT(C264:F264)=0,"",SUM(C264:F264))</f>
        <v/>
      </c>
      <c r="H264" s="50"/>
      <c r="I264" s="28" t="str">
        <f aca="false">IF(G264="","",G264-N(H264))</f>
        <v/>
      </c>
      <c r="J264" s="40"/>
      <c r="K264" s="40"/>
      <c r="L264" s="28" t="str">
        <f aca="false">IF(OR(G264="",J264="",J264=0),"",G264/J264)</f>
        <v/>
      </c>
      <c r="M264" s="80"/>
    </row>
    <row r="265" customFormat="false" ht="15" hidden="false" customHeight="false" outlineLevel="0" collapsed="false">
      <c r="A265" s="73"/>
      <c r="B265" s="10"/>
      <c r="C265" s="50"/>
      <c r="D265" s="50"/>
      <c r="E265" s="50"/>
      <c r="F265" s="50"/>
      <c r="G265" s="28" t="str">
        <f aca="false">IF(COUNT(C265:F265)=0,"",SUM(C265:F265))</f>
        <v/>
      </c>
      <c r="H265" s="50"/>
      <c r="I265" s="28" t="str">
        <f aca="false">IF(G265="","",G265-N(H265))</f>
        <v/>
      </c>
      <c r="J265" s="40"/>
      <c r="K265" s="40"/>
      <c r="L265" s="28" t="str">
        <f aca="false">IF(OR(G265="",J265="",J265=0),"",G265/J265)</f>
        <v/>
      </c>
      <c r="M265" s="80"/>
    </row>
    <row r="266" customFormat="false" ht="15" hidden="false" customHeight="false" outlineLevel="0" collapsed="false">
      <c r="A266" s="73"/>
      <c r="B266" s="10"/>
      <c r="C266" s="50"/>
      <c r="D266" s="50"/>
      <c r="E266" s="50"/>
      <c r="F266" s="50"/>
      <c r="G266" s="28" t="str">
        <f aca="false">IF(COUNT(C266:F266)=0,"",SUM(C266:F266))</f>
        <v/>
      </c>
      <c r="H266" s="50"/>
      <c r="I266" s="28" t="str">
        <f aca="false">IF(G266="","",G266-N(H266))</f>
        <v/>
      </c>
      <c r="J266" s="40"/>
      <c r="K266" s="40"/>
      <c r="L266" s="28" t="str">
        <f aca="false">IF(OR(G266="",J266="",J266=0),"",G266/J266)</f>
        <v/>
      </c>
      <c r="M266" s="80"/>
    </row>
    <row r="267" customFormat="false" ht="15" hidden="false" customHeight="false" outlineLevel="0" collapsed="false">
      <c r="A267" s="73"/>
      <c r="B267" s="10"/>
      <c r="C267" s="50"/>
      <c r="D267" s="50"/>
      <c r="E267" s="50"/>
      <c r="F267" s="50"/>
      <c r="G267" s="28" t="str">
        <f aca="false">IF(COUNT(C267:F267)=0,"",SUM(C267:F267))</f>
        <v/>
      </c>
      <c r="H267" s="50"/>
      <c r="I267" s="28" t="str">
        <f aca="false">IF(G267="","",G267-N(H267))</f>
        <v/>
      </c>
      <c r="J267" s="40"/>
      <c r="K267" s="40"/>
      <c r="L267" s="28" t="str">
        <f aca="false">IF(OR(G267="",J267="",J267=0),"",G267/J267)</f>
        <v/>
      </c>
      <c r="M267" s="80"/>
    </row>
    <row r="268" customFormat="false" ht="15" hidden="false" customHeight="false" outlineLevel="0" collapsed="false">
      <c r="A268" s="73"/>
      <c r="B268" s="10"/>
      <c r="C268" s="50"/>
      <c r="D268" s="50"/>
      <c r="E268" s="50"/>
      <c r="F268" s="50"/>
      <c r="G268" s="28" t="str">
        <f aca="false">IF(COUNT(C268:F268)=0,"",SUM(C268:F268))</f>
        <v/>
      </c>
      <c r="H268" s="50"/>
      <c r="I268" s="28" t="str">
        <f aca="false">IF(G268="","",G268-N(H268))</f>
        <v/>
      </c>
      <c r="J268" s="40"/>
      <c r="K268" s="40"/>
      <c r="L268" s="28" t="str">
        <f aca="false">IF(OR(G268="",J268="",J268=0),"",G268/J268)</f>
        <v/>
      </c>
      <c r="M268" s="80"/>
    </row>
    <row r="269" customFormat="false" ht="15" hidden="false" customHeight="false" outlineLevel="0" collapsed="false">
      <c r="A269" s="73"/>
      <c r="B269" s="10"/>
      <c r="C269" s="50"/>
      <c r="D269" s="50"/>
      <c r="E269" s="50"/>
      <c r="F269" s="50"/>
      <c r="G269" s="28" t="str">
        <f aca="false">IF(COUNT(C269:F269)=0,"",SUM(C269:F269))</f>
        <v/>
      </c>
      <c r="H269" s="50"/>
      <c r="I269" s="28" t="str">
        <f aca="false">IF(G269="","",G269-N(H269))</f>
        <v/>
      </c>
      <c r="J269" s="40"/>
      <c r="K269" s="40"/>
      <c r="L269" s="28" t="str">
        <f aca="false">IF(OR(G269="",J269="",J269=0),"",G269/J269)</f>
        <v/>
      </c>
      <c r="M269" s="80"/>
    </row>
    <row r="270" customFormat="false" ht="15" hidden="false" customHeight="false" outlineLevel="0" collapsed="false">
      <c r="A270" s="73"/>
      <c r="B270" s="10"/>
      <c r="C270" s="50"/>
      <c r="D270" s="50"/>
      <c r="E270" s="50"/>
      <c r="F270" s="50"/>
      <c r="G270" s="28" t="str">
        <f aca="false">IF(COUNT(C270:F270)=0,"",SUM(C270:F270))</f>
        <v/>
      </c>
      <c r="H270" s="50"/>
      <c r="I270" s="28" t="str">
        <f aca="false">IF(G270="","",G270-N(H270))</f>
        <v/>
      </c>
      <c r="J270" s="40"/>
      <c r="K270" s="40"/>
      <c r="L270" s="28" t="str">
        <f aca="false">IF(OR(G270="",J270="",J270=0),"",G270/J270)</f>
        <v/>
      </c>
      <c r="M270" s="80"/>
    </row>
    <row r="271" customFormat="false" ht="15" hidden="false" customHeight="false" outlineLevel="0" collapsed="false">
      <c r="A271" s="73"/>
      <c r="B271" s="10"/>
      <c r="C271" s="50"/>
      <c r="D271" s="50"/>
      <c r="E271" s="50"/>
      <c r="F271" s="50"/>
      <c r="G271" s="28" t="str">
        <f aca="false">IF(COUNT(C271:F271)=0,"",SUM(C271:F271))</f>
        <v/>
      </c>
      <c r="H271" s="50"/>
      <c r="I271" s="28" t="str">
        <f aca="false">IF(G271="","",G271-N(H271))</f>
        <v/>
      </c>
      <c r="J271" s="40"/>
      <c r="K271" s="40"/>
      <c r="L271" s="28" t="str">
        <f aca="false">IF(OR(G271="",J271="",J271=0),"",G271/J271)</f>
        <v/>
      </c>
      <c r="M271" s="80"/>
    </row>
    <row r="272" customFormat="false" ht="15" hidden="false" customHeight="false" outlineLevel="0" collapsed="false">
      <c r="A272" s="73"/>
      <c r="B272" s="10"/>
      <c r="C272" s="50"/>
      <c r="D272" s="50"/>
      <c r="E272" s="50"/>
      <c r="F272" s="50"/>
      <c r="G272" s="28" t="str">
        <f aca="false">IF(COUNT(C272:F272)=0,"",SUM(C272:F272))</f>
        <v/>
      </c>
      <c r="H272" s="50"/>
      <c r="I272" s="28" t="str">
        <f aca="false">IF(G272="","",G272-N(H272))</f>
        <v/>
      </c>
      <c r="J272" s="40"/>
      <c r="K272" s="40"/>
      <c r="L272" s="28" t="str">
        <f aca="false">IF(OR(G272="",J272="",J272=0),"",G272/J272)</f>
        <v/>
      </c>
      <c r="M272" s="80"/>
    </row>
    <row r="273" customFormat="false" ht="15" hidden="false" customHeight="false" outlineLevel="0" collapsed="false">
      <c r="A273" s="73"/>
      <c r="B273" s="10"/>
      <c r="C273" s="50"/>
      <c r="D273" s="50"/>
      <c r="E273" s="50"/>
      <c r="F273" s="50"/>
      <c r="G273" s="28" t="str">
        <f aca="false">IF(COUNT(C273:F273)=0,"",SUM(C273:F273))</f>
        <v/>
      </c>
      <c r="H273" s="50"/>
      <c r="I273" s="28" t="str">
        <f aca="false">IF(G273="","",G273-N(H273))</f>
        <v/>
      </c>
      <c r="J273" s="40"/>
      <c r="K273" s="40"/>
      <c r="L273" s="28" t="str">
        <f aca="false">IF(OR(G273="",J273="",J273=0),"",G273/J273)</f>
        <v/>
      </c>
      <c r="M273" s="80"/>
    </row>
    <row r="274" customFormat="false" ht="15" hidden="false" customHeight="false" outlineLevel="0" collapsed="false">
      <c r="A274" s="73"/>
      <c r="B274" s="10"/>
      <c r="C274" s="50"/>
      <c r="D274" s="50"/>
      <c r="E274" s="50"/>
      <c r="F274" s="50"/>
      <c r="G274" s="28" t="str">
        <f aca="false">IF(COUNT(C274:F274)=0,"",SUM(C274:F274))</f>
        <v/>
      </c>
      <c r="H274" s="50"/>
      <c r="I274" s="28" t="str">
        <f aca="false">IF(G274="","",G274-N(H274))</f>
        <v/>
      </c>
      <c r="J274" s="40"/>
      <c r="K274" s="40"/>
      <c r="L274" s="28" t="str">
        <f aca="false">IF(OR(G274="",J274="",J274=0),"",G274/J274)</f>
        <v/>
      </c>
      <c r="M274" s="80"/>
    </row>
    <row r="275" customFormat="false" ht="15" hidden="false" customHeight="false" outlineLevel="0" collapsed="false">
      <c r="A275" s="73"/>
      <c r="B275" s="10"/>
      <c r="C275" s="50"/>
      <c r="D275" s="50"/>
      <c r="E275" s="50"/>
      <c r="F275" s="50"/>
      <c r="G275" s="28" t="str">
        <f aca="false">IF(COUNT(C275:F275)=0,"",SUM(C275:F275))</f>
        <v/>
      </c>
      <c r="H275" s="50"/>
      <c r="I275" s="28" t="str">
        <f aca="false">IF(G275="","",G275-N(H275))</f>
        <v/>
      </c>
      <c r="J275" s="40"/>
      <c r="K275" s="40"/>
      <c r="L275" s="28" t="str">
        <f aca="false">IF(OR(G275="",J275="",J275=0),"",G275/J275)</f>
        <v/>
      </c>
      <c r="M275" s="80"/>
    </row>
    <row r="276" customFormat="false" ht="15" hidden="false" customHeight="false" outlineLevel="0" collapsed="false">
      <c r="A276" s="73"/>
      <c r="B276" s="10"/>
      <c r="C276" s="50"/>
      <c r="D276" s="50"/>
      <c r="E276" s="50"/>
      <c r="F276" s="50"/>
      <c r="G276" s="28" t="str">
        <f aca="false">IF(COUNT(C276:F276)=0,"",SUM(C276:F276))</f>
        <v/>
      </c>
      <c r="H276" s="50"/>
      <c r="I276" s="28" t="str">
        <f aca="false">IF(G276="","",G276-N(H276))</f>
        <v/>
      </c>
      <c r="J276" s="40"/>
      <c r="K276" s="40"/>
      <c r="L276" s="28" t="str">
        <f aca="false">IF(OR(G276="",J276="",J276=0),"",G276/J276)</f>
        <v/>
      </c>
      <c r="M276" s="80"/>
    </row>
    <row r="277" customFormat="false" ht="15" hidden="false" customHeight="false" outlineLevel="0" collapsed="false">
      <c r="A277" s="73"/>
      <c r="B277" s="10"/>
      <c r="C277" s="50"/>
      <c r="D277" s="50"/>
      <c r="E277" s="50"/>
      <c r="F277" s="50"/>
      <c r="G277" s="28" t="str">
        <f aca="false">IF(COUNT(C277:F277)=0,"",SUM(C277:F277))</f>
        <v/>
      </c>
      <c r="H277" s="50"/>
      <c r="I277" s="28" t="str">
        <f aca="false">IF(G277="","",G277-N(H277))</f>
        <v/>
      </c>
      <c r="J277" s="40"/>
      <c r="K277" s="40"/>
      <c r="L277" s="28" t="str">
        <f aca="false">IF(OR(G277="",J277="",J277=0),"",G277/J277)</f>
        <v/>
      </c>
      <c r="M277" s="80"/>
    </row>
    <row r="278" customFormat="false" ht="15" hidden="false" customHeight="false" outlineLevel="0" collapsed="false">
      <c r="A278" s="73"/>
      <c r="B278" s="10"/>
      <c r="C278" s="50"/>
      <c r="D278" s="50"/>
      <c r="E278" s="50"/>
      <c r="F278" s="50"/>
      <c r="G278" s="28" t="str">
        <f aca="false">IF(COUNT(C278:F278)=0,"",SUM(C278:F278))</f>
        <v/>
      </c>
      <c r="H278" s="50"/>
      <c r="I278" s="28" t="str">
        <f aca="false">IF(G278="","",G278-N(H278))</f>
        <v/>
      </c>
      <c r="J278" s="40"/>
      <c r="K278" s="40"/>
      <c r="L278" s="28" t="str">
        <f aca="false">IF(OR(G278="",J278="",J278=0),"",G278/J278)</f>
        <v/>
      </c>
      <c r="M278" s="80"/>
    </row>
    <row r="279" customFormat="false" ht="15" hidden="false" customHeight="false" outlineLevel="0" collapsed="false">
      <c r="A279" s="73"/>
      <c r="B279" s="10"/>
      <c r="C279" s="50"/>
      <c r="D279" s="50"/>
      <c r="E279" s="50"/>
      <c r="F279" s="50"/>
      <c r="G279" s="28" t="str">
        <f aca="false">IF(COUNT(C279:F279)=0,"",SUM(C279:F279))</f>
        <v/>
      </c>
      <c r="H279" s="50"/>
      <c r="I279" s="28" t="str">
        <f aca="false">IF(G279="","",G279-N(H279))</f>
        <v/>
      </c>
      <c r="J279" s="40"/>
      <c r="K279" s="40"/>
      <c r="L279" s="28" t="str">
        <f aca="false">IF(OR(G279="",J279="",J279=0),"",G279/J279)</f>
        <v/>
      </c>
      <c r="M279" s="80"/>
    </row>
    <row r="280" customFormat="false" ht="15" hidden="false" customHeight="false" outlineLevel="0" collapsed="false">
      <c r="A280" s="73"/>
      <c r="B280" s="10"/>
      <c r="C280" s="50"/>
      <c r="D280" s="50"/>
      <c r="E280" s="50"/>
      <c r="F280" s="50"/>
      <c r="G280" s="28" t="str">
        <f aca="false">IF(COUNT(C280:F280)=0,"",SUM(C280:F280))</f>
        <v/>
      </c>
      <c r="H280" s="50"/>
      <c r="I280" s="28" t="str">
        <f aca="false">IF(G280="","",G280-N(H280))</f>
        <v/>
      </c>
      <c r="J280" s="40"/>
      <c r="K280" s="40"/>
      <c r="L280" s="28" t="str">
        <f aca="false">IF(OR(G280="",J280="",J280=0),"",G280/J280)</f>
        <v/>
      </c>
      <c r="M280" s="80"/>
    </row>
    <row r="281" customFormat="false" ht="15" hidden="false" customHeight="false" outlineLevel="0" collapsed="false">
      <c r="A281" s="73"/>
      <c r="B281" s="10"/>
      <c r="C281" s="50"/>
      <c r="D281" s="50"/>
      <c r="E281" s="50"/>
      <c r="F281" s="50"/>
      <c r="G281" s="28" t="str">
        <f aca="false">IF(COUNT(C281:F281)=0,"",SUM(C281:F281))</f>
        <v/>
      </c>
      <c r="H281" s="50"/>
      <c r="I281" s="28" t="str">
        <f aca="false">IF(G281="","",G281-N(H281))</f>
        <v/>
      </c>
      <c r="J281" s="40"/>
      <c r="K281" s="40"/>
      <c r="L281" s="28" t="str">
        <f aca="false">IF(OR(G281="",J281="",J281=0),"",G281/J281)</f>
        <v/>
      </c>
      <c r="M281" s="80"/>
    </row>
    <row r="282" customFormat="false" ht="15" hidden="false" customHeight="false" outlineLevel="0" collapsed="false">
      <c r="A282" s="73"/>
      <c r="B282" s="10"/>
      <c r="C282" s="50"/>
      <c r="D282" s="50"/>
      <c r="E282" s="50"/>
      <c r="F282" s="50"/>
      <c r="G282" s="28" t="str">
        <f aca="false">IF(COUNT(C282:F282)=0,"",SUM(C282:F282))</f>
        <v/>
      </c>
      <c r="H282" s="50"/>
      <c r="I282" s="28" t="str">
        <f aca="false">IF(G282="","",G282-N(H282))</f>
        <v/>
      </c>
      <c r="J282" s="40"/>
      <c r="K282" s="40"/>
      <c r="L282" s="28" t="str">
        <f aca="false">IF(OR(G282="",J282="",J282=0),"",G282/J282)</f>
        <v/>
      </c>
      <c r="M282" s="80"/>
    </row>
    <row r="283" customFormat="false" ht="15" hidden="false" customHeight="false" outlineLevel="0" collapsed="false">
      <c r="A283" s="73"/>
      <c r="B283" s="10"/>
      <c r="C283" s="50"/>
      <c r="D283" s="50"/>
      <c r="E283" s="50"/>
      <c r="F283" s="50"/>
      <c r="G283" s="28" t="str">
        <f aca="false">IF(COUNT(C283:F283)=0,"",SUM(C283:F283))</f>
        <v/>
      </c>
      <c r="H283" s="50"/>
      <c r="I283" s="28" t="str">
        <f aca="false">IF(G283="","",G283-N(H283))</f>
        <v/>
      </c>
      <c r="J283" s="40"/>
      <c r="K283" s="40"/>
      <c r="L283" s="28" t="str">
        <f aca="false">IF(OR(G283="",J283="",J283=0),"",G283/J283)</f>
        <v/>
      </c>
      <c r="M283" s="80"/>
    </row>
    <row r="284" customFormat="false" ht="15" hidden="false" customHeight="false" outlineLevel="0" collapsed="false">
      <c r="A284" s="73"/>
      <c r="B284" s="10"/>
      <c r="C284" s="50"/>
      <c r="D284" s="50"/>
      <c r="E284" s="50"/>
      <c r="F284" s="50"/>
      <c r="G284" s="28" t="str">
        <f aca="false">IF(COUNT(C284:F284)=0,"",SUM(C284:F284))</f>
        <v/>
      </c>
      <c r="H284" s="50"/>
      <c r="I284" s="28" t="str">
        <f aca="false">IF(G284="","",G284-N(H284))</f>
        <v/>
      </c>
      <c r="J284" s="40"/>
      <c r="K284" s="40"/>
      <c r="L284" s="28" t="str">
        <f aca="false">IF(OR(G284="",J284="",J284=0),"",G284/J284)</f>
        <v/>
      </c>
      <c r="M284" s="80"/>
    </row>
    <row r="285" customFormat="false" ht="15" hidden="false" customHeight="false" outlineLevel="0" collapsed="false">
      <c r="A285" s="73"/>
      <c r="B285" s="10"/>
      <c r="C285" s="50"/>
      <c r="D285" s="50"/>
      <c r="E285" s="50"/>
      <c r="F285" s="50"/>
      <c r="G285" s="28" t="str">
        <f aca="false">IF(COUNT(C285:F285)=0,"",SUM(C285:F285))</f>
        <v/>
      </c>
      <c r="H285" s="50"/>
      <c r="I285" s="28" t="str">
        <f aca="false">IF(G285="","",G285-N(H285))</f>
        <v/>
      </c>
      <c r="J285" s="40"/>
      <c r="K285" s="40"/>
      <c r="L285" s="28" t="str">
        <f aca="false">IF(OR(G285="",J285="",J285=0),"",G285/J285)</f>
        <v/>
      </c>
      <c r="M285" s="80"/>
    </row>
    <row r="286" customFormat="false" ht="15" hidden="false" customHeight="false" outlineLevel="0" collapsed="false">
      <c r="A286" s="73"/>
      <c r="B286" s="10"/>
      <c r="C286" s="50"/>
      <c r="D286" s="50"/>
      <c r="E286" s="50"/>
      <c r="F286" s="50"/>
      <c r="G286" s="28" t="str">
        <f aca="false">IF(COUNT(C286:F286)=0,"",SUM(C286:F286))</f>
        <v/>
      </c>
      <c r="H286" s="50"/>
      <c r="I286" s="28" t="str">
        <f aca="false">IF(G286="","",G286-N(H286))</f>
        <v/>
      </c>
      <c r="J286" s="40"/>
      <c r="K286" s="40"/>
      <c r="L286" s="28" t="str">
        <f aca="false">IF(OR(G286="",J286="",J286=0),"",G286/J286)</f>
        <v/>
      </c>
      <c r="M286" s="80"/>
    </row>
    <row r="287" customFormat="false" ht="15" hidden="false" customHeight="false" outlineLevel="0" collapsed="false">
      <c r="A287" s="73"/>
      <c r="B287" s="10"/>
      <c r="C287" s="50"/>
      <c r="D287" s="50"/>
      <c r="E287" s="50"/>
      <c r="F287" s="50"/>
      <c r="G287" s="28" t="str">
        <f aca="false">IF(COUNT(C287:F287)=0,"",SUM(C287:F287))</f>
        <v/>
      </c>
      <c r="H287" s="50"/>
      <c r="I287" s="28" t="str">
        <f aca="false">IF(G287="","",G287-N(H287))</f>
        <v/>
      </c>
      <c r="J287" s="40"/>
      <c r="K287" s="40"/>
      <c r="L287" s="28" t="str">
        <f aca="false">IF(OR(G287="",J287="",J287=0),"",G287/J287)</f>
        <v/>
      </c>
      <c r="M287" s="80"/>
    </row>
    <row r="288" customFormat="false" ht="15" hidden="false" customHeight="false" outlineLevel="0" collapsed="false">
      <c r="A288" s="73"/>
      <c r="B288" s="10"/>
      <c r="C288" s="50"/>
      <c r="D288" s="50"/>
      <c r="E288" s="50"/>
      <c r="F288" s="50"/>
      <c r="G288" s="28" t="str">
        <f aca="false">IF(COUNT(C288:F288)=0,"",SUM(C288:F288))</f>
        <v/>
      </c>
      <c r="H288" s="50"/>
      <c r="I288" s="28" t="str">
        <f aca="false">IF(G288="","",G288-N(H288))</f>
        <v/>
      </c>
      <c r="J288" s="40"/>
      <c r="K288" s="40"/>
      <c r="L288" s="28" t="str">
        <f aca="false">IF(OR(G288="",J288="",J288=0),"",G288/J288)</f>
        <v/>
      </c>
      <c r="M288" s="80"/>
    </row>
    <row r="289" customFormat="false" ht="15" hidden="false" customHeight="false" outlineLevel="0" collapsed="false">
      <c r="A289" s="73"/>
      <c r="B289" s="10"/>
      <c r="C289" s="50"/>
      <c r="D289" s="50"/>
      <c r="E289" s="50"/>
      <c r="F289" s="50"/>
      <c r="G289" s="28" t="str">
        <f aca="false">IF(COUNT(C289:F289)=0,"",SUM(C289:F289))</f>
        <v/>
      </c>
      <c r="H289" s="50"/>
      <c r="I289" s="28" t="str">
        <f aca="false">IF(G289="","",G289-N(H289))</f>
        <v/>
      </c>
      <c r="J289" s="40"/>
      <c r="K289" s="40"/>
      <c r="L289" s="28" t="str">
        <f aca="false">IF(OR(G289="",J289="",J289=0),"",G289/J289)</f>
        <v/>
      </c>
      <c r="M289" s="80"/>
    </row>
    <row r="290" customFormat="false" ht="15" hidden="false" customHeight="false" outlineLevel="0" collapsed="false">
      <c r="A290" s="73"/>
      <c r="B290" s="10"/>
      <c r="C290" s="50"/>
      <c r="D290" s="50"/>
      <c r="E290" s="50"/>
      <c r="F290" s="50"/>
      <c r="G290" s="28" t="str">
        <f aca="false">IF(COUNT(C290:F290)=0,"",SUM(C290:F290))</f>
        <v/>
      </c>
      <c r="H290" s="50"/>
      <c r="I290" s="28" t="str">
        <f aca="false">IF(G290="","",G290-N(H290))</f>
        <v/>
      </c>
      <c r="J290" s="40"/>
      <c r="K290" s="40"/>
      <c r="L290" s="28" t="str">
        <f aca="false">IF(OR(G290="",J290="",J290=0),"",G290/J290)</f>
        <v/>
      </c>
      <c r="M290" s="80"/>
    </row>
    <row r="291" customFormat="false" ht="15" hidden="false" customHeight="false" outlineLevel="0" collapsed="false">
      <c r="A291" s="73"/>
      <c r="B291" s="10"/>
      <c r="C291" s="50"/>
      <c r="D291" s="50"/>
      <c r="E291" s="50"/>
      <c r="F291" s="50"/>
      <c r="G291" s="28" t="str">
        <f aca="false">IF(COUNT(C291:F291)=0,"",SUM(C291:F291))</f>
        <v/>
      </c>
      <c r="H291" s="50"/>
      <c r="I291" s="28" t="str">
        <f aca="false">IF(G291="","",G291-N(H291))</f>
        <v/>
      </c>
      <c r="J291" s="40"/>
      <c r="K291" s="40"/>
      <c r="L291" s="28" t="str">
        <f aca="false">IF(OR(G291="",J291="",J291=0),"",G291/J291)</f>
        <v/>
      </c>
      <c r="M291" s="80"/>
    </row>
    <row r="292" customFormat="false" ht="15" hidden="false" customHeight="false" outlineLevel="0" collapsed="false">
      <c r="A292" s="73"/>
      <c r="B292" s="10"/>
      <c r="C292" s="50"/>
      <c r="D292" s="50"/>
      <c r="E292" s="50"/>
      <c r="F292" s="50"/>
      <c r="G292" s="28" t="str">
        <f aca="false">IF(COUNT(C292:F292)=0,"",SUM(C292:F292))</f>
        <v/>
      </c>
      <c r="H292" s="50"/>
      <c r="I292" s="28" t="str">
        <f aca="false">IF(G292="","",G292-N(H292))</f>
        <v/>
      </c>
      <c r="J292" s="40"/>
      <c r="K292" s="40"/>
      <c r="L292" s="28" t="str">
        <f aca="false">IF(OR(G292="",J292="",J292=0),"",G292/J292)</f>
        <v/>
      </c>
      <c r="M292" s="80"/>
    </row>
    <row r="293" customFormat="false" ht="15" hidden="false" customHeight="false" outlineLevel="0" collapsed="false">
      <c r="A293" s="73"/>
      <c r="B293" s="10"/>
      <c r="C293" s="50"/>
      <c r="D293" s="50"/>
      <c r="E293" s="50"/>
      <c r="F293" s="50"/>
      <c r="G293" s="28" t="str">
        <f aca="false">IF(COUNT(C293:F293)=0,"",SUM(C293:F293))</f>
        <v/>
      </c>
      <c r="H293" s="50"/>
      <c r="I293" s="28" t="str">
        <f aca="false">IF(G293="","",G293-N(H293))</f>
        <v/>
      </c>
      <c r="J293" s="40"/>
      <c r="K293" s="40"/>
      <c r="L293" s="28" t="str">
        <f aca="false">IF(OR(G293="",J293="",J293=0),"",G293/J293)</f>
        <v/>
      </c>
      <c r="M293" s="80"/>
    </row>
    <row r="294" customFormat="false" ht="15" hidden="false" customHeight="false" outlineLevel="0" collapsed="false">
      <c r="A294" s="73"/>
      <c r="B294" s="10"/>
      <c r="C294" s="50"/>
      <c r="D294" s="50"/>
      <c r="E294" s="50"/>
      <c r="F294" s="50"/>
      <c r="G294" s="28" t="str">
        <f aca="false">IF(COUNT(C294:F294)=0,"",SUM(C294:F294))</f>
        <v/>
      </c>
      <c r="H294" s="50"/>
      <c r="I294" s="28" t="str">
        <f aca="false">IF(G294="","",G294-N(H294))</f>
        <v/>
      </c>
      <c r="J294" s="40"/>
      <c r="K294" s="40"/>
      <c r="L294" s="28" t="str">
        <f aca="false">IF(OR(G294="",J294="",J294=0),"",G294/J294)</f>
        <v/>
      </c>
      <c r="M294" s="80"/>
    </row>
    <row r="295" customFormat="false" ht="15" hidden="false" customHeight="false" outlineLevel="0" collapsed="false">
      <c r="A295" s="73"/>
      <c r="B295" s="10"/>
      <c r="C295" s="50"/>
      <c r="D295" s="50"/>
      <c r="E295" s="50"/>
      <c r="F295" s="50"/>
      <c r="G295" s="28" t="str">
        <f aca="false">IF(COUNT(C295:F295)=0,"",SUM(C295:F295))</f>
        <v/>
      </c>
      <c r="H295" s="50"/>
      <c r="I295" s="28" t="str">
        <f aca="false">IF(G295="","",G295-N(H295))</f>
        <v/>
      </c>
      <c r="J295" s="40"/>
      <c r="K295" s="40"/>
      <c r="L295" s="28" t="str">
        <f aca="false">IF(OR(G295="",J295="",J295=0),"",G295/J295)</f>
        <v/>
      </c>
      <c r="M295" s="80"/>
    </row>
    <row r="296" customFormat="false" ht="15" hidden="false" customHeight="false" outlineLevel="0" collapsed="false">
      <c r="A296" s="73"/>
      <c r="B296" s="10"/>
      <c r="C296" s="50"/>
      <c r="D296" s="50"/>
      <c r="E296" s="50"/>
      <c r="F296" s="50"/>
      <c r="G296" s="28" t="str">
        <f aca="false">IF(COUNT(C296:F296)=0,"",SUM(C296:F296))</f>
        <v/>
      </c>
      <c r="H296" s="50"/>
      <c r="I296" s="28" t="str">
        <f aca="false">IF(G296="","",G296-N(H296))</f>
        <v/>
      </c>
      <c r="J296" s="40"/>
      <c r="K296" s="40"/>
      <c r="L296" s="28" t="str">
        <f aca="false">IF(OR(G296="",J296="",J296=0),"",G296/J296)</f>
        <v/>
      </c>
      <c r="M296" s="80"/>
    </row>
    <row r="297" customFormat="false" ht="15" hidden="false" customHeight="false" outlineLevel="0" collapsed="false">
      <c r="A297" s="73"/>
      <c r="B297" s="10"/>
      <c r="C297" s="50"/>
      <c r="D297" s="50"/>
      <c r="E297" s="50"/>
      <c r="F297" s="50"/>
      <c r="G297" s="28" t="str">
        <f aca="false">IF(COUNT(C297:F297)=0,"",SUM(C297:F297))</f>
        <v/>
      </c>
      <c r="H297" s="50"/>
      <c r="I297" s="28" t="str">
        <f aca="false">IF(G297="","",G297-N(H297))</f>
        <v/>
      </c>
      <c r="J297" s="40"/>
      <c r="K297" s="40"/>
      <c r="L297" s="28" t="str">
        <f aca="false">IF(OR(G297="",J297="",J297=0),"",G297/J297)</f>
        <v/>
      </c>
      <c r="M297" s="80"/>
    </row>
    <row r="298" customFormat="false" ht="15" hidden="false" customHeight="false" outlineLevel="0" collapsed="false">
      <c r="A298" s="73"/>
      <c r="B298" s="10"/>
      <c r="C298" s="50"/>
      <c r="D298" s="50"/>
      <c r="E298" s="50"/>
      <c r="F298" s="50"/>
      <c r="G298" s="28" t="str">
        <f aca="false">IF(COUNT(C298:F298)=0,"",SUM(C298:F298))</f>
        <v/>
      </c>
      <c r="H298" s="50"/>
      <c r="I298" s="28" t="str">
        <f aca="false">IF(G298="","",G298-N(H298))</f>
        <v/>
      </c>
      <c r="J298" s="40"/>
      <c r="K298" s="40"/>
      <c r="L298" s="28" t="str">
        <f aca="false">IF(OR(G298="",J298="",J298=0),"",G298/J298)</f>
        <v/>
      </c>
      <c r="M298" s="80"/>
    </row>
    <row r="299" customFormat="false" ht="15" hidden="false" customHeight="false" outlineLevel="0" collapsed="false">
      <c r="A299" s="73"/>
      <c r="B299" s="10"/>
      <c r="C299" s="50"/>
      <c r="D299" s="50"/>
      <c r="E299" s="50"/>
      <c r="F299" s="50"/>
      <c r="G299" s="28" t="str">
        <f aca="false">IF(COUNT(C299:F299)=0,"",SUM(C299:F299))</f>
        <v/>
      </c>
      <c r="H299" s="50"/>
      <c r="I299" s="28" t="str">
        <f aca="false">IF(G299="","",G299-N(H299))</f>
        <v/>
      </c>
      <c r="J299" s="40"/>
      <c r="K299" s="40"/>
      <c r="L299" s="28" t="str">
        <f aca="false">IF(OR(G299="",J299="",J299=0),"",G299/J299)</f>
        <v/>
      </c>
      <c r="M299" s="80"/>
    </row>
    <row r="300" customFormat="false" ht="15" hidden="false" customHeight="false" outlineLevel="0" collapsed="false">
      <c r="A300" s="73"/>
      <c r="B300" s="10"/>
      <c r="C300" s="50"/>
      <c r="D300" s="50"/>
      <c r="E300" s="50"/>
      <c r="F300" s="50"/>
      <c r="G300" s="28" t="str">
        <f aca="false">IF(COUNT(C300:F300)=0,"",SUM(C300:F300))</f>
        <v/>
      </c>
      <c r="H300" s="50"/>
      <c r="I300" s="28" t="str">
        <f aca="false">IF(G300="","",G300-N(H300))</f>
        <v/>
      </c>
      <c r="J300" s="40"/>
      <c r="K300" s="40"/>
      <c r="L300" s="28" t="str">
        <f aca="false">IF(OR(G300="",J300="",J300=0),"",G300/J300)</f>
        <v/>
      </c>
      <c r="M300" s="80"/>
    </row>
    <row r="301" customFormat="false" ht="15" hidden="false" customHeight="false" outlineLevel="0" collapsed="false">
      <c r="A301" s="73"/>
      <c r="B301" s="10"/>
      <c r="C301" s="50"/>
      <c r="D301" s="50"/>
      <c r="E301" s="50"/>
      <c r="F301" s="50"/>
      <c r="G301" s="28" t="str">
        <f aca="false">IF(COUNT(C301:F301)=0,"",SUM(C301:F301))</f>
        <v/>
      </c>
      <c r="H301" s="50"/>
      <c r="I301" s="28" t="str">
        <f aca="false">IF(G301="","",G301-N(H301))</f>
        <v/>
      </c>
      <c r="J301" s="40"/>
      <c r="K301" s="40"/>
      <c r="L301" s="28" t="str">
        <f aca="false">IF(OR(G301="",J301="",J301=0),"",G301/J301)</f>
        <v/>
      </c>
      <c r="M301" s="80"/>
    </row>
    <row r="302" customFormat="false" ht="15" hidden="false" customHeight="false" outlineLevel="0" collapsed="false">
      <c r="A302" s="73"/>
      <c r="B302" s="10"/>
      <c r="C302" s="50"/>
      <c r="D302" s="50"/>
      <c r="E302" s="50"/>
      <c r="F302" s="50"/>
      <c r="G302" s="28" t="str">
        <f aca="false">IF(COUNT(C302:F302)=0,"",SUM(C302:F302))</f>
        <v/>
      </c>
      <c r="H302" s="50"/>
      <c r="I302" s="28" t="str">
        <f aca="false">IF(G302="","",G302-N(H302))</f>
        <v/>
      </c>
      <c r="J302" s="40"/>
      <c r="K302" s="40"/>
      <c r="L302" s="28" t="str">
        <f aca="false">IF(OR(G302="",J302="",J302=0),"",G302/J302)</f>
        <v/>
      </c>
      <c r="M302" s="80"/>
    </row>
    <row r="303" customFormat="false" ht="15" hidden="false" customHeight="false" outlineLevel="0" collapsed="false">
      <c r="A303" s="73"/>
      <c r="B303" s="10"/>
      <c r="C303" s="50"/>
      <c r="D303" s="50"/>
      <c r="E303" s="50"/>
      <c r="F303" s="50"/>
      <c r="G303" s="28" t="str">
        <f aca="false">IF(COUNT(C303:F303)=0,"",SUM(C303:F303))</f>
        <v/>
      </c>
      <c r="H303" s="50"/>
      <c r="I303" s="28" t="str">
        <f aca="false">IF(G303="","",G303-N(H303))</f>
        <v/>
      </c>
      <c r="J303" s="40"/>
      <c r="K303" s="40"/>
      <c r="L303" s="28" t="str">
        <f aca="false">IF(OR(G303="",J303="",J303=0),"",G303/J303)</f>
        <v/>
      </c>
      <c r="M303" s="80"/>
    </row>
    <row r="304" customFormat="false" ht="15" hidden="false" customHeight="false" outlineLevel="0" collapsed="false">
      <c r="A304" s="73"/>
      <c r="B304" s="10"/>
      <c r="C304" s="50"/>
      <c r="D304" s="50"/>
      <c r="E304" s="50"/>
      <c r="F304" s="50"/>
      <c r="G304" s="28" t="str">
        <f aca="false">IF(COUNT(C304:F304)=0,"",SUM(C304:F304))</f>
        <v/>
      </c>
      <c r="H304" s="50"/>
      <c r="I304" s="28" t="str">
        <f aca="false">IF(G304="","",G304-N(H304))</f>
        <v/>
      </c>
      <c r="J304" s="40"/>
      <c r="K304" s="40"/>
      <c r="L304" s="28" t="str">
        <f aca="false">IF(OR(G304="",J304="",J304=0),"",G304/J304)</f>
        <v/>
      </c>
      <c r="M304" s="80"/>
    </row>
    <row r="305" customFormat="false" ht="15" hidden="false" customHeight="false" outlineLevel="0" collapsed="false">
      <c r="A305" s="73"/>
      <c r="B305" s="10"/>
      <c r="C305" s="50"/>
      <c r="D305" s="50"/>
      <c r="E305" s="50"/>
      <c r="F305" s="50"/>
      <c r="G305" s="28" t="str">
        <f aca="false">IF(COUNT(C305:F305)=0,"",SUM(C305:F305))</f>
        <v/>
      </c>
      <c r="H305" s="50"/>
      <c r="I305" s="28" t="str">
        <f aca="false">IF(G305="","",G305-N(H305))</f>
        <v/>
      </c>
      <c r="J305" s="40"/>
      <c r="K305" s="40"/>
      <c r="L305" s="28" t="str">
        <f aca="false">IF(OR(G305="",J305="",J305=0),"",G305/J305)</f>
        <v/>
      </c>
      <c r="M305" s="80"/>
    </row>
    <row r="306" customFormat="false" ht="15" hidden="false" customHeight="false" outlineLevel="0" collapsed="false">
      <c r="A306" s="73"/>
      <c r="B306" s="10"/>
      <c r="C306" s="50"/>
      <c r="D306" s="50"/>
      <c r="E306" s="50"/>
      <c r="F306" s="50"/>
      <c r="G306" s="28" t="str">
        <f aca="false">IF(COUNT(C306:F306)=0,"",SUM(C306:F306))</f>
        <v/>
      </c>
      <c r="H306" s="50"/>
      <c r="I306" s="28" t="str">
        <f aca="false">IF(G306="","",G306-N(H306))</f>
        <v/>
      </c>
      <c r="J306" s="40"/>
      <c r="K306" s="40"/>
      <c r="L306" s="28" t="str">
        <f aca="false">IF(OR(G306="",J306="",J306=0),"",G306/J306)</f>
        <v/>
      </c>
      <c r="M306" s="80"/>
    </row>
    <row r="307" customFormat="false" ht="15" hidden="false" customHeight="false" outlineLevel="0" collapsed="false">
      <c r="A307" s="73"/>
      <c r="B307" s="10"/>
      <c r="C307" s="50"/>
      <c r="D307" s="50"/>
      <c r="E307" s="50"/>
      <c r="F307" s="50"/>
      <c r="G307" s="28" t="str">
        <f aca="false">IF(COUNT(C307:F307)=0,"",SUM(C307:F307))</f>
        <v/>
      </c>
      <c r="H307" s="50"/>
      <c r="I307" s="28" t="str">
        <f aca="false">IF(G307="","",G307-N(H307))</f>
        <v/>
      </c>
      <c r="J307" s="40"/>
      <c r="K307" s="40"/>
      <c r="L307" s="28" t="str">
        <f aca="false">IF(OR(G307="",J307="",J307=0),"",G307/J307)</f>
        <v/>
      </c>
      <c r="M307" s="80"/>
    </row>
    <row r="308" customFormat="false" ht="15" hidden="false" customHeight="false" outlineLevel="0" collapsed="false">
      <c r="A308" s="73"/>
      <c r="B308" s="10"/>
      <c r="C308" s="50"/>
      <c r="D308" s="50"/>
      <c r="E308" s="50"/>
      <c r="F308" s="50"/>
      <c r="G308" s="28" t="str">
        <f aca="false">IF(COUNT(C308:F308)=0,"",SUM(C308:F308))</f>
        <v/>
      </c>
      <c r="H308" s="50"/>
      <c r="I308" s="28" t="str">
        <f aca="false">IF(G308="","",G308-N(H308))</f>
        <v/>
      </c>
      <c r="J308" s="40"/>
      <c r="K308" s="40"/>
      <c r="L308" s="28" t="str">
        <f aca="false">IF(OR(G308="",J308="",J308=0),"",G308/J308)</f>
        <v/>
      </c>
      <c r="M308" s="80"/>
    </row>
    <row r="309" customFormat="false" ht="15" hidden="false" customHeight="false" outlineLevel="0" collapsed="false">
      <c r="A309" s="73"/>
      <c r="B309" s="10"/>
      <c r="C309" s="50"/>
      <c r="D309" s="50"/>
      <c r="E309" s="50"/>
      <c r="F309" s="50"/>
      <c r="G309" s="28" t="str">
        <f aca="false">IF(COUNT(C309:F309)=0,"",SUM(C309:F309))</f>
        <v/>
      </c>
      <c r="H309" s="50"/>
      <c r="I309" s="28" t="str">
        <f aca="false">IF(G309="","",G309-N(H309))</f>
        <v/>
      </c>
      <c r="J309" s="40"/>
      <c r="K309" s="40"/>
      <c r="L309" s="28" t="str">
        <f aca="false">IF(OR(G309="",J309="",J309=0),"",G309/J309)</f>
        <v/>
      </c>
      <c r="M309" s="80"/>
    </row>
    <row r="310" customFormat="false" ht="15" hidden="false" customHeight="false" outlineLevel="0" collapsed="false">
      <c r="A310" s="73"/>
      <c r="B310" s="10"/>
      <c r="C310" s="50"/>
      <c r="D310" s="50"/>
      <c r="E310" s="50"/>
      <c r="F310" s="50"/>
      <c r="G310" s="28" t="str">
        <f aca="false">IF(COUNT(C310:F310)=0,"",SUM(C310:F310))</f>
        <v/>
      </c>
      <c r="H310" s="50"/>
      <c r="I310" s="28" t="str">
        <f aca="false">IF(G310="","",G310-N(H310))</f>
        <v/>
      </c>
      <c r="J310" s="40"/>
      <c r="K310" s="40"/>
      <c r="L310" s="28" t="str">
        <f aca="false">IF(OR(G310="",J310="",J310=0),"",G310/J310)</f>
        <v/>
      </c>
      <c r="M310" s="80"/>
    </row>
    <row r="311" customFormat="false" ht="15" hidden="false" customHeight="false" outlineLevel="0" collapsed="false">
      <c r="A311" s="73"/>
      <c r="B311" s="10"/>
      <c r="C311" s="50"/>
      <c r="D311" s="50"/>
      <c r="E311" s="50"/>
      <c r="F311" s="50"/>
      <c r="G311" s="28" t="str">
        <f aca="false">IF(COUNT(C311:F311)=0,"",SUM(C311:F311))</f>
        <v/>
      </c>
      <c r="H311" s="50"/>
      <c r="I311" s="28" t="str">
        <f aca="false">IF(G311="","",G311-N(H311))</f>
        <v/>
      </c>
      <c r="J311" s="40"/>
      <c r="K311" s="40"/>
      <c r="L311" s="28" t="str">
        <f aca="false">IF(OR(G311="",J311="",J311=0),"",G311/J311)</f>
        <v/>
      </c>
      <c r="M311" s="80"/>
    </row>
    <row r="312" customFormat="false" ht="15" hidden="false" customHeight="false" outlineLevel="0" collapsed="false">
      <c r="A312" s="73"/>
      <c r="B312" s="10"/>
      <c r="C312" s="50"/>
      <c r="D312" s="50"/>
      <c r="E312" s="50"/>
      <c r="F312" s="50"/>
      <c r="G312" s="28" t="str">
        <f aca="false">IF(COUNT(C312:F312)=0,"",SUM(C312:F312))</f>
        <v/>
      </c>
      <c r="H312" s="50"/>
      <c r="I312" s="28" t="str">
        <f aca="false">IF(G312="","",G312-N(H312))</f>
        <v/>
      </c>
      <c r="J312" s="40"/>
      <c r="K312" s="40"/>
      <c r="L312" s="28" t="str">
        <f aca="false">IF(OR(G312="",J312="",J312=0),"",G312/J312)</f>
        <v/>
      </c>
      <c r="M312" s="80"/>
    </row>
    <row r="313" customFormat="false" ht="15" hidden="false" customHeight="false" outlineLevel="0" collapsed="false">
      <c r="A313" s="73"/>
      <c r="B313" s="10"/>
      <c r="C313" s="50"/>
      <c r="D313" s="50"/>
      <c r="E313" s="50"/>
      <c r="F313" s="50"/>
      <c r="G313" s="28" t="str">
        <f aca="false">IF(COUNT(C313:F313)=0,"",SUM(C313:F313))</f>
        <v/>
      </c>
      <c r="H313" s="50"/>
      <c r="I313" s="28" t="str">
        <f aca="false">IF(G313="","",G313-N(H313))</f>
        <v/>
      </c>
      <c r="J313" s="40"/>
      <c r="K313" s="40"/>
      <c r="L313" s="28" t="str">
        <f aca="false">IF(OR(G313="",J313="",J313=0),"",G313/J313)</f>
        <v/>
      </c>
      <c r="M313" s="80"/>
    </row>
    <row r="314" customFormat="false" ht="15" hidden="false" customHeight="false" outlineLevel="0" collapsed="false">
      <c r="A314" s="73"/>
      <c r="B314" s="10"/>
      <c r="C314" s="50"/>
      <c r="D314" s="50"/>
      <c r="E314" s="50"/>
      <c r="F314" s="50"/>
      <c r="G314" s="28" t="str">
        <f aca="false">IF(COUNT(C314:F314)=0,"",SUM(C314:F314))</f>
        <v/>
      </c>
      <c r="H314" s="50"/>
      <c r="I314" s="28" t="str">
        <f aca="false">IF(G314="","",G314-N(H314))</f>
        <v/>
      </c>
      <c r="J314" s="40"/>
      <c r="K314" s="40"/>
      <c r="L314" s="28" t="str">
        <f aca="false">IF(OR(G314="",J314="",J314=0),"",G314/J314)</f>
        <v/>
      </c>
      <c r="M314" s="80"/>
    </row>
    <row r="315" customFormat="false" ht="15" hidden="false" customHeight="false" outlineLevel="0" collapsed="false">
      <c r="A315" s="73"/>
      <c r="B315" s="10"/>
      <c r="C315" s="50"/>
      <c r="D315" s="50"/>
      <c r="E315" s="50"/>
      <c r="F315" s="50"/>
      <c r="G315" s="28" t="str">
        <f aca="false">IF(COUNT(C315:F315)=0,"",SUM(C315:F315))</f>
        <v/>
      </c>
      <c r="H315" s="50"/>
      <c r="I315" s="28" t="str">
        <f aca="false">IF(G315="","",G315-N(H315))</f>
        <v/>
      </c>
      <c r="J315" s="40"/>
      <c r="K315" s="40"/>
      <c r="L315" s="28" t="str">
        <f aca="false">IF(OR(G315="",J315="",J315=0),"",G315/J315)</f>
        <v/>
      </c>
      <c r="M315" s="80"/>
    </row>
    <row r="316" customFormat="false" ht="15" hidden="false" customHeight="false" outlineLevel="0" collapsed="false">
      <c r="A316" s="73"/>
      <c r="B316" s="10"/>
      <c r="C316" s="50"/>
      <c r="D316" s="50"/>
      <c r="E316" s="50"/>
      <c r="F316" s="50"/>
      <c r="G316" s="28" t="str">
        <f aca="false">IF(COUNT(C316:F316)=0,"",SUM(C316:F316))</f>
        <v/>
      </c>
      <c r="H316" s="50"/>
      <c r="I316" s="28" t="str">
        <f aca="false">IF(G316="","",G316-N(H316))</f>
        <v/>
      </c>
      <c r="J316" s="40"/>
      <c r="K316" s="40"/>
      <c r="L316" s="28" t="str">
        <f aca="false">IF(OR(G316="",J316="",J316=0),"",G316/J316)</f>
        <v/>
      </c>
      <c r="M316" s="80"/>
    </row>
    <row r="317" customFormat="false" ht="15" hidden="false" customHeight="false" outlineLevel="0" collapsed="false">
      <c r="A317" s="73"/>
      <c r="B317" s="10"/>
      <c r="C317" s="50"/>
      <c r="D317" s="50"/>
      <c r="E317" s="50"/>
      <c r="F317" s="50"/>
      <c r="G317" s="28" t="str">
        <f aca="false">IF(COUNT(C317:F317)=0,"",SUM(C317:F317))</f>
        <v/>
      </c>
      <c r="H317" s="50"/>
      <c r="I317" s="28" t="str">
        <f aca="false">IF(G317="","",G317-N(H317))</f>
        <v/>
      </c>
      <c r="J317" s="40"/>
      <c r="K317" s="40"/>
      <c r="L317" s="28" t="str">
        <f aca="false">IF(OR(G317="",J317="",J317=0),"",G317/J317)</f>
        <v/>
      </c>
      <c r="M317" s="80"/>
    </row>
    <row r="318" customFormat="false" ht="15" hidden="false" customHeight="false" outlineLevel="0" collapsed="false">
      <c r="A318" s="73"/>
      <c r="B318" s="10"/>
      <c r="C318" s="50"/>
      <c r="D318" s="50"/>
      <c r="E318" s="50"/>
      <c r="F318" s="50"/>
      <c r="G318" s="28" t="str">
        <f aca="false">IF(COUNT(C318:F318)=0,"",SUM(C318:F318))</f>
        <v/>
      </c>
      <c r="H318" s="50"/>
      <c r="I318" s="28" t="str">
        <f aca="false">IF(G318="","",G318-N(H318))</f>
        <v/>
      </c>
      <c r="J318" s="40"/>
      <c r="K318" s="40"/>
      <c r="L318" s="28" t="str">
        <f aca="false">IF(OR(G318="",J318="",J318=0),"",G318/J318)</f>
        <v/>
      </c>
      <c r="M318" s="80"/>
    </row>
    <row r="319" customFormat="false" ht="15" hidden="false" customHeight="false" outlineLevel="0" collapsed="false">
      <c r="A319" s="73"/>
      <c r="B319" s="10"/>
      <c r="C319" s="50"/>
      <c r="D319" s="50"/>
      <c r="E319" s="50"/>
      <c r="F319" s="50"/>
      <c r="G319" s="28" t="str">
        <f aca="false">IF(COUNT(C319:F319)=0,"",SUM(C319:F319))</f>
        <v/>
      </c>
      <c r="H319" s="50"/>
      <c r="I319" s="28" t="str">
        <f aca="false">IF(G319="","",G319-N(H319))</f>
        <v/>
      </c>
      <c r="J319" s="40"/>
      <c r="K319" s="40"/>
      <c r="L319" s="28" t="str">
        <f aca="false">IF(OR(G319="",J319="",J319=0),"",G319/J319)</f>
        <v/>
      </c>
      <c r="M319" s="80"/>
    </row>
    <row r="320" customFormat="false" ht="15" hidden="false" customHeight="false" outlineLevel="0" collapsed="false">
      <c r="A320" s="73"/>
      <c r="B320" s="10"/>
      <c r="C320" s="50"/>
      <c r="D320" s="50"/>
      <c r="E320" s="50"/>
      <c r="F320" s="50"/>
      <c r="G320" s="28" t="str">
        <f aca="false">IF(COUNT(C320:F320)=0,"",SUM(C320:F320))</f>
        <v/>
      </c>
      <c r="H320" s="50"/>
      <c r="I320" s="28" t="str">
        <f aca="false">IF(G320="","",G320-N(H320))</f>
        <v/>
      </c>
      <c r="J320" s="40"/>
      <c r="K320" s="40"/>
      <c r="L320" s="28" t="str">
        <f aca="false">IF(OR(G320="",J320="",J320=0),"",G320/J320)</f>
        <v/>
      </c>
      <c r="M320" s="80"/>
    </row>
    <row r="321" customFormat="false" ht="15" hidden="false" customHeight="false" outlineLevel="0" collapsed="false">
      <c r="A321" s="73"/>
      <c r="B321" s="10"/>
      <c r="C321" s="50"/>
      <c r="D321" s="50"/>
      <c r="E321" s="50"/>
      <c r="F321" s="50"/>
      <c r="G321" s="28" t="str">
        <f aca="false">IF(COUNT(C321:F321)=0,"",SUM(C321:F321))</f>
        <v/>
      </c>
      <c r="H321" s="50"/>
      <c r="I321" s="28" t="str">
        <f aca="false">IF(G321="","",G321-N(H321))</f>
        <v/>
      </c>
      <c r="J321" s="40"/>
      <c r="K321" s="40"/>
      <c r="L321" s="28" t="str">
        <f aca="false">IF(OR(G321="",J321="",J321=0),"",G321/J321)</f>
        <v/>
      </c>
      <c r="M321" s="80"/>
    </row>
    <row r="322" customFormat="false" ht="15" hidden="false" customHeight="false" outlineLevel="0" collapsed="false">
      <c r="A322" s="73"/>
      <c r="B322" s="10"/>
      <c r="C322" s="50"/>
      <c r="D322" s="50"/>
      <c r="E322" s="50"/>
      <c r="F322" s="50"/>
      <c r="G322" s="28" t="str">
        <f aca="false">IF(COUNT(C322:F322)=0,"",SUM(C322:F322))</f>
        <v/>
      </c>
      <c r="H322" s="50"/>
      <c r="I322" s="28" t="str">
        <f aca="false">IF(G322="","",G322-N(H322))</f>
        <v/>
      </c>
      <c r="J322" s="40"/>
      <c r="K322" s="40"/>
      <c r="L322" s="28" t="str">
        <f aca="false">IF(OR(G322="",J322="",J322=0),"",G322/J322)</f>
        <v/>
      </c>
      <c r="M322" s="80"/>
    </row>
    <row r="323" customFormat="false" ht="15" hidden="false" customHeight="false" outlineLevel="0" collapsed="false">
      <c r="A323" s="73"/>
      <c r="B323" s="10"/>
      <c r="C323" s="50"/>
      <c r="D323" s="50"/>
      <c r="E323" s="50"/>
      <c r="F323" s="50"/>
      <c r="G323" s="28" t="str">
        <f aca="false">IF(COUNT(C323:F323)=0,"",SUM(C323:F323))</f>
        <v/>
      </c>
      <c r="H323" s="50"/>
      <c r="I323" s="28" t="str">
        <f aca="false">IF(G323="","",G323-N(H323))</f>
        <v/>
      </c>
      <c r="J323" s="40"/>
      <c r="K323" s="40"/>
      <c r="L323" s="28" t="str">
        <f aca="false">IF(OR(G323="",J323="",J323=0),"",G323/J323)</f>
        <v/>
      </c>
      <c r="M323" s="80"/>
    </row>
    <row r="324" customFormat="false" ht="15" hidden="false" customHeight="false" outlineLevel="0" collapsed="false">
      <c r="A324" s="73"/>
      <c r="B324" s="10"/>
      <c r="C324" s="50"/>
      <c r="D324" s="50"/>
      <c r="E324" s="50"/>
      <c r="F324" s="50"/>
      <c r="G324" s="28" t="str">
        <f aca="false">IF(COUNT(C324:F324)=0,"",SUM(C324:F324))</f>
        <v/>
      </c>
      <c r="H324" s="50"/>
      <c r="I324" s="28" t="str">
        <f aca="false">IF(G324="","",G324-N(H324))</f>
        <v/>
      </c>
      <c r="J324" s="40"/>
      <c r="K324" s="40"/>
      <c r="L324" s="28" t="str">
        <f aca="false">IF(OR(G324="",J324="",J324=0),"",G324/J324)</f>
        <v/>
      </c>
      <c r="M324" s="80"/>
    </row>
    <row r="325" customFormat="false" ht="15" hidden="false" customHeight="false" outlineLevel="0" collapsed="false">
      <c r="A325" s="73"/>
      <c r="B325" s="10"/>
      <c r="C325" s="50"/>
      <c r="D325" s="50"/>
      <c r="E325" s="50"/>
      <c r="F325" s="50"/>
      <c r="G325" s="28" t="str">
        <f aca="false">IF(COUNT(C325:F325)=0,"",SUM(C325:F325))</f>
        <v/>
      </c>
      <c r="H325" s="50"/>
      <c r="I325" s="28" t="str">
        <f aca="false">IF(G325="","",G325-N(H325))</f>
        <v/>
      </c>
      <c r="J325" s="40"/>
      <c r="K325" s="40"/>
      <c r="L325" s="28" t="str">
        <f aca="false">IF(OR(G325="",J325="",J325=0),"",G325/J325)</f>
        <v/>
      </c>
      <c r="M325" s="80"/>
    </row>
    <row r="326" customFormat="false" ht="15" hidden="false" customHeight="false" outlineLevel="0" collapsed="false">
      <c r="A326" s="73"/>
      <c r="B326" s="10"/>
      <c r="C326" s="50"/>
      <c r="D326" s="50"/>
      <c r="E326" s="50"/>
      <c r="F326" s="50"/>
      <c r="G326" s="28" t="str">
        <f aca="false">IF(COUNT(C326:F326)=0,"",SUM(C326:F326))</f>
        <v/>
      </c>
      <c r="H326" s="50"/>
      <c r="I326" s="28" t="str">
        <f aca="false">IF(G326="","",G326-N(H326))</f>
        <v/>
      </c>
      <c r="J326" s="40"/>
      <c r="K326" s="40"/>
      <c r="L326" s="28" t="str">
        <f aca="false">IF(OR(G326="",J326="",J326=0),"",G326/J326)</f>
        <v/>
      </c>
      <c r="M326" s="80"/>
    </row>
    <row r="327" customFormat="false" ht="15" hidden="false" customHeight="false" outlineLevel="0" collapsed="false">
      <c r="A327" s="73"/>
      <c r="B327" s="10"/>
      <c r="C327" s="50"/>
      <c r="D327" s="50"/>
      <c r="E327" s="50"/>
      <c r="F327" s="50"/>
      <c r="G327" s="28" t="str">
        <f aca="false">IF(COUNT(C327:F327)=0,"",SUM(C327:F327))</f>
        <v/>
      </c>
      <c r="H327" s="50"/>
      <c r="I327" s="28" t="str">
        <f aca="false">IF(G327="","",G327-N(H327))</f>
        <v/>
      </c>
      <c r="J327" s="40"/>
      <c r="K327" s="40"/>
      <c r="L327" s="28" t="str">
        <f aca="false">IF(OR(G327="",J327="",J327=0),"",G327/J327)</f>
        <v/>
      </c>
      <c r="M327" s="80"/>
    </row>
    <row r="328" customFormat="false" ht="15" hidden="false" customHeight="false" outlineLevel="0" collapsed="false">
      <c r="A328" s="73"/>
      <c r="B328" s="10"/>
      <c r="C328" s="50"/>
      <c r="D328" s="50"/>
      <c r="E328" s="50"/>
      <c r="F328" s="50"/>
      <c r="G328" s="28" t="str">
        <f aca="false">IF(COUNT(C328:F328)=0,"",SUM(C328:F328))</f>
        <v/>
      </c>
      <c r="H328" s="50"/>
      <c r="I328" s="28" t="str">
        <f aca="false">IF(G328="","",G328-N(H328))</f>
        <v/>
      </c>
      <c r="J328" s="40"/>
      <c r="K328" s="40"/>
      <c r="L328" s="28" t="str">
        <f aca="false">IF(OR(G328="",J328="",J328=0),"",G328/J328)</f>
        <v/>
      </c>
      <c r="M328" s="80"/>
    </row>
    <row r="329" customFormat="false" ht="15" hidden="false" customHeight="false" outlineLevel="0" collapsed="false">
      <c r="A329" s="73"/>
      <c r="B329" s="10"/>
      <c r="C329" s="50"/>
      <c r="D329" s="50"/>
      <c r="E329" s="50"/>
      <c r="F329" s="50"/>
      <c r="G329" s="28" t="str">
        <f aca="false">IF(COUNT(C329:F329)=0,"",SUM(C329:F329))</f>
        <v/>
      </c>
      <c r="H329" s="50"/>
      <c r="I329" s="28" t="str">
        <f aca="false">IF(G329="","",G329-N(H329))</f>
        <v/>
      </c>
      <c r="J329" s="40"/>
      <c r="K329" s="40"/>
      <c r="L329" s="28" t="str">
        <f aca="false">IF(OR(G329="",J329="",J329=0),"",G329/J329)</f>
        <v/>
      </c>
      <c r="M329" s="80"/>
    </row>
    <row r="330" customFormat="false" ht="15" hidden="false" customHeight="false" outlineLevel="0" collapsed="false">
      <c r="A330" s="73"/>
      <c r="B330" s="10"/>
      <c r="C330" s="50"/>
      <c r="D330" s="50"/>
      <c r="E330" s="50"/>
      <c r="F330" s="50"/>
      <c r="G330" s="28" t="str">
        <f aca="false">IF(COUNT(C330:F330)=0,"",SUM(C330:F330))</f>
        <v/>
      </c>
      <c r="H330" s="50"/>
      <c r="I330" s="28" t="str">
        <f aca="false">IF(G330="","",G330-N(H330))</f>
        <v/>
      </c>
      <c r="J330" s="40"/>
      <c r="K330" s="40"/>
      <c r="L330" s="28" t="str">
        <f aca="false">IF(OR(G330="",J330="",J330=0),"",G330/J330)</f>
        <v/>
      </c>
      <c r="M330" s="80"/>
    </row>
    <row r="331" customFormat="false" ht="15" hidden="false" customHeight="false" outlineLevel="0" collapsed="false">
      <c r="A331" s="73"/>
      <c r="B331" s="10"/>
      <c r="C331" s="50"/>
      <c r="D331" s="50"/>
      <c r="E331" s="50"/>
      <c r="F331" s="50"/>
      <c r="G331" s="28" t="str">
        <f aca="false">IF(COUNT(C331:F331)=0,"",SUM(C331:F331))</f>
        <v/>
      </c>
      <c r="H331" s="50"/>
      <c r="I331" s="28" t="str">
        <f aca="false">IF(G331="","",G331-N(H331))</f>
        <v/>
      </c>
      <c r="J331" s="40"/>
      <c r="K331" s="40"/>
      <c r="L331" s="28" t="str">
        <f aca="false">IF(OR(G331="",J331="",J331=0),"",G331/J331)</f>
        <v/>
      </c>
      <c r="M331" s="80"/>
    </row>
    <row r="332" customFormat="false" ht="15" hidden="false" customHeight="false" outlineLevel="0" collapsed="false">
      <c r="A332" s="73"/>
      <c r="B332" s="10"/>
      <c r="C332" s="50"/>
      <c r="D332" s="50"/>
      <c r="E332" s="50"/>
      <c r="F332" s="50"/>
      <c r="G332" s="28" t="str">
        <f aca="false">IF(COUNT(C332:F332)=0,"",SUM(C332:F332))</f>
        <v/>
      </c>
      <c r="H332" s="50"/>
      <c r="I332" s="28" t="str">
        <f aca="false">IF(G332="","",G332-N(H332))</f>
        <v/>
      </c>
      <c r="J332" s="40"/>
      <c r="K332" s="40"/>
      <c r="L332" s="28" t="str">
        <f aca="false">IF(OR(G332="",J332="",J332=0),"",G332/J332)</f>
        <v/>
      </c>
      <c r="M332" s="80"/>
    </row>
    <row r="333" customFormat="false" ht="15" hidden="false" customHeight="false" outlineLevel="0" collapsed="false">
      <c r="A333" s="73"/>
      <c r="B333" s="10"/>
      <c r="C333" s="50"/>
      <c r="D333" s="50"/>
      <c r="E333" s="50"/>
      <c r="F333" s="50"/>
      <c r="G333" s="28" t="str">
        <f aca="false">IF(COUNT(C333:F333)=0,"",SUM(C333:F333))</f>
        <v/>
      </c>
      <c r="H333" s="50"/>
      <c r="I333" s="28" t="str">
        <f aca="false">IF(G333="","",G333-N(H333))</f>
        <v/>
      </c>
      <c r="J333" s="40"/>
      <c r="K333" s="40"/>
      <c r="L333" s="28" t="str">
        <f aca="false">IF(OR(G333="",J333="",J333=0),"",G333/J333)</f>
        <v/>
      </c>
      <c r="M333" s="80"/>
    </row>
    <row r="334" customFormat="false" ht="15" hidden="false" customHeight="false" outlineLevel="0" collapsed="false">
      <c r="A334" s="73"/>
      <c r="B334" s="10"/>
      <c r="C334" s="50"/>
      <c r="D334" s="50"/>
      <c r="E334" s="50"/>
      <c r="F334" s="50"/>
      <c r="G334" s="28" t="str">
        <f aca="false">IF(COUNT(C334:F334)=0,"",SUM(C334:F334))</f>
        <v/>
      </c>
      <c r="H334" s="50"/>
      <c r="I334" s="28" t="str">
        <f aca="false">IF(G334="","",G334-N(H334))</f>
        <v/>
      </c>
      <c r="J334" s="40"/>
      <c r="K334" s="40"/>
      <c r="L334" s="28" t="str">
        <f aca="false">IF(OR(G334="",J334="",J334=0),"",G334/J334)</f>
        <v/>
      </c>
      <c r="M334" s="80"/>
    </row>
    <row r="335" customFormat="false" ht="15" hidden="false" customHeight="false" outlineLevel="0" collapsed="false">
      <c r="A335" s="73"/>
      <c r="B335" s="10"/>
      <c r="C335" s="50"/>
      <c r="D335" s="50"/>
      <c r="E335" s="50"/>
      <c r="F335" s="50"/>
      <c r="G335" s="28" t="str">
        <f aca="false">IF(COUNT(C335:F335)=0,"",SUM(C335:F335))</f>
        <v/>
      </c>
      <c r="H335" s="50"/>
      <c r="I335" s="28" t="str">
        <f aca="false">IF(G335="","",G335-N(H335))</f>
        <v/>
      </c>
      <c r="J335" s="40"/>
      <c r="K335" s="40"/>
      <c r="L335" s="28" t="str">
        <f aca="false">IF(OR(G335="",J335="",J335=0),"",G335/J335)</f>
        <v/>
      </c>
      <c r="M335" s="80"/>
    </row>
    <row r="336" customFormat="false" ht="15" hidden="false" customHeight="false" outlineLevel="0" collapsed="false">
      <c r="A336" s="73"/>
      <c r="B336" s="10"/>
      <c r="C336" s="50"/>
      <c r="D336" s="50"/>
      <c r="E336" s="50"/>
      <c r="F336" s="50"/>
      <c r="G336" s="28" t="str">
        <f aca="false">IF(COUNT(C336:F336)=0,"",SUM(C336:F336))</f>
        <v/>
      </c>
      <c r="H336" s="50"/>
      <c r="I336" s="28" t="str">
        <f aca="false">IF(G336="","",G336-N(H336))</f>
        <v/>
      </c>
      <c r="J336" s="40"/>
      <c r="K336" s="40"/>
      <c r="L336" s="28" t="str">
        <f aca="false">IF(OR(G336="",J336="",J336=0),"",G336/J336)</f>
        <v/>
      </c>
      <c r="M336" s="80"/>
    </row>
    <row r="337" customFormat="false" ht="15" hidden="false" customHeight="false" outlineLevel="0" collapsed="false">
      <c r="A337" s="73"/>
      <c r="B337" s="10"/>
      <c r="C337" s="50"/>
      <c r="D337" s="50"/>
      <c r="E337" s="50"/>
      <c r="F337" s="50"/>
      <c r="G337" s="28" t="str">
        <f aca="false">IF(COUNT(C337:F337)=0,"",SUM(C337:F337))</f>
        <v/>
      </c>
      <c r="H337" s="50"/>
      <c r="I337" s="28" t="str">
        <f aca="false">IF(G337="","",G337-N(H337))</f>
        <v/>
      </c>
      <c r="J337" s="40"/>
      <c r="K337" s="40"/>
      <c r="L337" s="28" t="str">
        <f aca="false">IF(OR(G337="",J337="",J337=0),"",G337/J337)</f>
        <v/>
      </c>
      <c r="M337" s="80"/>
    </row>
    <row r="338" customFormat="false" ht="15" hidden="false" customHeight="false" outlineLevel="0" collapsed="false">
      <c r="A338" s="73"/>
      <c r="B338" s="10"/>
      <c r="C338" s="50"/>
      <c r="D338" s="50"/>
      <c r="E338" s="50"/>
      <c r="F338" s="50"/>
      <c r="G338" s="28" t="str">
        <f aca="false">IF(COUNT(C338:F338)=0,"",SUM(C338:F338))</f>
        <v/>
      </c>
      <c r="H338" s="50"/>
      <c r="I338" s="28" t="str">
        <f aca="false">IF(G338="","",G338-N(H338))</f>
        <v/>
      </c>
      <c r="J338" s="40"/>
      <c r="K338" s="40"/>
      <c r="L338" s="28" t="str">
        <f aca="false">IF(OR(G338="",J338="",J338=0),"",G338/J338)</f>
        <v/>
      </c>
      <c r="M338" s="80"/>
    </row>
    <row r="339" customFormat="false" ht="15" hidden="false" customHeight="false" outlineLevel="0" collapsed="false">
      <c r="A339" s="73"/>
      <c r="B339" s="10"/>
      <c r="C339" s="50"/>
      <c r="D339" s="50"/>
      <c r="E339" s="50"/>
      <c r="F339" s="50"/>
      <c r="G339" s="28" t="str">
        <f aca="false">IF(COUNT(C339:F339)=0,"",SUM(C339:F339))</f>
        <v/>
      </c>
      <c r="H339" s="50"/>
      <c r="I339" s="28" t="str">
        <f aca="false">IF(G339="","",G339-N(H339))</f>
        <v/>
      </c>
      <c r="J339" s="40"/>
      <c r="K339" s="40"/>
      <c r="L339" s="28" t="str">
        <f aca="false">IF(OR(G339="",J339="",J339=0),"",G339/J339)</f>
        <v/>
      </c>
      <c r="M339" s="80"/>
    </row>
    <row r="340" customFormat="false" ht="15" hidden="false" customHeight="false" outlineLevel="0" collapsed="false">
      <c r="A340" s="73"/>
      <c r="B340" s="10"/>
      <c r="C340" s="50"/>
      <c r="D340" s="50"/>
      <c r="E340" s="50"/>
      <c r="F340" s="50"/>
      <c r="G340" s="28" t="str">
        <f aca="false">IF(COUNT(C340:F340)=0,"",SUM(C340:F340))</f>
        <v/>
      </c>
      <c r="H340" s="50"/>
      <c r="I340" s="28" t="str">
        <f aca="false">IF(G340="","",G340-N(H340))</f>
        <v/>
      </c>
      <c r="J340" s="40"/>
      <c r="K340" s="40"/>
      <c r="L340" s="28" t="str">
        <f aca="false">IF(OR(G340="",J340="",J340=0),"",G340/J340)</f>
        <v/>
      </c>
      <c r="M340" s="80"/>
    </row>
    <row r="341" customFormat="false" ht="15" hidden="false" customHeight="false" outlineLevel="0" collapsed="false">
      <c r="A341" s="73"/>
      <c r="B341" s="10"/>
      <c r="C341" s="50"/>
      <c r="D341" s="50"/>
      <c r="E341" s="50"/>
      <c r="F341" s="50"/>
      <c r="G341" s="28" t="str">
        <f aca="false">IF(COUNT(C341:F341)=0,"",SUM(C341:F341))</f>
        <v/>
      </c>
      <c r="H341" s="50"/>
      <c r="I341" s="28" t="str">
        <f aca="false">IF(G341="","",G341-N(H341))</f>
        <v/>
      </c>
      <c r="J341" s="40"/>
      <c r="K341" s="40"/>
      <c r="L341" s="28" t="str">
        <f aca="false">IF(OR(G341="",J341="",J341=0),"",G341/J341)</f>
        <v/>
      </c>
      <c r="M341" s="80"/>
    </row>
    <row r="342" customFormat="false" ht="15" hidden="false" customHeight="false" outlineLevel="0" collapsed="false">
      <c r="A342" s="73"/>
      <c r="B342" s="10"/>
      <c r="C342" s="50"/>
      <c r="D342" s="50"/>
      <c r="E342" s="50"/>
      <c r="F342" s="50"/>
      <c r="G342" s="28" t="str">
        <f aca="false">IF(COUNT(C342:F342)=0,"",SUM(C342:F342))</f>
        <v/>
      </c>
      <c r="H342" s="50"/>
      <c r="I342" s="28" t="str">
        <f aca="false">IF(G342="","",G342-N(H342))</f>
        <v/>
      </c>
      <c r="J342" s="40"/>
      <c r="K342" s="40"/>
      <c r="L342" s="28" t="str">
        <f aca="false">IF(OR(G342="",J342="",J342=0),"",G342/J342)</f>
        <v/>
      </c>
      <c r="M342" s="80"/>
    </row>
    <row r="343" customFormat="false" ht="15" hidden="false" customHeight="false" outlineLevel="0" collapsed="false">
      <c r="A343" s="73"/>
      <c r="B343" s="10"/>
      <c r="C343" s="50"/>
      <c r="D343" s="50"/>
      <c r="E343" s="50"/>
      <c r="F343" s="50"/>
      <c r="G343" s="28" t="str">
        <f aca="false">IF(COUNT(C343:F343)=0,"",SUM(C343:F343))</f>
        <v/>
      </c>
      <c r="H343" s="50"/>
      <c r="I343" s="28" t="str">
        <f aca="false">IF(G343="","",G343-N(H343))</f>
        <v/>
      </c>
      <c r="J343" s="40"/>
      <c r="K343" s="40"/>
      <c r="L343" s="28" t="str">
        <f aca="false">IF(OR(G343="",J343="",J343=0),"",G343/J343)</f>
        <v/>
      </c>
      <c r="M343" s="80"/>
    </row>
    <row r="344" customFormat="false" ht="15" hidden="false" customHeight="false" outlineLevel="0" collapsed="false">
      <c r="A344" s="73"/>
      <c r="B344" s="10"/>
      <c r="C344" s="50"/>
      <c r="D344" s="50"/>
      <c r="E344" s="50"/>
      <c r="F344" s="50"/>
      <c r="G344" s="28" t="str">
        <f aca="false">IF(COUNT(C344:F344)=0,"",SUM(C344:F344))</f>
        <v/>
      </c>
      <c r="H344" s="50"/>
      <c r="I344" s="28" t="str">
        <f aca="false">IF(G344="","",G344-N(H344))</f>
        <v/>
      </c>
      <c r="J344" s="40"/>
      <c r="K344" s="40"/>
      <c r="L344" s="28" t="str">
        <f aca="false">IF(OR(G344="",J344="",J344=0),"",G344/J344)</f>
        <v/>
      </c>
      <c r="M344" s="80"/>
    </row>
    <row r="345" customFormat="false" ht="15" hidden="false" customHeight="false" outlineLevel="0" collapsed="false">
      <c r="A345" s="73"/>
      <c r="B345" s="10"/>
      <c r="C345" s="50"/>
      <c r="D345" s="50"/>
      <c r="E345" s="50"/>
      <c r="F345" s="50"/>
      <c r="G345" s="28" t="str">
        <f aca="false">IF(COUNT(C345:F345)=0,"",SUM(C345:F345))</f>
        <v/>
      </c>
      <c r="H345" s="50"/>
      <c r="I345" s="28" t="str">
        <f aca="false">IF(G345="","",G345-N(H345))</f>
        <v/>
      </c>
      <c r="J345" s="40"/>
      <c r="K345" s="40"/>
      <c r="L345" s="28" t="str">
        <f aca="false">IF(OR(G345="",J345="",J345=0),"",G345/J345)</f>
        <v/>
      </c>
      <c r="M345" s="80"/>
    </row>
    <row r="346" customFormat="false" ht="15" hidden="false" customHeight="false" outlineLevel="0" collapsed="false">
      <c r="A346" s="73"/>
      <c r="B346" s="10"/>
      <c r="C346" s="50"/>
      <c r="D346" s="50"/>
      <c r="E346" s="50"/>
      <c r="F346" s="50"/>
      <c r="G346" s="28" t="str">
        <f aca="false">IF(COUNT(C346:F346)=0,"",SUM(C346:F346))</f>
        <v/>
      </c>
      <c r="H346" s="50"/>
      <c r="I346" s="28" t="str">
        <f aca="false">IF(G346="","",G346-N(H346))</f>
        <v/>
      </c>
      <c r="J346" s="40"/>
      <c r="K346" s="40"/>
      <c r="L346" s="28" t="str">
        <f aca="false">IF(OR(G346="",J346="",J346=0),"",G346/J346)</f>
        <v/>
      </c>
      <c r="M346" s="80"/>
    </row>
    <row r="347" customFormat="false" ht="15" hidden="false" customHeight="false" outlineLevel="0" collapsed="false">
      <c r="A347" s="73"/>
      <c r="B347" s="10"/>
      <c r="C347" s="50"/>
      <c r="D347" s="50"/>
      <c r="E347" s="50"/>
      <c r="F347" s="50"/>
      <c r="G347" s="28" t="str">
        <f aca="false">IF(COUNT(C347:F347)=0,"",SUM(C347:F347))</f>
        <v/>
      </c>
      <c r="H347" s="50"/>
      <c r="I347" s="28" t="str">
        <f aca="false">IF(G347="","",G347-N(H347))</f>
        <v/>
      </c>
      <c r="J347" s="40"/>
      <c r="K347" s="40"/>
      <c r="L347" s="28" t="str">
        <f aca="false">IF(OR(G347="",J347="",J347=0),"",G347/J347)</f>
        <v/>
      </c>
      <c r="M347" s="80"/>
    </row>
    <row r="348" customFormat="false" ht="15" hidden="false" customHeight="false" outlineLevel="0" collapsed="false">
      <c r="A348" s="73"/>
      <c r="B348" s="10"/>
      <c r="C348" s="50"/>
      <c r="D348" s="50"/>
      <c r="E348" s="50"/>
      <c r="F348" s="50"/>
      <c r="G348" s="28" t="str">
        <f aca="false">IF(COUNT(C348:F348)=0,"",SUM(C348:F348))</f>
        <v/>
      </c>
      <c r="H348" s="50"/>
      <c r="I348" s="28" t="str">
        <f aca="false">IF(G348="","",G348-N(H348))</f>
        <v/>
      </c>
      <c r="J348" s="40"/>
      <c r="K348" s="40"/>
      <c r="L348" s="28" t="str">
        <f aca="false">IF(OR(G348="",J348="",J348=0),"",G348/J348)</f>
        <v/>
      </c>
      <c r="M348" s="80"/>
    </row>
    <row r="349" customFormat="false" ht="15" hidden="false" customHeight="false" outlineLevel="0" collapsed="false">
      <c r="A349" s="73"/>
      <c r="B349" s="10"/>
      <c r="C349" s="50"/>
      <c r="D349" s="50"/>
      <c r="E349" s="50"/>
      <c r="F349" s="50"/>
      <c r="G349" s="28" t="str">
        <f aca="false">IF(COUNT(C349:F349)=0,"",SUM(C349:F349))</f>
        <v/>
      </c>
      <c r="H349" s="50"/>
      <c r="I349" s="28" t="str">
        <f aca="false">IF(G349="","",G349-N(H349))</f>
        <v/>
      </c>
      <c r="J349" s="40"/>
      <c r="K349" s="40"/>
      <c r="L349" s="28" t="str">
        <f aca="false">IF(OR(G349="",J349="",J349=0),"",G349/J349)</f>
        <v/>
      </c>
      <c r="M349" s="80"/>
    </row>
    <row r="350" customFormat="false" ht="15" hidden="false" customHeight="false" outlineLevel="0" collapsed="false">
      <c r="A350" s="73"/>
      <c r="B350" s="10"/>
      <c r="C350" s="50"/>
      <c r="D350" s="50"/>
      <c r="E350" s="50"/>
      <c r="F350" s="50"/>
      <c r="G350" s="28" t="str">
        <f aca="false">IF(COUNT(C350:F350)=0,"",SUM(C350:F350))</f>
        <v/>
      </c>
      <c r="H350" s="50"/>
      <c r="I350" s="28" t="str">
        <f aca="false">IF(G350="","",G350-N(H350))</f>
        <v/>
      </c>
      <c r="J350" s="40"/>
      <c r="K350" s="40"/>
      <c r="L350" s="28" t="str">
        <f aca="false">IF(OR(G350="",J350="",J350=0),"",G350/J350)</f>
        <v/>
      </c>
      <c r="M350" s="80"/>
    </row>
    <row r="351" customFormat="false" ht="15" hidden="false" customHeight="false" outlineLevel="0" collapsed="false">
      <c r="A351" s="73"/>
      <c r="B351" s="10"/>
      <c r="C351" s="50"/>
      <c r="D351" s="50"/>
      <c r="E351" s="50"/>
      <c r="F351" s="50"/>
      <c r="G351" s="28" t="str">
        <f aca="false">IF(COUNT(C351:F351)=0,"",SUM(C351:F351))</f>
        <v/>
      </c>
      <c r="H351" s="50"/>
      <c r="I351" s="28" t="str">
        <f aca="false">IF(G351="","",G351-N(H351))</f>
        <v/>
      </c>
      <c r="J351" s="40"/>
      <c r="K351" s="40"/>
      <c r="L351" s="28" t="str">
        <f aca="false">IF(OR(G351="",J351="",J351=0),"",G351/J351)</f>
        <v/>
      </c>
      <c r="M351" s="80"/>
    </row>
    <row r="352" customFormat="false" ht="15" hidden="false" customHeight="false" outlineLevel="0" collapsed="false">
      <c r="A352" s="73"/>
      <c r="B352" s="10"/>
      <c r="C352" s="50"/>
      <c r="D352" s="50"/>
      <c r="E352" s="50"/>
      <c r="F352" s="50"/>
      <c r="G352" s="28" t="str">
        <f aca="false">IF(COUNT(C352:F352)=0,"",SUM(C352:F352))</f>
        <v/>
      </c>
      <c r="H352" s="50"/>
      <c r="I352" s="28" t="str">
        <f aca="false">IF(G352="","",G352-N(H352))</f>
        <v/>
      </c>
      <c r="J352" s="40"/>
      <c r="K352" s="40"/>
      <c r="L352" s="28" t="str">
        <f aca="false">IF(OR(G352="",J352="",J352=0),"",G352/J352)</f>
        <v/>
      </c>
      <c r="M352" s="80"/>
    </row>
    <row r="353" customFormat="false" ht="15" hidden="false" customHeight="false" outlineLevel="0" collapsed="false">
      <c r="A353" s="73"/>
      <c r="B353" s="10"/>
      <c r="C353" s="50"/>
      <c r="D353" s="50"/>
      <c r="E353" s="50"/>
      <c r="F353" s="50"/>
      <c r="G353" s="28" t="str">
        <f aca="false">IF(COUNT(C353:F353)=0,"",SUM(C353:F353))</f>
        <v/>
      </c>
      <c r="H353" s="50"/>
      <c r="I353" s="28" t="str">
        <f aca="false">IF(G353="","",G353-N(H353))</f>
        <v/>
      </c>
      <c r="J353" s="40"/>
      <c r="K353" s="40"/>
      <c r="L353" s="28" t="str">
        <f aca="false">IF(OR(G353="",J353="",J353=0),"",G353/J353)</f>
        <v/>
      </c>
      <c r="M353" s="80"/>
    </row>
    <row r="354" customFormat="false" ht="15" hidden="false" customHeight="false" outlineLevel="0" collapsed="false">
      <c r="A354" s="73"/>
      <c r="B354" s="10"/>
      <c r="C354" s="50"/>
      <c r="D354" s="50"/>
      <c r="E354" s="50"/>
      <c r="F354" s="50"/>
      <c r="G354" s="28" t="str">
        <f aca="false">IF(COUNT(C354:F354)=0,"",SUM(C354:F354))</f>
        <v/>
      </c>
      <c r="H354" s="50"/>
      <c r="I354" s="28" t="str">
        <f aca="false">IF(G354="","",G354-N(H354))</f>
        <v/>
      </c>
      <c r="J354" s="40"/>
      <c r="K354" s="40"/>
      <c r="L354" s="28" t="str">
        <f aca="false">IF(OR(G354="",J354="",J354=0),"",G354/J354)</f>
        <v/>
      </c>
      <c r="M354" s="80"/>
    </row>
    <row r="355" customFormat="false" ht="15" hidden="false" customHeight="false" outlineLevel="0" collapsed="false">
      <c r="A355" s="73"/>
      <c r="B355" s="10"/>
      <c r="C355" s="50"/>
      <c r="D355" s="50"/>
      <c r="E355" s="50"/>
      <c r="F355" s="50"/>
      <c r="G355" s="28" t="str">
        <f aca="false">IF(COUNT(C355:F355)=0,"",SUM(C355:F355))</f>
        <v/>
      </c>
      <c r="H355" s="50"/>
      <c r="I355" s="28" t="str">
        <f aca="false">IF(G355="","",G355-N(H355))</f>
        <v/>
      </c>
      <c r="J355" s="40"/>
      <c r="K355" s="40"/>
      <c r="L355" s="28" t="str">
        <f aca="false">IF(OR(G355="",J355="",J355=0),"",G355/J355)</f>
        <v/>
      </c>
      <c r="M355" s="80"/>
    </row>
    <row r="356" customFormat="false" ht="15" hidden="false" customHeight="false" outlineLevel="0" collapsed="false">
      <c r="A356" s="73"/>
      <c r="B356" s="10"/>
      <c r="C356" s="50"/>
      <c r="D356" s="50"/>
      <c r="E356" s="50"/>
      <c r="F356" s="50"/>
      <c r="G356" s="28" t="str">
        <f aca="false">IF(COUNT(C356:F356)=0,"",SUM(C356:F356))</f>
        <v/>
      </c>
      <c r="H356" s="50"/>
      <c r="I356" s="28" t="str">
        <f aca="false">IF(G356="","",G356-N(H356))</f>
        <v/>
      </c>
      <c r="J356" s="40"/>
      <c r="K356" s="40"/>
      <c r="L356" s="28" t="str">
        <f aca="false">IF(OR(G356="",J356="",J356=0),"",G356/J356)</f>
        <v/>
      </c>
      <c r="M356" s="80"/>
    </row>
    <row r="357" customFormat="false" ht="15" hidden="false" customHeight="false" outlineLevel="0" collapsed="false">
      <c r="A357" s="73"/>
      <c r="B357" s="10"/>
      <c r="C357" s="50"/>
      <c r="D357" s="50"/>
      <c r="E357" s="50"/>
      <c r="F357" s="50"/>
      <c r="G357" s="28" t="str">
        <f aca="false">IF(COUNT(C357:F357)=0,"",SUM(C357:F357))</f>
        <v/>
      </c>
      <c r="H357" s="50"/>
      <c r="I357" s="28" t="str">
        <f aca="false">IF(G357="","",G357-N(H357))</f>
        <v/>
      </c>
      <c r="J357" s="40"/>
      <c r="K357" s="40"/>
      <c r="L357" s="28" t="str">
        <f aca="false">IF(OR(G357="",J357="",J357=0),"",G357/J357)</f>
        <v/>
      </c>
      <c r="M357" s="80"/>
    </row>
    <row r="358" customFormat="false" ht="15" hidden="false" customHeight="false" outlineLevel="0" collapsed="false">
      <c r="A358" s="73"/>
      <c r="B358" s="10"/>
      <c r="C358" s="50"/>
      <c r="D358" s="50"/>
      <c r="E358" s="50"/>
      <c r="F358" s="50"/>
      <c r="G358" s="28" t="str">
        <f aca="false">IF(COUNT(C358:F358)=0,"",SUM(C358:F358))</f>
        <v/>
      </c>
      <c r="H358" s="50"/>
      <c r="I358" s="28" t="str">
        <f aca="false">IF(G358="","",G358-N(H358))</f>
        <v/>
      </c>
      <c r="J358" s="40"/>
      <c r="K358" s="40"/>
      <c r="L358" s="28" t="str">
        <f aca="false">IF(OR(G358="",J358="",J358=0),"",G358/J358)</f>
        <v/>
      </c>
      <c r="M358" s="80"/>
    </row>
    <row r="359" customFormat="false" ht="15" hidden="false" customHeight="false" outlineLevel="0" collapsed="false">
      <c r="A359" s="73"/>
      <c r="B359" s="10"/>
      <c r="C359" s="50"/>
      <c r="D359" s="50"/>
      <c r="E359" s="50"/>
      <c r="F359" s="50"/>
      <c r="G359" s="28" t="str">
        <f aca="false">IF(COUNT(C359:F359)=0,"",SUM(C359:F359))</f>
        <v/>
      </c>
      <c r="H359" s="50"/>
      <c r="I359" s="28" t="str">
        <f aca="false">IF(G359="","",G359-N(H359))</f>
        <v/>
      </c>
      <c r="J359" s="40"/>
      <c r="K359" s="40"/>
      <c r="L359" s="28" t="str">
        <f aca="false">IF(OR(G359="",J359="",J359=0),"",G359/J359)</f>
        <v/>
      </c>
      <c r="M359" s="80"/>
    </row>
    <row r="360" customFormat="false" ht="15" hidden="false" customHeight="false" outlineLevel="0" collapsed="false">
      <c r="A360" s="73"/>
      <c r="B360" s="10"/>
      <c r="C360" s="50"/>
      <c r="D360" s="50"/>
      <c r="E360" s="50"/>
      <c r="F360" s="50"/>
      <c r="G360" s="28" t="str">
        <f aca="false">IF(COUNT(C360:F360)=0,"",SUM(C360:F360))</f>
        <v/>
      </c>
      <c r="H360" s="50"/>
      <c r="I360" s="28" t="str">
        <f aca="false">IF(G360="","",G360-N(H360))</f>
        <v/>
      </c>
      <c r="J360" s="40"/>
      <c r="K360" s="40"/>
      <c r="L360" s="28" t="str">
        <f aca="false">IF(OR(G360="",J360="",J360=0),"",G360/J360)</f>
        <v/>
      </c>
      <c r="M360" s="80"/>
    </row>
    <row r="361" customFormat="false" ht="15" hidden="false" customHeight="false" outlineLevel="0" collapsed="false">
      <c r="A361" s="73"/>
      <c r="B361" s="10"/>
      <c r="C361" s="50"/>
      <c r="D361" s="50"/>
      <c r="E361" s="50"/>
      <c r="F361" s="50"/>
      <c r="G361" s="28" t="str">
        <f aca="false">IF(COUNT(C361:F361)=0,"",SUM(C361:F361))</f>
        <v/>
      </c>
      <c r="H361" s="50"/>
      <c r="I361" s="28" t="str">
        <f aca="false">IF(G361="","",G361-N(H361))</f>
        <v/>
      </c>
      <c r="J361" s="40"/>
      <c r="K361" s="40"/>
      <c r="L361" s="28" t="str">
        <f aca="false">IF(OR(G361="",J361="",J361=0),"",G361/J361)</f>
        <v/>
      </c>
      <c r="M361" s="80"/>
    </row>
    <row r="362" customFormat="false" ht="15" hidden="false" customHeight="false" outlineLevel="0" collapsed="false">
      <c r="A362" s="73"/>
      <c r="B362" s="10"/>
      <c r="C362" s="50"/>
      <c r="D362" s="50"/>
      <c r="E362" s="50"/>
      <c r="F362" s="50"/>
      <c r="G362" s="28" t="str">
        <f aca="false">IF(COUNT(C362:F362)=0,"",SUM(C362:F362))</f>
        <v/>
      </c>
      <c r="H362" s="50"/>
      <c r="I362" s="28" t="str">
        <f aca="false">IF(G362="","",G362-N(H362))</f>
        <v/>
      </c>
      <c r="J362" s="40"/>
      <c r="K362" s="40"/>
      <c r="L362" s="28" t="str">
        <f aca="false">IF(OR(G362="",J362="",J362=0),"",G362/J362)</f>
        <v/>
      </c>
      <c r="M362" s="80"/>
    </row>
    <row r="363" customFormat="false" ht="15" hidden="false" customHeight="false" outlineLevel="0" collapsed="false">
      <c r="A363" s="73"/>
      <c r="B363" s="10"/>
      <c r="C363" s="50"/>
      <c r="D363" s="50"/>
      <c r="E363" s="50"/>
      <c r="F363" s="50"/>
      <c r="G363" s="28" t="str">
        <f aca="false">IF(COUNT(C363:F363)=0,"",SUM(C363:F363))</f>
        <v/>
      </c>
      <c r="H363" s="50"/>
      <c r="I363" s="28" t="str">
        <f aca="false">IF(G363="","",G363-N(H363))</f>
        <v/>
      </c>
      <c r="J363" s="40"/>
      <c r="K363" s="40"/>
      <c r="L363" s="28" t="str">
        <f aca="false">IF(OR(G363="",J363="",J363=0),"",G363/J363)</f>
        <v/>
      </c>
      <c r="M363" s="80"/>
    </row>
    <row r="364" customFormat="false" ht="15" hidden="false" customHeight="false" outlineLevel="0" collapsed="false">
      <c r="A364" s="73"/>
      <c r="B364" s="10"/>
      <c r="C364" s="50"/>
      <c r="D364" s="50"/>
      <c r="E364" s="50"/>
      <c r="F364" s="50"/>
      <c r="G364" s="28" t="str">
        <f aca="false">IF(COUNT(C364:F364)=0,"",SUM(C364:F364))</f>
        <v/>
      </c>
      <c r="H364" s="50"/>
      <c r="I364" s="28" t="str">
        <f aca="false">IF(G364="","",G364-N(H364))</f>
        <v/>
      </c>
      <c r="J364" s="40"/>
      <c r="K364" s="40"/>
      <c r="L364" s="28" t="str">
        <f aca="false">IF(OR(G364="",J364="",J364=0),"",G364/J364)</f>
        <v/>
      </c>
      <c r="M364" s="80"/>
    </row>
    <row r="365" customFormat="false" ht="15" hidden="false" customHeight="false" outlineLevel="0" collapsed="false">
      <c r="A365" s="73"/>
      <c r="B365" s="10"/>
      <c r="C365" s="50"/>
      <c r="D365" s="50"/>
      <c r="E365" s="50"/>
      <c r="F365" s="50"/>
      <c r="G365" s="28" t="str">
        <f aca="false">IF(COUNT(C365:F365)=0,"",SUM(C365:F365))</f>
        <v/>
      </c>
      <c r="H365" s="50"/>
      <c r="I365" s="28" t="str">
        <f aca="false">IF(G365="","",G365-N(H365))</f>
        <v/>
      </c>
      <c r="J365" s="40"/>
      <c r="K365" s="40"/>
      <c r="L365" s="28" t="str">
        <f aca="false">IF(OR(G365="",J365="",J365=0),"",G365/J365)</f>
        <v/>
      </c>
      <c r="M365" s="80"/>
    </row>
    <row r="366" customFormat="false" ht="15" hidden="false" customHeight="false" outlineLevel="0" collapsed="false">
      <c r="A366" s="73"/>
      <c r="B366" s="10"/>
      <c r="C366" s="50"/>
      <c r="D366" s="50"/>
      <c r="E366" s="50"/>
      <c r="F366" s="50"/>
      <c r="G366" s="28" t="str">
        <f aca="false">IF(COUNT(C366:F366)=0,"",SUM(C366:F366))</f>
        <v/>
      </c>
      <c r="H366" s="50"/>
      <c r="I366" s="28" t="str">
        <f aca="false">IF(G366="","",G366-N(H366))</f>
        <v/>
      </c>
      <c r="J366" s="40"/>
      <c r="K366" s="40"/>
      <c r="L366" s="28" t="str">
        <f aca="false">IF(OR(G366="",J366="",J366=0),"",G366/J366)</f>
        <v/>
      </c>
      <c r="M366" s="80"/>
    </row>
    <row r="367" customFormat="false" ht="15" hidden="false" customHeight="false" outlineLevel="0" collapsed="false">
      <c r="A367" s="73"/>
      <c r="B367" s="10"/>
      <c r="C367" s="50"/>
      <c r="D367" s="50"/>
      <c r="E367" s="50"/>
      <c r="F367" s="50"/>
      <c r="G367" s="28" t="str">
        <f aca="false">IF(COUNT(C367:F367)=0,"",SUM(C367:F367))</f>
        <v/>
      </c>
      <c r="H367" s="50"/>
      <c r="I367" s="28" t="str">
        <f aca="false">IF(G367="","",G367-N(H367))</f>
        <v/>
      </c>
      <c r="J367" s="40"/>
      <c r="K367" s="40"/>
      <c r="L367" s="28" t="str">
        <f aca="false">IF(OR(G367="",J367="",J367=0),"",G367/J367)</f>
        <v/>
      </c>
      <c r="M367" s="80"/>
    </row>
    <row r="368" customFormat="false" ht="15" hidden="false" customHeight="false" outlineLevel="0" collapsed="false">
      <c r="A368" s="73"/>
      <c r="B368" s="10"/>
      <c r="C368" s="50"/>
      <c r="D368" s="50"/>
      <c r="E368" s="50"/>
      <c r="F368" s="50"/>
      <c r="G368" s="28" t="str">
        <f aca="false">IF(COUNT(C368:F368)=0,"",SUM(C368:F368))</f>
        <v/>
      </c>
      <c r="H368" s="50"/>
      <c r="I368" s="28" t="str">
        <f aca="false">IF(G368="","",G368-N(H368))</f>
        <v/>
      </c>
      <c r="J368" s="40"/>
      <c r="K368" s="40"/>
      <c r="L368" s="28" t="str">
        <f aca="false">IF(OR(G368="",J368="",J368=0),"",G368/J368)</f>
        <v/>
      </c>
      <c r="M368" s="80"/>
    </row>
    <row r="369" customFormat="false" ht="15" hidden="false" customHeight="false" outlineLevel="0" collapsed="false">
      <c r="A369" s="73"/>
      <c r="B369" s="10"/>
      <c r="C369" s="50"/>
      <c r="D369" s="50"/>
      <c r="E369" s="50"/>
      <c r="F369" s="50"/>
      <c r="G369" s="28" t="str">
        <f aca="false">IF(COUNT(C369:F369)=0,"",SUM(C369:F369))</f>
        <v/>
      </c>
      <c r="H369" s="50"/>
      <c r="I369" s="28" t="str">
        <f aca="false">IF(G369="","",G369-N(H369))</f>
        <v/>
      </c>
      <c r="J369" s="40"/>
      <c r="K369" s="40"/>
      <c r="L369" s="28" t="str">
        <f aca="false">IF(OR(G369="",J369="",J369=0),"",G369/J369)</f>
        <v/>
      </c>
      <c r="M369" s="80"/>
    </row>
    <row r="370" customFormat="false" ht="15" hidden="false" customHeight="false" outlineLevel="0" collapsed="false">
      <c r="A370" s="73"/>
      <c r="B370" s="10"/>
      <c r="C370" s="50"/>
      <c r="D370" s="50"/>
      <c r="E370" s="50"/>
      <c r="F370" s="50"/>
      <c r="G370" s="28" t="str">
        <f aca="false">IF(COUNT(C370:F370)=0,"",SUM(C370:F370))</f>
        <v/>
      </c>
      <c r="H370" s="50"/>
      <c r="I370" s="28" t="str">
        <f aca="false">IF(G370="","",G370-N(H370))</f>
        <v/>
      </c>
      <c r="J370" s="40"/>
      <c r="K370" s="40"/>
      <c r="L370" s="28" t="str">
        <f aca="false">IF(OR(G370="",J370="",J370=0),"",G370/J370)</f>
        <v/>
      </c>
      <c r="M370" s="80"/>
    </row>
    <row r="371" customFormat="false" ht="15" hidden="false" customHeight="false" outlineLevel="0" collapsed="false">
      <c r="A371" s="73"/>
      <c r="B371" s="10"/>
      <c r="C371" s="50"/>
      <c r="D371" s="50"/>
      <c r="E371" s="50"/>
      <c r="F371" s="50"/>
      <c r="G371" s="28" t="str">
        <f aca="false">IF(COUNT(C371:F371)=0,"",SUM(C371:F371))</f>
        <v/>
      </c>
      <c r="H371" s="50"/>
      <c r="I371" s="28" t="str">
        <f aca="false">IF(G371="","",G371-N(H371))</f>
        <v/>
      </c>
      <c r="J371" s="40"/>
      <c r="K371" s="40"/>
      <c r="L371" s="28" t="str">
        <f aca="false">IF(OR(G371="",J371="",J371=0),"",G371/J371)</f>
        <v/>
      </c>
      <c r="M371" s="80"/>
    </row>
    <row r="372" customFormat="false" ht="15" hidden="false" customHeight="false" outlineLevel="0" collapsed="false">
      <c r="A372" s="73"/>
      <c r="B372" s="10"/>
      <c r="C372" s="50"/>
      <c r="D372" s="50"/>
      <c r="E372" s="50"/>
      <c r="F372" s="50"/>
      <c r="G372" s="28" t="str">
        <f aca="false">IF(COUNT(C372:F372)=0,"",SUM(C372:F372))</f>
        <v/>
      </c>
      <c r="H372" s="50"/>
      <c r="I372" s="28" t="str">
        <f aca="false">IF(G372="","",G372-N(H372))</f>
        <v/>
      </c>
      <c r="J372" s="40"/>
      <c r="K372" s="40"/>
      <c r="L372" s="28" t="str">
        <f aca="false">IF(OR(G372="",J372="",J372=0),"",G372/J372)</f>
        <v/>
      </c>
      <c r="M372" s="80"/>
    </row>
    <row r="373" customFormat="false" ht="15" hidden="false" customHeight="false" outlineLevel="0" collapsed="false">
      <c r="A373" s="73"/>
      <c r="B373" s="10"/>
      <c r="C373" s="50"/>
      <c r="D373" s="50"/>
      <c r="E373" s="50"/>
      <c r="F373" s="50"/>
      <c r="G373" s="28" t="str">
        <f aca="false">IF(COUNT(C373:F373)=0,"",SUM(C373:F373))</f>
        <v/>
      </c>
      <c r="H373" s="50"/>
      <c r="I373" s="28" t="str">
        <f aca="false">IF(G373="","",G373-N(H373))</f>
        <v/>
      </c>
      <c r="J373" s="40"/>
      <c r="K373" s="40"/>
      <c r="L373" s="28" t="str">
        <f aca="false">IF(OR(G373="",J373="",J373=0),"",G373/J373)</f>
        <v/>
      </c>
      <c r="M373" s="80"/>
    </row>
    <row r="374" customFormat="false" ht="15" hidden="false" customHeight="false" outlineLevel="0" collapsed="false">
      <c r="A374" s="73"/>
      <c r="B374" s="10"/>
      <c r="C374" s="50"/>
      <c r="D374" s="50"/>
      <c r="E374" s="50"/>
      <c r="F374" s="50"/>
      <c r="G374" s="28" t="str">
        <f aca="false">IF(COUNT(C374:F374)=0,"",SUM(C374:F374))</f>
        <v/>
      </c>
      <c r="H374" s="50"/>
      <c r="I374" s="28" t="str">
        <f aca="false">IF(G374="","",G374-N(H374))</f>
        <v/>
      </c>
      <c r="J374" s="40"/>
      <c r="K374" s="40"/>
      <c r="L374" s="28" t="str">
        <f aca="false">IF(OR(G374="",J374="",J374=0),"",G374/J374)</f>
        <v/>
      </c>
      <c r="M374" s="80"/>
    </row>
    <row r="375" customFormat="false" ht="15" hidden="false" customHeight="false" outlineLevel="0" collapsed="false">
      <c r="A375" s="73"/>
      <c r="B375" s="10"/>
      <c r="C375" s="50"/>
      <c r="D375" s="50"/>
      <c r="E375" s="50"/>
      <c r="F375" s="50"/>
      <c r="G375" s="28" t="str">
        <f aca="false">IF(COUNT(C375:F375)=0,"",SUM(C375:F375))</f>
        <v/>
      </c>
      <c r="H375" s="50"/>
      <c r="I375" s="28" t="str">
        <f aca="false">IF(G375="","",G375-N(H375))</f>
        <v/>
      </c>
      <c r="J375" s="40"/>
      <c r="K375" s="40"/>
      <c r="L375" s="28" t="str">
        <f aca="false">IF(OR(G375="",J375="",J375=0),"",G375/J375)</f>
        <v/>
      </c>
      <c r="M375" s="80"/>
    </row>
    <row r="376" customFormat="false" ht="15" hidden="false" customHeight="false" outlineLevel="0" collapsed="false">
      <c r="A376" s="73"/>
      <c r="B376" s="10"/>
      <c r="C376" s="50"/>
      <c r="D376" s="50"/>
      <c r="E376" s="50"/>
      <c r="F376" s="50"/>
      <c r="G376" s="28" t="str">
        <f aca="false">IF(COUNT(C376:F376)=0,"",SUM(C376:F376))</f>
        <v/>
      </c>
      <c r="H376" s="50"/>
      <c r="I376" s="28" t="str">
        <f aca="false">IF(G376="","",G376-N(H376))</f>
        <v/>
      </c>
      <c r="J376" s="40"/>
      <c r="K376" s="40"/>
      <c r="L376" s="28" t="str">
        <f aca="false">IF(OR(G376="",J376="",J376=0),"",G376/J376)</f>
        <v/>
      </c>
      <c r="M376" s="80"/>
    </row>
    <row r="377" customFormat="false" ht="15" hidden="false" customHeight="false" outlineLevel="0" collapsed="false">
      <c r="A377" s="73"/>
      <c r="B377" s="10"/>
      <c r="C377" s="50"/>
      <c r="D377" s="50"/>
      <c r="E377" s="50"/>
      <c r="F377" s="50"/>
      <c r="G377" s="28" t="str">
        <f aca="false">IF(COUNT(C377:F377)=0,"",SUM(C377:F377))</f>
        <v/>
      </c>
      <c r="H377" s="50"/>
      <c r="I377" s="28" t="str">
        <f aca="false">IF(G377="","",G377-N(H377))</f>
        <v/>
      </c>
      <c r="J377" s="40"/>
      <c r="K377" s="40"/>
      <c r="L377" s="28" t="str">
        <f aca="false">IF(OR(G377="",J377="",J377=0),"",G377/J377)</f>
        <v/>
      </c>
      <c r="M377" s="80"/>
    </row>
    <row r="378" customFormat="false" ht="15" hidden="false" customHeight="false" outlineLevel="0" collapsed="false">
      <c r="A378" s="73"/>
      <c r="B378" s="10"/>
      <c r="C378" s="50"/>
      <c r="D378" s="50"/>
      <c r="E378" s="50"/>
      <c r="F378" s="50"/>
      <c r="G378" s="28" t="str">
        <f aca="false">IF(COUNT(C378:F378)=0,"",SUM(C378:F378))</f>
        <v/>
      </c>
      <c r="H378" s="50"/>
      <c r="I378" s="28" t="str">
        <f aca="false">IF(G378="","",G378-N(H378))</f>
        <v/>
      </c>
      <c r="J378" s="40"/>
      <c r="K378" s="40"/>
      <c r="L378" s="28" t="str">
        <f aca="false">IF(OR(G378="",J378="",J378=0),"",G378/J378)</f>
        <v/>
      </c>
      <c r="M378" s="80"/>
    </row>
    <row r="379" customFormat="false" ht="15" hidden="false" customHeight="false" outlineLevel="0" collapsed="false">
      <c r="A379" s="73"/>
      <c r="B379" s="10"/>
      <c r="C379" s="50"/>
      <c r="D379" s="50"/>
      <c r="E379" s="50"/>
      <c r="F379" s="50"/>
      <c r="G379" s="28" t="str">
        <f aca="false">IF(COUNT(C379:F379)=0,"",SUM(C379:F379))</f>
        <v/>
      </c>
      <c r="H379" s="50"/>
      <c r="I379" s="28" t="str">
        <f aca="false">IF(G379="","",G379-N(H379))</f>
        <v/>
      </c>
      <c r="J379" s="40"/>
      <c r="K379" s="40"/>
      <c r="L379" s="28" t="str">
        <f aca="false">IF(OR(G379="",J379="",J379=0),"",G379/J379)</f>
        <v/>
      </c>
      <c r="M379" s="80"/>
    </row>
    <row r="380" customFormat="false" ht="15" hidden="false" customHeight="false" outlineLevel="0" collapsed="false">
      <c r="A380" s="73"/>
      <c r="B380" s="10"/>
      <c r="C380" s="50"/>
      <c r="D380" s="50"/>
      <c r="E380" s="50"/>
      <c r="F380" s="50"/>
      <c r="G380" s="28" t="str">
        <f aca="false">IF(COUNT(C380:F380)=0,"",SUM(C380:F380))</f>
        <v/>
      </c>
      <c r="H380" s="50"/>
      <c r="I380" s="28" t="str">
        <f aca="false">IF(G380="","",G380-N(H380))</f>
        <v/>
      </c>
      <c r="J380" s="40"/>
      <c r="K380" s="40"/>
      <c r="L380" s="28" t="str">
        <f aca="false">IF(OR(G380="",J380="",J380=0),"",G380/J380)</f>
        <v/>
      </c>
      <c r="M380" s="80"/>
    </row>
    <row r="381" customFormat="false" ht="15" hidden="false" customHeight="false" outlineLevel="0" collapsed="false">
      <c r="A381" s="73"/>
      <c r="B381" s="10"/>
      <c r="C381" s="50"/>
      <c r="D381" s="50"/>
      <c r="E381" s="50"/>
      <c r="F381" s="50"/>
      <c r="G381" s="28" t="str">
        <f aca="false">IF(COUNT(C381:F381)=0,"",SUM(C381:F381))</f>
        <v/>
      </c>
      <c r="H381" s="50"/>
      <c r="I381" s="28" t="str">
        <f aca="false">IF(G381="","",G381-N(H381))</f>
        <v/>
      </c>
      <c r="J381" s="40"/>
      <c r="K381" s="40"/>
      <c r="L381" s="28" t="str">
        <f aca="false">IF(OR(G381="",J381="",J381=0),"",G381/J381)</f>
        <v/>
      </c>
      <c r="M381" s="80"/>
    </row>
    <row r="382" customFormat="false" ht="15" hidden="false" customHeight="false" outlineLevel="0" collapsed="false">
      <c r="A382" s="73"/>
      <c r="B382" s="10"/>
      <c r="C382" s="50"/>
      <c r="D382" s="50"/>
      <c r="E382" s="50"/>
      <c r="F382" s="50"/>
      <c r="G382" s="28" t="str">
        <f aca="false">IF(COUNT(C382:F382)=0,"",SUM(C382:F382))</f>
        <v/>
      </c>
      <c r="H382" s="50"/>
      <c r="I382" s="28" t="str">
        <f aca="false">IF(G382="","",G382-N(H382))</f>
        <v/>
      </c>
      <c r="J382" s="40"/>
      <c r="K382" s="40"/>
      <c r="L382" s="28" t="str">
        <f aca="false">IF(OR(G382="",J382="",J382=0),"",G382/J382)</f>
        <v/>
      </c>
      <c r="M382" s="80"/>
    </row>
    <row r="383" customFormat="false" ht="15" hidden="false" customHeight="false" outlineLevel="0" collapsed="false">
      <c r="A383" s="73"/>
      <c r="B383" s="10"/>
      <c r="C383" s="50"/>
      <c r="D383" s="50"/>
      <c r="E383" s="50"/>
      <c r="F383" s="50"/>
      <c r="G383" s="28" t="str">
        <f aca="false">IF(COUNT(C383:F383)=0,"",SUM(C383:F383))</f>
        <v/>
      </c>
      <c r="H383" s="50"/>
      <c r="I383" s="28" t="str">
        <f aca="false">IF(G383="","",G383-N(H383))</f>
        <v/>
      </c>
      <c r="J383" s="40"/>
      <c r="K383" s="40"/>
      <c r="L383" s="28" t="str">
        <f aca="false">IF(OR(G383="",J383="",J383=0),"",G383/J383)</f>
        <v/>
      </c>
      <c r="M383" s="80"/>
    </row>
    <row r="384" customFormat="false" ht="15" hidden="false" customHeight="false" outlineLevel="0" collapsed="false">
      <c r="A384" s="73"/>
      <c r="B384" s="10"/>
      <c r="C384" s="50"/>
      <c r="D384" s="50"/>
      <c r="E384" s="50"/>
      <c r="F384" s="50"/>
      <c r="G384" s="28" t="str">
        <f aca="false">IF(COUNT(C384:F384)=0,"",SUM(C384:F384))</f>
        <v/>
      </c>
      <c r="H384" s="50"/>
      <c r="I384" s="28" t="str">
        <f aca="false">IF(G384="","",G384-N(H384))</f>
        <v/>
      </c>
      <c r="J384" s="40"/>
      <c r="K384" s="40"/>
      <c r="L384" s="28" t="str">
        <f aca="false">IF(OR(G384="",J384="",J384=0),"",G384/J384)</f>
        <v/>
      </c>
      <c r="M384" s="80"/>
    </row>
    <row r="385" customFormat="false" ht="15" hidden="false" customHeight="false" outlineLevel="0" collapsed="false">
      <c r="A385" s="73"/>
      <c r="B385" s="10"/>
      <c r="C385" s="50"/>
      <c r="D385" s="50"/>
      <c r="E385" s="50"/>
      <c r="F385" s="50"/>
      <c r="G385" s="28" t="str">
        <f aca="false">IF(COUNT(C385:F385)=0,"",SUM(C385:F385))</f>
        <v/>
      </c>
      <c r="H385" s="50"/>
      <c r="I385" s="28" t="str">
        <f aca="false">IF(G385="","",G385-N(H385))</f>
        <v/>
      </c>
      <c r="J385" s="40"/>
      <c r="K385" s="40"/>
      <c r="L385" s="28" t="str">
        <f aca="false">IF(OR(G385="",J385="",J385=0),"",G385/J385)</f>
        <v/>
      </c>
      <c r="M385" s="80"/>
    </row>
    <row r="386" customFormat="false" ht="15" hidden="false" customHeight="false" outlineLevel="0" collapsed="false">
      <c r="A386" s="73"/>
      <c r="B386" s="10"/>
      <c r="C386" s="50"/>
      <c r="D386" s="50"/>
      <c r="E386" s="50"/>
      <c r="F386" s="50"/>
      <c r="G386" s="28" t="str">
        <f aca="false">IF(COUNT(C386:F386)=0,"",SUM(C386:F386))</f>
        <v/>
      </c>
      <c r="H386" s="50"/>
      <c r="I386" s="28" t="str">
        <f aca="false">IF(G386="","",G386-N(H386))</f>
        <v/>
      </c>
      <c r="J386" s="40"/>
      <c r="K386" s="40"/>
      <c r="L386" s="28" t="str">
        <f aca="false">IF(OR(G386="",J386="",J386=0),"",G386/J386)</f>
        <v/>
      </c>
      <c r="M386" s="80"/>
    </row>
    <row r="387" customFormat="false" ht="15" hidden="false" customHeight="false" outlineLevel="0" collapsed="false">
      <c r="A387" s="73"/>
      <c r="B387" s="10"/>
      <c r="C387" s="50"/>
      <c r="D387" s="50"/>
      <c r="E387" s="50"/>
      <c r="F387" s="50"/>
      <c r="G387" s="28" t="str">
        <f aca="false">IF(COUNT(C387:F387)=0,"",SUM(C387:F387))</f>
        <v/>
      </c>
      <c r="H387" s="50"/>
      <c r="I387" s="28" t="str">
        <f aca="false">IF(G387="","",G387-N(H387))</f>
        <v/>
      </c>
      <c r="J387" s="40"/>
      <c r="K387" s="40"/>
      <c r="L387" s="28" t="str">
        <f aca="false">IF(OR(G387="",J387="",J387=0),"",G387/J387)</f>
        <v/>
      </c>
      <c r="M387" s="80"/>
    </row>
    <row r="388" customFormat="false" ht="15" hidden="false" customHeight="false" outlineLevel="0" collapsed="false">
      <c r="A388" s="73"/>
      <c r="B388" s="10"/>
      <c r="C388" s="50"/>
      <c r="D388" s="50"/>
      <c r="E388" s="50"/>
      <c r="F388" s="50"/>
      <c r="G388" s="28" t="str">
        <f aca="false">IF(COUNT(C388:F388)=0,"",SUM(C388:F388))</f>
        <v/>
      </c>
      <c r="H388" s="50"/>
      <c r="I388" s="28" t="str">
        <f aca="false">IF(G388="","",G388-N(H388))</f>
        <v/>
      </c>
      <c r="J388" s="40"/>
      <c r="K388" s="40"/>
      <c r="L388" s="28" t="str">
        <f aca="false">IF(OR(G388="",J388="",J388=0),"",G388/J388)</f>
        <v/>
      </c>
      <c r="M388" s="80"/>
    </row>
    <row r="389" customFormat="false" ht="15" hidden="false" customHeight="false" outlineLevel="0" collapsed="false">
      <c r="A389" s="73"/>
      <c r="B389" s="10"/>
      <c r="C389" s="50"/>
      <c r="D389" s="50"/>
      <c r="E389" s="50"/>
      <c r="F389" s="50"/>
      <c r="G389" s="28" t="str">
        <f aca="false">IF(COUNT(C389:F389)=0,"",SUM(C389:F389))</f>
        <v/>
      </c>
      <c r="H389" s="50"/>
      <c r="I389" s="28" t="str">
        <f aca="false">IF(G389="","",G389-N(H389))</f>
        <v/>
      </c>
      <c r="J389" s="40"/>
      <c r="K389" s="40"/>
      <c r="L389" s="28" t="str">
        <f aca="false">IF(OR(G389="",J389="",J389=0),"",G389/J389)</f>
        <v/>
      </c>
      <c r="M389" s="80"/>
    </row>
    <row r="390" customFormat="false" ht="15" hidden="false" customHeight="false" outlineLevel="0" collapsed="false">
      <c r="A390" s="73"/>
      <c r="B390" s="10"/>
      <c r="C390" s="50"/>
      <c r="D390" s="50"/>
      <c r="E390" s="50"/>
      <c r="F390" s="50"/>
      <c r="G390" s="28" t="str">
        <f aca="false">IF(COUNT(C390:F390)=0,"",SUM(C390:F390))</f>
        <v/>
      </c>
      <c r="H390" s="50"/>
      <c r="I390" s="28" t="str">
        <f aca="false">IF(G390="","",G390-N(H390))</f>
        <v/>
      </c>
      <c r="J390" s="40"/>
      <c r="K390" s="40"/>
      <c r="L390" s="28" t="str">
        <f aca="false">IF(OR(G390="",J390="",J390=0),"",G390/J390)</f>
        <v/>
      </c>
      <c r="M390" s="80"/>
    </row>
    <row r="391" customFormat="false" ht="15" hidden="false" customHeight="false" outlineLevel="0" collapsed="false">
      <c r="A391" s="73"/>
      <c r="B391" s="10"/>
      <c r="C391" s="50"/>
      <c r="D391" s="50"/>
      <c r="E391" s="50"/>
      <c r="F391" s="50"/>
      <c r="G391" s="28" t="str">
        <f aca="false">IF(COUNT(C391:F391)=0,"",SUM(C391:F391))</f>
        <v/>
      </c>
      <c r="H391" s="50"/>
      <c r="I391" s="28" t="str">
        <f aca="false">IF(G391="","",G391-N(H391))</f>
        <v/>
      </c>
      <c r="J391" s="40"/>
      <c r="K391" s="40"/>
      <c r="L391" s="28" t="str">
        <f aca="false">IF(OR(G391="",J391="",J391=0),"",G391/J391)</f>
        <v/>
      </c>
      <c r="M391" s="80"/>
    </row>
    <row r="392" customFormat="false" ht="15" hidden="false" customHeight="false" outlineLevel="0" collapsed="false">
      <c r="A392" s="73"/>
      <c r="B392" s="10"/>
      <c r="C392" s="50"/>
      <c r="D392" s="50"/>
      <c r="E392" s="50"/>
      <c r="F392" s="50"/>
      <c r="G392" s="28" t="str">
        <f aca="false">IF(COUNT(C392:F392)=0,"",SUM(C392:F392))</f>
        <v/>
      </c>
      <c r="H392" s="50"/>
      <c r="I392" s="28" t="str">
        <f aca="false">IF(G392="","",G392-N(H392))</f>
        <v/>
      </c>
      <c r="J392" s="40"/>
      <c r="K392" s="40"/>
      <c r="L392" s="28" t="str">
        <f aca="false">IF(OR(G392="",J392="",J392=0),"",G392/J392)</f>
        <v/>
      </c>
      <c r="M392" s="80"/>
    </row>
    <row r="393" customFormat="false" ht="15" hidden="false" customHeight="false" outlineLevel="0" collapsed="false">
      <c r="A393" s="73"/>
      <c r="B393" s="10"/>
      <c r="C393" s="50"/>
      <c r="D393" s="50"/>
      <c r="E393" s="50"/>
      <c r="F393" s="50"/>
      <c r="G393" s="28" t="str">
        <f aca="false">IF(COUNT(C393:F393)=0,"",SUM(C393:F393))</f>
        <v/>
      </c>
      <c r="H393" s="50"/>
      <c r="I393" s="28" t="str">
        <f aca="false">IF(G393="","",G393-N(H393))</f>
        <v/>
      </c>
      <c r="J393" s="40"/>
      <c r="K393" s="40"/>
      <c r="L393" s="28" t="str">
        <f aca="false">IF(OR(G393="",J393="",J393=0),"",G393/J393)</f>
        <v/>
      </c>
      <c r="M393" s="80"/>
    </row>
    <row r="394" customFormat="false" ht="15" hidden="false" customHeight="false" outlineLevel="0" collapsed="false">
      <c r="A394" s="73"/>
      <c r="B394" s="10"/>
      <c r="C394" s="50"/>
      <c r="D394" s="50"/>
      <c r="E394" s="50"/>
      <c r="F394" s="50"/>
      <c r="G394" s="28" t="str">
        <f aca="false">IF(COUNT(C394:F394)=0,"",SUM(C394:F394))</f>
        <v/>
      </c>
      <c r="H394" s="50"/>
      <c r="I394" s="28" t="str">
        <f aca="false">IF(G394="","",G394-N(H394))</f>
        <v/>
      </c>
      <c r="J394" s="40"/>
      <c r="K394" s="40"/>
      <c r="L394" s="28" t="str">
        <f aca="false">IF(OR(G394="",J394="",J394=0),"",G394/J394)</f>
        <v/>
      </c>
      <c r="M394" s="80"/>
    </row>
    <row r="395" customFormat="false" ht="15" hidden="false" customHeight="false" outlineLevel="0" collapsed="false">
      <c r="A395" s="73"/>
      <c r="B395" s="10"/>
      <c r="C395" s="50"/>
      <c r="D395" s="50"/>
      <c r="E395" s="50"/>
      <c r="F395" s="50"/>
      <c r="G395" s="28" t="str">
        <f aca="false">IF(COUNT(C395:F395)=0,"",SUM(C395:F395))</f>
        <v/>
      </c>
      <c r="H395" s="50"/>
      <c r="I395" s="28" t="str">
        <f aca="false">IF(G395="","",G395-N(H395))</f>
        <v/>
      </c>
      <c r="J395" s="40"/>
      <c r="K395" s="40"/>
      <c r="L395" s="28" t="str">
        <f aca="false">IF(OR(G395="",J395="",J395=0),"",G395/J395)</f>
        <v/>
      </c>
      <c r="M395" s="80"/>
    </row>
    <row r="396" customFormat="false" ht="15" hidden="false" customHeight="false" outlineLevel="0" collapsed="false">
      <c r="A396" s="73"/>
      <c r="B396" s="10"/>
      <c r="C396" s="50"/>
      <c r="D396" s="50"/>
      <c r="E396" s="50"/>
      <c r="F396" s="50"/>
      <c r="G396" s="28" t="str">
        <f aca="false">IF(COUNT(C396:F396)=0,"",SUM(C396:F396))</f>
        <v/>
      </c>
      <c r="H396" s="50"/>
      <c r="I396" s="28" t="str">
        <f aca="false">IF(G396="","",G396-N(H396))</f>
        <v/>
      </c>
      <c r="J396" s="40"/>
      <c r="K396" s="40"/>
      <c r="L396" s="28" t="str">
        <f aca="false">IF(OR(G396="",J396="",J396=0),"",G396/J396)</f>
        <v/>
      </c>
      <c r="M396" s="80"/>
    </row>
    <row r="397" customFormat="false" ht="15" hidden="false" customHeight="false" outlineLevel="0" collapsed="false">
      <c r="A397" s="73"/>
      <c r="B397" s="10"/>
      <c r="C397" s="50"/>
      <c r="D397" s="50"/>
      <c r="E397" s="50"/>
      <c r="F397" s="50"/>
      <c r="G397" s="28" t="str">
        <f aca="false">IF(COUNT(C397:F397)=0,"",SUM(C397:F397))</f>
        <v/>
      </c>
      <c r="H397" s="50"/>
      <c r="I397" s="28" t="str">
        <f aca="false">IF(G397="","",G397-N(H397))</f>
        <v/>
      </c>
      <c r="J397" s="40"/>
      <c r="K397" s="40"/>
      <c r="L397" s="28" t="str">
        <f aca="false">IF(OR(G397="",J397="",J397=0),"",G397/J397)</f>
        <v/>
      </c>
      <c r="M397" s="80"/>
    </row>
    <row r="398" customFormat="false" ht="15" hidden="false" customHeight="false" outlineLevel="0" collapsed="false">
      <c r="A398" s="73"/>
      <c r="B398" s="10"/>
      <c r="C398" s="50"/>
      <c r="D398" s="50"/>
      <c r="E398" s="50"/>
      <c r="F398" s="50"/>
      <c r="G398" s="28" t="str">
        <f aca="false">IF(COUNT(C398:F398)=0,"",SUM(C398:F398))</f>
        <v/>
      </c>
      <c r="H398" s="50"/>
      <c r="I398" s="28" t="str">
        <f aca="false">IF(G398="","",G398-N(H398))</f>
        <v/>
      </c>
      <c r="J398" s="40"/>
      <c r="K398" s="40"/>
      <c r="L398" s="28" t="str">
        <f aca="false">IF(OR(G398="",J398="",J398=0),"",G398/J398)</f>
        <v/>
      </c>
      <c r="M398" s="80"/>
    </row>
    <row r="399" customFormat="false" ht="15" hidden="false" customHeight="false" outlineLevel="0" collapsed="false">
      <c r="A399" s="73"/>
      <c r="B399" s="10"/>
      <c r="C399" s="50"/>
      <c r="D399" s="50"/>
      <c r="E399" s="50"/>
      <c r="F399" s="50"/>
      <c r="G399" s="28" t="str">
        <f aca="false">IF(COUNT(C399:F399)=0,"",SUM(C399:F399))</f>
        <v/>
      </c>
      <c r="H399" s="50"/>
      <c r="I399" s="28" t="str">
        <f aca="false">IF(G399="","",G399-N(H399))</f>
        <v/>
      </c>
      <c r="J399" s="40"/>
      <c r="K399" s="40"/>
      <c r="L399" s="28" t="str">
        <f aca="false">IF(OR(G399="",J399="",J399=0),"",G399/J399)</f>
        <v/>
      </c>
      <c r="M399" s="80"/>
    </row>
    <row r="400" customFormat="false" ht="15" hidden="false" customHeight="false" outlineLevel="0" collapsed="false">
      <c r="A400" s="73"/>
      <c r="B400" s="10"/>
      <c r="C400" s="50"/>
      <c r="D400" s="50"/>
      <c r="E400" s="50"/>
      <c r="F400" s="50"/>
      <c r="G400" s="28" t="str">
        <f aca="false">IF(COUNT(C400:F400)=0,"",SUM(C400:F400))</f>
        <v/>
      </c>
      <c r="H400" s="50"/>
      <c r="I400" s="28" t="str">
        <f aca="false">IF(G400="","",G400-N(H400))</f>
        <v/>
      </c>
      <c r="J400" s="40"/>
      <c r="K400" s="40"/>
      <c r="L400" s="28" t="str">
        <f aca="false">IF(OR(G400="",J400="",J400=0),"",G400/J400)</f>
        <v/>
      </c>
      <c r="M400" s="80"/>
    </row>
    <row r="401" customFormat="false" ht="15" hidden="false" customHeight="false" outlineLevel="0" collapsed="false">
      <c r="A401" s="73"/>
      <c r="B401" s="10"/>
      <c r="C401" s="50"/>
      <c r="D401" s="50"/>
      <c r="E401" s="50"/>
      <c r="F401" s="50"/>
      <c r="G401" s="28" t="str">
        <f aca="false">IF(COUNT(C401:F401)=0,"",SUM(C401:F401))</f>
        <v/>
      </c>
      <c r="H401" s="50"/>
      <c r="I401" s="28" t="str">
        <f aca="false">IF(G401="","",G401-N(H401))</f>
        <v/>
      </c>
      <c r="J401" s="40"/>
      <c r="K401" s="40"/>
      <c r="L401" s="28" t="str">
        <f aca="false">IF(OR(G401="",J401="",J401=0),"",G401/J401)</f>
        <v/>
      </c>
      <c r="M401" s="80"/>
    </row>
    <row r="402" customFormat="false" ht="15" hidden="false" customHeight="false" outlineLevel="0" collapsed="false">
      <c r="A402" s="73"/>
      <c r="B402" s="10"/>
      <c r="C402" s="50"/>
      <c r="D402" s="50"/>
      <c r="E402" s="50"/>
      <c r="F402" s="50"/>
      <c r="G402" s="28" t="str">
        <f aca="false">IF(COUNT(C402:F402)=0,"",SUM(C402:F402))</f>
        <v/>
      </c>
      <c r="H402" s="50"/>
      <c r="I402" s="28" t="str">
        <f aca="false">IF(G402="","",G402-N(H402))</f>
        <v/>
      </c>
      <c r="J402" s="40"/>
      <c r="K402" s="40"/>
      <c r="L402" s="28" t="str">
        <f aca="false">IF(OR(G402="",J402="",J402=0),"",G402/J402)</f>
        <v/>
      </c>
      <c r="M402" s="80"/>
    </row>
    <row r="403" customFormat="false" ht="15" hidden="false" customHeight="false" outlineLevel="0" collapsed="false">
      <c r="A403" s="73"/>
      <c r="B403" s="10"/>
      <c r="C403" s="50"/>
      <c r="D403" s="50"/>
      <c r="E403" s="50"/>
      <c r="F403" s="50"/>
      <c r="G403" s="28" t="str">
        <f aca="false">IF(COUNT(C403:F403)=0,"",SUM(C403:F403))</f>
        <v/>
      </c>
      <c r="H403" s="50"/>
      <c r="I403" s="28" t="str">
        <f aca="false">IF(G403="","",G403-N(H403))</f>
        <v/>
      </c>
      <c r="J403" s="40"/>
      <c r="K403" s="40"/>
      <c r="L403" s="28" t="str">
        <f aca="false">IF(OR(G403="",J403="",J403=0),"",G403/J403)</f>
        <v/>
      </c>
      <c r="M403" s="80"/>
    </row>
  </sheetData>
  <autoFilter ref="A3:M403"/>
  <conditionalFormatting sqref="B4:B403">
    <cfRule type="expression" priority="2" aboveAverage="0" equalAverage="0" bottom="0" percent="0" rank="0" text="" dxfId="15">
      <formula>AND($A4&lt;&gt;"",$B4="")</formula>
    </cfRule>
  </conditionalFormatting>
  <dataValidations count="1">
    <dataValidation allowBlank="true" errorStyle="stop" operator="between" showDropDown="false" showErrorMessage="true" showInputMessage="false" sqref="B4:B403" type="list">
      <formula1>기본설정!$E$5:$E$10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17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8"/>
    <col collapsed="false" customWidth="true" hidden="false" outlineLevel="0" max="16" min="16" style="0" width="11"/>
  </cols>
  <sheetData>
    <row r="1" customFormat="false" ht="27.75" hidden="false" customHeight="true" outlineLevel="0" collapsed="false">
      <c r="A1" s="1" t="s">
        <v>688</v>
      </c>
    </row>
    <row r="2" customFormat="false" ht="15" hidden="false" customHeight="false" outlineLevel="0" collapsed="false">
      <c r="A2" s="2" t="s">
        <v>689</v>
      </c>
    </row>
    <row r="3" customFormat="false" ht="39.75" hidden="false" customHeight="true" outlineLevel="0" collapsed="false">
      <c r="A3" s="11" t="s">
        <v>681</v>
      </c>
      <c r="B3" s="11" t="s">
        <v>66</v>
      </c>
      <c r="C3" s="11" t="s">
        <v>690</v>
      </c>
      <c r="D3" s="11" t="s">
        <v>400</v>
      </c>
      <c r="E3" s="11" t="s">
        <v>72</v>
      </c>
      <c r="F3" s="11" t="s">
        <v>691</v>
      </c>
      <c r="G3" s="11" t="s">
        <v>612</v>
      </c>
      <c r="H3" s="11" t="s">
        <v>692</v>
      </c>
      <c r="I3" s="11" t="s">
        <v>693</v>
      </c>
      <c r="J3" s="11" t="s">
        <v>410</v>
      </c>
      <c r="K3" s="11" t="s">
        <v>694</v>
      </c>
      <c r="L3" s="11" t="s">
        <v>695</v>
      </c>
      <c r="M3" s="11" t="s">
        <v>78</v>
      </c>
      <c r="N3" s="11" t="s">
        <v>79</v>
      </c>
      <c r="O3" s="11" t="s">
        <v>686</v>
      </c>
      <c r="P3" s="11" t="s">
        <v>696</v>
      </c>
    </row>
    <row r="4" customFormat="false" ht="15" hidden="false" customHeight="false" outlineLevel="0" collapsed="false">
      <c r="A4" s="73" t="n">
        <v>46296</v>
      </c>
      <c r="B4" s="10" t="s">
        <v>89</v>
      </c>
      <c r="C4" s="80" t="s">
        <v>417</v>
      </c>
      <c r="D4" s="80" t="s">
        <v>415</v>
      </c>
      <c r="E4" s="81" t="str">
        <f aca="false">IF(D4="","",IFERROR(INDEX(식자재단가!$B$4:$B$203,MATCH(D4,식자재단가!$C$4:$C$203,0)),""))</f>
        <v>양고기</v>
      </c>
      <c r="F4" s="76" t="n">
        <v>20</v>
      </c>
      <c r="G4" s="59" t="str">
        <f aca="false">IF(D4="","",IFERROR(INDEX(식자재단가!$F$4:$F$203,MATCH(D4,식자재단가!$C$4:$C$203,0)),""))</f>
        <v>kg</v>
      </c>
      <c r="H4" s="50" t="n">
        <v>14000</v>
      </c>
      <c r="I4" s="82" t="n">
        <f aca="false">IF(OR(F4="",H4=""),"",F4*H4)</f>
        <v>280000</v>
      </c>
      <c r="J4" s="83" t="str">
        <f aca="false">IF(D4="","",IFERROR(INDEX(식자재단가!$M$4:$M$203,MATCH(D4,식자재단가!$C$4:$C$203,0)),"과세"))</f>
        <v>면세</v>
      </c>
      <c r="K4" s="28" t="n">
        <f aca="false">IF(I4="","",IF(J4="과세",ROUND(I4*0.1,0),0))</f>
        <v>0</v>
      </c>
      <c r="L4" s="28" t="n">
        <f aca="false">IF(I4="","",I4+K4)</f>
        <v>280000</v>
      </c>
      <c r="M4" s="10" t="s">
        <v>86</v>
      </c>
      <c r="N4" s="80" t="s">
        <v>697</v>
      </c>
      <c r="O4" s="80" t="s">
        <v>687</v>
      </c>
      <c r="P4" s="59" t="str">
        <f aca="false">IF(E4="","",IFERROR(INDEX(기본설정!$H$4:$H$14,MATCH(E4,기본설정!$G$4:$G$14,0)),""))</f>
        <v>식재료</v>
      </c>
    </row>
    <row r="5" customFormat="false" ht="15" hidden="false" customHeight="false" outlineLevel="0" collapsed="false">
      <c r="A5" s="73" t="n">
        <v>46296</v>
      </c>
      <c r="B5" s="10" t="s">
        <v>89</v>
      </c>
      <c r="C5" s="80" t="s">
        <v>425</v>
      </c>
      <c r="D5" s="80" t="s">
        <v>423</v>
      </c>
      <c r="E5" s="81" t="str">
        <f aca="false">IF(D5="","",IFERROR(INDEX(식자재단가!$B$4:$B$203,MATCH(D5,식자재단가!$C$4:$C$203,0)),""))</f>
        <v>양고기</v>
      </c>
      <c r="F5" s="76" t="n">
        <v>3</v>
      </c>
      <c r="G5" s="59" t="str">
        <f aca="false">IF(D5="","",IFERROR(INDEX(식자재단가!$F$4:$F$203,MATCH(D5,식자재단가!$C$4:$C$203,0)),""))</f>
        <v>박스</v>
      </c>
      <c r="H5" s="50" t="n">
        <v>45000</v>
      </c>
      <c r="I5" s="82" t="n">
        <f aca="false">IF(OR(F5="",H5=""),"",F5*H5)</f>
        <v>135000</v>
      </c>
      <c r="J5" s="83" t="str">
        <f aca="false">IF(D5="","",IFERROR(INDEX(식자재단가!$M$4:$M$203,MATCH(D5,식자재단가!$C$4:$C$203,0)),"과세"))</f>
        <v>면세</v>
      </c>
      <c r="K5" s="28" t="n">
        <f aca="false">IF(I5="","",IF(J5="과세",ROUND(I5*0.1,0),0))</f>
        <v>0</v>
      </c>
      <c r="L5" s="28" t="n">
        <f aca="false">IF(I5="","",I5+K5)</f>
        <v>135000</v>
      </c>
      <c r="M5" s="10" t="s">
        <v>94</v>
      </c>
      <c r="N5" s="80" t="s">
        <v>697</v>
      </c>
      <c r="O5" s="80" t="s">
        <v>687</v>
      </c>
      <c r="P5" s="59" t="str">
        <f aca="false">IF(E5="","",IFERROR(INDEX(기본설정!$H$4:$H$14,MATCH(E5,기본설정!$G$4:$G$14,0)),""))</f>
        <v>식재료</v>
      </c>
    </row>
    <row r="6" customFormat="false" ht="15" hidden="false" customHeight="false" outlineLevel="0" collapsed="false">
      <c r="A6" s="73" t="n">
        <v>46297</v>
      </c>
      <c r="B6" s="10" t="s">
        <v>89</v>
      </c>
      <c r="C6" s="80" t="s">
        <v>550</v>
      </c>
      <c r="D6" s="80" t="s">
        <v>548</v>
      </c>
      <c r="E6" s="81" t="str">
        <f aca="false">IF(D6="","",IFERROR(INDEX(식자재단가!$B$4:$B$203,MATCH(D6,식자재단가!$C$4:$C$203,0)),""))</f>
        <v>주류</v>
      </c>
      <c r="F6" s="76" t="n">
        <v>24</v>
      </c>
      <c r="G6" s="59" t="str">
        <f aca="false">IF(D6="","",IFERROR(INDEX(식자재단가!$F$4:$F$203,MATCH(D6,식자재단가!$C$4:$C$203,0)),""))</f>
        <v>병</v>
      </c>
      <c r="H6" s="50" t="n">
        <v>12000</v>
      </c>
      <c r="I6" s="82" t="n">
        <f aca="false">IF(OR(F6="",H6=""),"",F6*H6)</f>
        <v>288000</v>
      </c>
      <c r="J6" s="83" t="str">
        <f aca="false">IF(D6="","",IFERROR(INDEX(식자재단가!$M$4:$M$203,MATCH(D6,식자재단가!$C$4:$C$203,0)),"과세"))</f>
        <v>과세</v>
      </c>
      <c r="K6" s="28" t="n">
        <f aca="false">IF(I6="","",IF(J6="과세",ROUND(I6*0.1,0),0))</f>
        <v>28800</v>
      </c>
      <c r="L6" s="28" t="n">
        <f aca="false">IF(I6="","",I6+K6)</f>
        <v>316800</v>
      </c>
      <c r="M6" s="10" t="s">
        <v>94</v>
      </c>
      <c r="N6" s="80" t="s">
        <v>87</v>
      </c>
      <c r="O6" s="80" t="s">
        <v>687</v>
      </c>
      <c r="P6" s="59" t="str">
        <f aca="false">IF(E6="","",IFERROR(INDEX(기본설정!$H$4:$H$14,MATCH(E6,기본설정!$G$4:$G$14,0)),""))</f>
        <v>주류·음료</v>
      </c>
    </row>
    <row r="7" customFormat="false" ht="15" hidden="false" customHeight="false" outlineLevel="0" collapsed="false">
      <c r="A7" s="73"/>
      <c r="B7" s="10"/>
      <c r="C7" s="80"/>
      <c r="D7" s="80"/>
      <c r="E7" s="81" t="str">
        <f aca="false">IF(D7="","",IFERROR(INDEX(식자재단가!$B$4:$B$203,MATCH(D7,식자재단가!$C$4:$C$203,0)),""))</f>
        <v/>
      </c>
      <c r="F7" s="76"/>
      <c r="G7" s="59" t="str">
        <f aca="false">IF(D7="","",IFERROR(INDEX(식자재단가!$F$4:$F$203,MATCH(D7,식자재단가!$C$4:$C$203,0)),""))</f>
        <v/>
      </c>
      <c r="H7" s="50"/>
      <c r="I7" s="82" t="str">
        <f aca="false">IF(OR(F7="",H7=""),"",F7*H7)</f>
        <v/>
      </c>
      <c r="J7" s="83" t="str">
        <f aca="false">IF(D7="","",IFERROR(INDEX(식자재단가!$M$4:$M$203,MATCH(D7,식자재단가!$C$4:$C$203,0)),"과세"))</f>
        <v/>
      </c>
      <c r="K7" s="28" t="str">
        <f aca="false">IF(I7="","",IF(J7="과세",ROUND(I7*0.1,0),0))</f>
        <v/>
      </c>
      <c r="L7" s="28" t="str">
        <f aca="false">IF(I7="","",I7+K7)</f>
        <v/>
      </c>
      <c r="M7" s="10"/>
      <c r="N7" s="80"/>
      <c r="O7" s="80"/>
      <c r="P7" s="59" t="str">
        <f aca="false">IF(E7="","",IFERROR(INDEX(기본설정!$H$4:$H$14,MATCH(E7,기본설정!$G$4:$G$14,0)),""))</f>
        <v/>
      </c>
    </row>
    <row r="8" customFormat="false" ht="15" hidden="false" customHeight="false" outlineLevel="0" collapsed="false">
      <c r="A8" s="73"/>
      <c r="B8" s="10"/>
      <c r="C8" s="80"/>
      <c r="D8" s="80"/>
      <c r="E8" s="81" t="str">
        <f aca="false">IF(D8="","",IFERROR(INDEX(식자재단가!$B$4:$B$203,MATCH(D8,식자재단가!$C$4:$C$203,0)),""))</f>
        <v/>
      </c>
      <c r="F8" s="76"/>
      <c r="G8" s="59" t="str">
        <f aca="false">IF(D8="","",IFERROR(INDEX(식자재단가!$F$4:$F$203,MATCH(D8,식자재단가!$C$4:$C$203,0)),""))</f>
        <v/>
      </c>
      <c r="H8" s="50"/>
      <c r="I8" s="82" t="str">
        <f aca="false">IF(OR(F8="",H8=""),"",F8*H8)</f>
        <v/>
      </c>
      <c r="J8" s="83" t="str">
        <f aca="false">IF(D8="","",IFERROR(INDEX(식자재단가!$M$4:$M$203,MATCH(D8,식자재단가!$C$4:$C$203,0)),"과세"))</f>
        <v/>
      </c>
      <c r="K8" s="28" t="str">
        <f aca="false">IF(I8="","",IF(J8="과세",ROUND(I8*0.1,0),0))</f>
        <v/>
      </c>
      <c r="L8" s="28" t="str">
        <f aca="false">IF(I8="","",I8+K8)</f>
        <v/>
      </c>
      <c r="M8" s="10"/>
      <c r="N8" s="80"/>
      <c r="O8" s="80"/>
      <c r="P8" s="59" t="str">
        <f aca="false">IF(E8="","",IFERROR(INDEX(기본설정!$H$4:$H$14,MATCH(E8,기본설정!$G$4:$G$14,0)),""))</f>
        <v/>
      </c>
    </row>
    <row r="9" customFormat="false" ht="15" hidden="false" customHeight="false" outlineLevel="0" collapsed="false">
      <c r="A9" s="73"/>
      <c r="B9" s="10"/>
      <c r="C9" s="80"/>
      <c r="D9" s="80"/>
      <c r="E9" s="81" t="str">
        <f aca="false">IF(D9="","",IFERROR(INDEX(식자재단가!$B$4:$B$203,MATCH(D9,식자재단가!$C$4:$C$203,0)),""))</f>
        <v/>
      </c>
      <c r="F9" s="76"/>
      <c r="G9" s="59" t="str">
        <f aca="false">IF(D9="","",IFERROR(INDEX(식자재단가!$F$4:$F$203,MATCH(D9,식자재단가!$C$4:$C$203,0)),""))</f>
        <v/>
      </c>
      <c r="H9" s="50"/>
      <c r="I9" s="82" t="str">
        <f aca="false">IF(OR(F9="",H9=""),"",F9*H9)</f>
        <v/>
      </c>
      <c r="J9" s="83" t="str">
        <f aca="false">IF(D9="","",IFERROR(INDEX(식자재단가!$M$4:$M$203,MATCH(D9,식자재단가!$C$4:$C$203,0)),"과세"))</f>
        <v/>
      </c>
      <c r="K9" s="28" t="str">
        <f aca="false">IF(I9="","",IF(J9="과세",ROUND(I9*0.1,0),0))</f>
        <v/>
      </c>
      <c r="L9" s="28" t="str">
        <f aca="false">IF(I9="","",I9+K9)</f>
        <v/>
      </c>
      <c r="M9" s="10"/>
      <c r="N9" s="80"/>
      <c r="O9" s="80"/>
      <c r="P9" s="59" t="str">
        <f aca="false">IF(E9="","",IFERROR(INDEX(기본설정!$H$4:$H$14,MATCH(E9,기본설정!$G$4:$G$14,0)),""))</f>
        <v/>
      </c>
    </row>
    <row r="10" customFormat="false" ht="15" hidden="false" customHeight="false" outlineLevel="0" collapsed="false">
      <c r="A10" s="73"/>
      <c r="B10" s="10"/>
      <c r="C10" s="80"/>
      <c r="D10" s="80"/>
      <c r="E10" s="81" t="str">
        <f aca="false">IF(D10="","",IFERROR(INDEX(식자재단가!$B$4:$B$203,MATCH(D10,식자재단가!$C$4:$C$203,0)),""))</f>
        <v/>
      </c>
      <c r="F10" s="76"/>
      <c r="G10" s="59" t="str">
        <f aca="false">IF(D10="","",IFERROR(INDEX(식자재단가!$F$4:$F$203,MATCH(D10,식자재단가!$C$4:$C$203,0)),""))</f>
        <v/>
      </c>
      <c r="H10" s="50"/>
      <c r="I10" s="82" t="str">
        <f aca="false">IF(OR(F10="",H10=""),"",F10*H10)</f>
        <v/>
      </c>
      <c r="J10" s="83" t="str">
        <f aca="false">IF(D10="","",IFERROR(INDEX(식자재단가!$M$4:$M$203,MATCH(D10,식자재단가!$C$4:$C$203,0)),"과세"))</f>
        <v/>
      </c>
      <c r="K10" s="28" t="str">
        <f aca="false">IF(I10="","",IF(J10="과세",ROUND(I10*0.1,0),0))</f>
        <v/>
      </c>
      <c r="L10" s="28" t="str">
        <f aca="false">IF(I10="","",I10+K10)</f>
        <v/>
      </c>
      <c r="M10" s="10"/>
      <c r="N10" s="80"/>
      <c r="O10" s="80"/>
      <c r="P10" s="59" t="str">
        <f aca="false">IF(E10="","",IFERROR(INDEX(기본설정!$H$4:$H$14,MATCH(E10,기본설정!$G$4:$G$14,0)),""))</f>
        <v/>
      </c>
    </row>
    <row r="11" customFormat="false" ht="15" hidden="false" customHeight="false" outlineLevel="0" collapsed="false">
      <c r="A11" s="73"/>
      <c r="B11" s="10"/>
      <c r="C11" s="80"/>
      <c r="D11" s="80"/>
      <c r="E11" s="81" t="str">
        <f aca="false">IF(D11="","",IFERROR(INDEX(식자재단가!$B$4:$B$203,MATCH(D11,식자재단가!$C$4:$C$203,0)),""))</f>
        <v/>
      </c>
      <c r="F11" s="76"/>
      <c r="G11" s="59" t="str">
        <f aca="false">IF(D11="","",IFERROR(INDEX(식자재단가!$F$4:$F$203,MATCH(D11,식자재단가!$C$4:$C$203,0)),""))</f>
        <v/>
      </c>
      <c r="H11" s="50"/>
      <c r="I11" s="82" t="str">
        <f aca="false">IF(OR(F11="",H11=""),"",F11*H11)</f>
        <v/>
      </c>
      <c r="J11" s="83" t="str">
        <f aca="false">IF(D11="","",IFERROR(INDEX(식자재단가!$M$4:$M$203,MATCH(D11,식자재단가!$C$4:$C$203,0)),"과세"))</f>
        <v/>
      </c>
      <c r="K11" s="28" t="str">
        <f aca="false">IF(I11="","",IF(J11="과세",ROUND(I11*0.1,0),0))</f>
        <v/>
      </c>
      <c r="L11" s="28" t="str">
        <f aca="false">IF(I11="","",I11+K11)</f>
        <v/>
      </c>
      <c r="M11" s="10"/>
      <c r="N11" s="80"/>
      <c r="O11" s="80"/>
      <c r="P11" s="59" t="str">
        <f aca="false">IF(E11="","",IFERROR(INDEX(기본설정!$H$4:$H$14,MATCH(E11,기본설정!$G$4:$G$14,0)),""))</f>
        <v/>
      </c>
    </row>
    <row r="12" customFormat="false" ht="15" hidden="false" customHeight="false" outlineLevel="0" collapsed="false">
      <c r="A12" s="73"/>
      <c r="B12" s="10"/>
      <c r="C12" s="80"/>
      <c r="D12" s="80"/>
      <c r="E12" s="81" t="str">
        <f aca="false">IF(D12="","",IFERROR(INDEX(식자재단가!$B$4:$B$203,MATCH(D12,식자재단가!$C$4:$C$203,0)),""))</f>
        <v/>
      </c>
      <c r="F12" s="76"/>
      <c r="G12" s="59" t="str">
        <f aca="false">IF(D12="","",IFERROR(INDEX(식자재단가!$F$4:$F$203,MATCH(D12,식자재단가!$C$4:$C$203,0)),""))</f>
        <v/>
      </c>
      <c r="H12" s="50"/>
      <c r="I12" s="82" t="str">
        <f aca="false">IF(OR(F12="",H12=""),"",F12*H12)</f>
        <v/>
      </c>
      <c r="J12" s="83" t="str">
        <f aca="false">IF(D12="","",IFERROR(INDEX(식자재단가!$M$4:$M$203,MATCH(D12,식자재단가!$C$4:$C$203,0)),"과세"))</f>
        <v/>
      </c>
      <c r="K12" s="28" t="str">
        <f aca="false">IF(I12="","",IF(J12="과세",ROUND(I12*0.1,0),0))</f>
        <v/>
      </c>
      <c r="L12" s="28" t="str">
        <f aca="false">IF(I12="","",I12+K12)</f>
        <v/>
      </c>
      <c r="M12" s="10"/>
      <c r="N12" s="80"/>
      <c r="O12" s="80"/>
      <c r="P12" s="59" t="str">
        <f aca="false">IF(E12="","",IFERROR(INDEX(기본설정!$H$4:$H$14,MATCH(E12,기본설정!$G$4:$G$14,0)),""))</f>
        <v/>
      </c>
    </row>
    <row r="13" customFormat="false" ht="15" hidden="false" customHeight="false" outlineLevel="0" collapsed="false">
      <c r="A13" s="73"/>
      <c r="B13" s="10"/>
      <c r="C13" s="80"/>
      <c r="D13" s="80"/>
      <c r="E13" s="81" t="str">
        <f aca="false">IF(D13="","",IFERROR(INDEX(식자재단가!$B$4:$B$203,MATCH(D13,식자재단가!$C$4:$C$203,0)),""))</f>
        <v/>
      </c>
      <c r="F13" s="76"/>
      <c r="G13" s="59" t="str">
        <f aca="false">IF(D13="","",IFERROR(INDEX(식자재단가!$F$4:$F$203,MATCH(D13,식자재단가!$C$4:$C$203,0)),""))</f>
        <v/>
      </c>
      <c r="H13" s="50"/>
      <c r="I13" s="82" t="str">
        <f aca="false">IF(OR(F13="",H13=""),"",F13*H13)</f>
        <v/>
      </c>
      <c r="J13" s="83" t="str">
        <f aca="false">IF(D13="","",IFERROR(INDEX(식자재단가!$M$4:$M$203,MATCH(D13,식자재단가!$C$4:$C$203,0)),"과세"))</f>
        <v/>
      </c>
      <c r="K13" s="28" t="str">
        <f aca="false">IF(I13="","",IF(J13="과세",ROUND(I13*0.1,0),0))</f>
        <v/>
      </c>
      <c r="L13" s="28" t="str">
        <f aca="false">IF(I13="","",I13+K13)</f>
        <v/>
      </c>
      <c r="M13" s="10"/>
      <c r="N13" s="80"/>
      <c r="O13" s="80"/>
      <c r="P13" s="59" t="str">
        <f aca="false">IF(E13="","",IFERROR(INDEX(기본설정!$H$4:$H$14,MATCH(E13,기본설정!$G$4:$G$14,0)),""))</f>
        <v/>
      </c>
    </row>
    <row r="14" customFormat="false" ht="15" hidden="false" customHeight="false" outlineLevel="0" collapsed="false">
      <c r="A14" s="73"/>
      <c r="B14" s="10"/>
      <c r="C14" s="80"/>
      <c r="D14" s="80"/>
      <c r="E14" s="81" t="str">
        <f aca="false">IF(D14="","",IFERROR(INDEX(식자재단가!$B$4:$B$203,MATCH(D14,식자재단가!$C$4:$C$203,0)),""))</f>
        <v/>
      </c>
      <c r="F14" s="76"/>
      <c r="G14" s="59" t="str">
        <f aca="false">IF(D14="","",IFERROR(INDEX(식자재단가!$F$4:$F$203,MATCH(D14,식자재단가!$C$4:$C$203,0)),""))</f>
        <v/>
      </c>
      <c r="H14" s="50"/>
      <c r="I14" s="82" t="str">
        <f aca="false">IF(OR(F14="",H14=""),"",F14*H14)</f>
        <v/>
      </c>
      <c r="J14" s="83" t="str">
        <f aca="false">IF(D14="","",IFERROR(INDEX(식자재단가!$M$4:$M$203,MATCH(D14,식자재단가!$C$4:$C$203,0)),"과세"))</f>
        <v/>
      </c>
      <c r="K14" s="28" t="str">
        <f aca="false">IF(I14="","",IF(J14="과세",ROUND(I14*0.1,0),0))</f>
        <v/>
      </c>
      <c r="L14" s="28" t="str">
        <f aca="false">IF(I14="","",I14+K14)</f>
        <v/>
      </c>
      <c r="M14" s="10"/>
      <c r="N14" s="80"/>
      <c r="O14" s="80"/>
      <c r="P14" s="59" t="str">
        <f aca="false">IF(E14="","",IFERROR(INDEX(기본설정!$H$4:$H$14,MATCH(E14,기본설정!$G$4:$G$14,0)),""))</f>
        <v/>
      </c>
    </row>
    <row r="15" customFormat="false" ht="15" hidden="false" customHeight="false" outlineLevel="0" collapsed="false">
      <c r="A15" s="73"/>
      <c r="B15" s="10"/>
      <c r="C15" s="80"/>
      <c r="D15" s="80"/>
      <c r="E15" s="81" t="str">
        <f aca="false">IF(D15="","",IFERROR(INDEX(식자재단가!$B$4:$B$203,MATCH(D15,식자재단가!$C$4:$C$203,0)),""))</f>
        <v/>
      </c>
      <c r="F15" s="76"/>
      <c r="G15" s="59" t="str">
        <f aca="false">IF(D15="","",IFERROR(INDEX(식자재단가!$F$4:$F$203,MATCH(D15,식자재단가!$C$4:$C$203,0)),""))</f>
        <v/>
      </c>
      <c r="H15" s="50"/>
      <c r="I15" s="82" t="str">
        <f aca="false">IF(OR(F15="",H15=""),"",F15*H15)</f>
        <v/>
      </c>
      <c r="J15" s="83" t="str">
        <f aca="false">IF(D15="","",IFERROR(INDEX(식자재단가!$M$4:$M$203,MATCH(D15,식자재단가!$C$4:$C$203,0)),"과세"))</f>
        <v/>
      </c>
      <c r="K15" s="28" t="str">
        <f aca="false">IF(I15="","",IF(J15="과세",ROUND(I15*0.1,0),0))</f>
        <v/>
      </c>
      <c r="L15" s="28" t="str">
        <f aca="false">IF(I15="","",I15+K15)</f>
        <v/>
      </c>
      <c r="M15" s="10"/>
      <c r="N15" s="80"/>
      <c r="O15" s="80"/>
      <c r="P15" s="59" t="str">
        <f aca="false">IF(E15="","",IFERROR(INDEX(기본설정!$H$4:$H$14,MATCH(E15,기본설정!$G$4:$G$14,0)),""))</f>
        <v/>
      </c>
    </row>
    <row r="16" customFormat="false" ht="15" hidden="false" customHeight="false" outlineLevel="0" collapsed="false">
      <c r="A16" s="73"/>
      <c r="B16" s="10"/>
      <c r="C16" s="80"/>
      <c r="D16" s="80"/>
      <c r="E16" s="81" t="str">
        <f aca="false">IF(D16="","",IFERROR(INDEX(식자재단가!$B$4:$B$203,MATCH(D16,식자재단가!$C$4:$C$203,0)),""))</f>
        <v/>
      </c>
      <c r="F16" s="76"/>
      <c r="G16" s="59" t="str">
        <f aca="false">IF(D16="","",IFERROR(INDEX(식자재단가!$F$4:$F$203,MATCH(D16,식자재단가!$C$4:$C$203,0)),""))</f>
        <v/>
      </c>
      <c r="H16" s="50"/>
      <c r="I16" s="82" t="str">
        <f aca="false">IF(OR(F16="",H16=""),"",F16*H16)</f>
        <v/>
      </c>
      <c r="J16" s="83" t="str">
        <f aca="false">IF(D16="","",IFERROR(INDEX(식자재단가!$M$4:$M$203,MATCH(D16,식자재단가!$C$4:$C$203,0)),"과세"))</f>
        <v/>
      </c>
      <c r="K16" s="28" t="str">
        <f aca="false">IF(I16="","",IF(J16="과세",ROUND(I16*0.1,0),0))</f>
        <v/>
      </c>
      <c r="L16" s="28" t="str">
        <f aca="false">IF(I16="","",I16+K16)</f>
        <v/>
      </c>
      <c r="M16" s="10"/>
      <c r="N16" s="80"/>
      <c r="O16" s="80"/>
      <c r="P16" s="59" t="str">
        <f aca="false">IF(E16="","",IFERROR(INDEX(기본설정!$H$4:$H$14,MATCH(E16,기본설정!$G$4:$G$14,0)),""))</f>
        <v/>
      </c>
    </row>
    <row r="17" customFormat="false" ht="15" hidden="false" customHeight="false" outlineLevel="0" collapsed="false">
      <c r="A17" s="73"/>
      <c r="B17" s="10"/>
      <c r="C17" s="80"/>
      <c r="D17" s="80"/>
      <c r="E17" s="81" t="str">
        <f aca="false">IF(D17="","",IFERROR(INDEX(식자재단가!$B$4:$B$203,MATCH(D17,식자재단가!$C$4:$C$203,0)),""))</f>
        <v/>
      </c>
      <c r="F17" s="76"/>
      <c r="G17" s="59" t="str">
        <f aca="false">IF(D17="","",IFERROR(INDEX(식자재단가!$F$4:$F$203,MATCH(D17,식자재단가!$C$4:$C$203,0)),""))</f>
        <v/>
      </c>
      <c r="H17" s="50"/>
      <c r="I17" s="82" t="str">
        <f aca="false">IF(OR(F17="",H17=""),"",F17*H17)</f>
        <v/>
      </c>
      <c r="J17" s="83" t="str">
        <f aca="false">IF(D17="","",IFERROR(INDEX(식자재단가!$M$4:$M$203,MATCH(D17,식자재단가!$C$4:$C$203,0)),"과세"))</f>
        <v/>
      </c>
      <c r="K17" s="28" t="str">
        <f aca="false">IF(I17="","",IF(J17="과세",ROUND(I17*0.1,0),0))</f>
        <v/>
      </c>
      <c r="L17" s="28" t="str">
        <f aca="false">IF(I17="","",I17+K17)</f>
        <v/>
      </c>
      <c r="M17" s="10"/>
      <c r="N17" s="80"/>
      <c r="O17" s="80"/>
      <c r="P17" s="59" t="str">
        <f aca="false">IF(E17="","",IFERROR(INDEX(기본설정!$H$4:$H$14,MATCH(E17,기본설정!$G$4:$G$14,0)),""))</f>
        <v/>
      </c>
    </row>
    <row r="18" customFormat="false" ht="15" hidden="false" customHeight="false" outlineLevel="0" collapsed="false">
      <c r="A18" s="73"/>
      <c r="B18" s="10"/>
      <c r="C18" s="80"/>
      <c r="D18" s="80"/>
      <c r="E18" s="81" t="str">
        <f aca="false">IF(D18="","",IFERROR(INDEX(식자재단가!$B$4:$B$203,MATCH(D18,식자재단가!$C$4:$C$203,0)),""))</f>
        <v/>
      </c>
      <c r="F18" s="76"/>
      <c r="G18" s="59" t="str">
        <f aca="false">IF(D18="","",IFERROR(INDEX(식자재단가!$F$4:$F$203,MATCH(D18,식자재단가!$C$4:$C$203,0)),""))</f>
        <v/>
      </c>
      <c r="H18" s="50"/>
      <c r="I18" s="82" t="str">
        <f aca="false">IF(OR(F18="",H18=""),"",F18*H18)</f>
        <v/>
      </c>
      <c r="J18" s="83" t="str">
        <f aca="false">IF(D18="","",IFERROR(INDEX(식자재단가!$M$4:$M$203,MATCH(D18,식자재단가!$C$4:$C$203,0)),"과세"))</f>
        <v/>
      </c>
      <c r="K18" s="28" t="str">
        <f aca="false">IF(I18="","",IF(J18="과세",ROUND(I18*0.1,0),0))</f>
        <v/>
      </c>
      <c r="L18" s="28" t="str">
        <f aca="false">IF(I18="","",I18+K18)</f>
        <v/>
      </c>
      <c r="M18" s="10"/>
      <c r="N18" s="80"/>
      <c r="O18" s="80"/>
      <c r="P18" s="59" t="str">
        <f aca="false">IF(E18="","",IFERROR(INDEX(기본설정!$H$4:$H$14,MATCH(E18,기본설정!$G$4:$G$14,0)),""))</f>
        <v/>
      </c>
    </row>
    <row r="19" customFormat="false" ht="15" hidden="false" customHeight="false" outlineLevel="0" collapsed="false">
      <c r="A19" s="73"/>
      <c r="B19" s="10"/>
      <c r="C19" s="80"/>
      <c r="D19" s="80"/>
      <c r="E19" s="81" t="str">
        <f aca="false">IF(D19="","",IFERROR(INDEX(식자재단가!$B$4:$B$203,MATCH(D19,식자재단가!$C$4:$C$203,0)),""))</f>
        <v/>
      </c>
      <c r="F19" s="76"/>
      <c r="G19" s="59" t="str">
        <f aca="false">IF(D19="","",IFERROR(INDEX(식자재단가!$F$4:$F$203,MATCH(D19,식자재단가!$C$4:$C$203,0)),""))</f>
        <v/>
      </c>
      <c r="H19" s="50"/>
      <c r="I19" s="82" t="str">
        <f aca="false">IF(OR(F19="",H19=""),"",F19*H19)</f>
        <v/>
      </c>
      <c r="J19" s="83" t="str">
        <f aca="false">IF(D19="","",IFERROR(INDEX(식자재단가!$M$4:$M$203,MATCH(D19,식자재단가!$C$4:$C$203,0)),"과세"))</f>
        <v/>
      </c>
      <c r="K19" s="28" t="str">
        <f aca="false">IF(I19="","",IF(J19="과세",ROUND(I19*0.1,0),0))</f>
        <v/>
      </c>
      <c r="L19" s="28" t="str">
        <f aca="false">IF(I19="","",I19+K19)</f>
        <v/>
      </c>
      <c r="M19" s="10"/>
      <c r="N19" s="80"/>
      <c r="O19" s="80"/>
      <c r="P19" s="59" t="str">
        <f aca="false">IF(E19="","",IFERROR(INDEX(기본설정!$H$4:$H$14,MATCH(E19,기본설정!$G$4:$G$14,0)),""))</f>
        <v/>
      </c>
    </row>
    <row r="20" customFormat="false" ht="15" hidden="false" customHeight="false" outlineLevel="0" collapsed="false">
      <c r="A20" s="73"/>
      <c r="B20" s="10"/>
      <c r="C20" s="80"/>
      <c r="D20" s="80"/>
      <c r="E20" s="81" t="str">
        <f aca="false">IF(D20="","",IFERROR(INDEX(식자재단가!$B$4:$B$203,MATCH(D20,식자재단가!$C$4:$C$203,0)),""))</f>
        <v/>
      </c>
      <c r="F20" s="76"/>
      <c r="G20" s="59" t="str">
        <f aca="false">IF(D20="","",IFERROR(INDEX(식자재단가!$F$4:$F$203,MATCH(D20,식자재단가!$C$4:$C$203,0)),""))</f>
        <v/>
      </c>
      <c r="H20" s="50"/>
      <c r="I20" s="82" t="str">
        <f aca="false">IF(OR(F20="",H20=""),"",F20*H20)</f>
        <v/>
      </c>
      <c r="J20" s="83" t="str">
        <f aca="false">IF(D20="","",IFERROR(INDEX(식자재단가!$M$4:$M$203,MATCH(D20,식자재단가!$C$4:$C$203,0)),"과세"))</f>
        <v/>
      </c>
      <c r="K20" s="28" t="str">
        <f aca="false">IF(I20="","",IF(J20="과세",ROUND(I20*0.1,0),0))</f>
        <v/>
      </c>
      <c r="L20" s="28" t="str">
        <f aca="false">IF(I20="","",I20+K20)</f>
        <v/>
      </c>
      <c r="M20" s="10"/>
      <c r="N20" s="80"/>
      <c r="O20" s="80"/>
      <c r="P20" s="59" t="str">
        <f aca="false">IF(E20="","",IFERROR(INDEX(기본설정!$H$4:$H$14,MATCH(E20,기본설정!$G$4:$G$14,0)),""))</f>
        <v/>
      </c>
    </row>
    <row r="21" customFormat="false" ht="15" hidden="false" customHeight="false" outlineLevel="0" collapsed="false">
      <c r="A21" s="73"/>
      <c r="B21" s="10"/>
      <c r="C21" s="80"/>
      <c r="D21" s="80"/>
      <c r="E21" s="81" t="str">
        <f aca="false">IF(D21="","",IFERROR(INDEX(식자재단가!$B$4:$B$203,MATCH(D21,식자재단가!$C$4:$C$203,0)),""))</f>
        <v/>
      </c>
      <c r="F21" s="76"/>
      <c r="G21" s="59" t="str">
        <f aca="false">IF(D21="","",IFERROR(INDEX(식자재단가!$F$4:$F$203,MATCH(D21,식자재단가!$C$4:$C$203,0)),""))</f>
        <v/>
      </c>
      <c r="H21" s="50"/>
      <c r="I21" s="82" t="str">
        <f aca="false">IF(OR(F21="",H21=""),"",F21*H21)</f>
        <v/>
      </c>
      <c r="J21" s="83" t="str">
        <f aca="false">IF(D21="","",IFERROR(INDEX(식자재단가!$M$4:$M$203,MATCH(D21,식자재단가!$C$4:$C$203,0)),"과세"))</f>
        <v/>
      </c>
      <c r="K21" s="28" t="str">
        <f aca="false">IF(I21="","",IF(J21="과세",ROUND(I21*0.1,0),0))</f>
        <v/>
      </c>
      <c r="L21" s="28" t="str">
        <f aca="false">IF(I21="","",I21+K21)</f>
        <v/>
      </c>
      <c r="M21" s="10"/>
      <c r="N21" s="80"/>
      <c r="O21" s="80"/>
      <c r="P21" s="59" t="str">
        <f aca="false">IF(E21="","",IFERROR(INDEX(기본설정!$H$4:$H$14,MATCH(E21,기본설정!$G$4:$G$14,0)),""))</f>
        <v/>
      </c>
    </row>
    <row r="22" customFormat="false" ht="15" hidden="false" customHeight="false" outlineLevel="0" collapsed="false">
      <c r="A22" s="73"/>
      <c r="B22" s="10"/>
      <c r="C22" s="80"/>
      <c r="D22" s="80"/>
      <c r="E22" s="81" t="str">
        <f aca="false">IF(D22="","",IFERROR(INDEX(식자재단가!$B$4:$B$203,MATCH(D22,식자재단가!$C$4:$C$203,0)),""))</f>
        <v/>
      </c>
      <c r="F22" s="76"/>
      <c r="G22" s="59" t="str">
        <f aca="false">IF(D22="","",IFERROR(INDEX(식자재단가!$F$4:$F$203,MATCH(D22,식자재단가!$C$4:$C$203,0)),""))</f>
        <v/>
      </c>
      <c r="H22" s="50"/>
      <c r="I22" s="82" t="str">
        <f aca="false">IF(OR(F22="",H22=""),"",F22*H22)</f>
        <v/>
      </c>
      <c r="J22" s="83" t="str">
        <f aca="false">IF(D22="","",IFERROR(INDEX(식자재단가!$M$4:$M$203,MATCH(D22,식자재단가!$C$4:$C$203,0)),"과세"))</f>
        <v/>
      </c>
      <c r="K22" s="28" t="str">
        <f aca="false">IF(I22="","",IF(J22="과세",ROUND(I22*0.1,0),0))</f>
        <v/>
      </c>
      <c r="L22" s="28" t="str">
        <f aca="false">IF(I22="","",I22+K22)</f>
        <v/>
      </c>
      <c r="M22" s="10"/>
      <c r="N22" s="80"/>
      <c r="O22" s="80"/>
      <c r="P22" s="59" t="str">
        <f aca="false">IF(E22="","",IFERROR(INDEX(기본설정!$H$4:$H$14,MATCH(E22,기본설정!$G$4:$G$14,0)),""))</f>
        <v/>
      </c>
    </row>
    <row r="23" customFormat="false" ht="15" hidden="false" customHeight="false" outlineLevel="0" collapsed="false">
      <c r="A23" s="73"/>
      <c r="B23" s="10"/>
      <c r="C23" s="80"/>
      <c r="D23" s="80"/>
      <c r="E23" s="81" t="str">
        <f aca="false">IF(D23="","",IFERROR(INDEX(식자재단가!$B$4:$B$203,MATCH(D23,식자재단가!$C$4:$C$203,0)),""))</f>
        <v/>
      </c>
      <c r="F23" s="76"/>
      <c r="G23" s="59" t="str">
        <f aca="false">IF(D23="","",IFERROR(INDEX(식자재단가!$F$4:$F$203,MATCH(D23,식자재단가!$C$4:$C$203,0)),""))</f>
        <v/>
      </c>
      <c r="H23" s="50"/>
      <c r="I23" s="82" t="str">
        <f aca="false">IF(OR(F23="",H23=""),"",F23*H23)</f>
        <v/>
      </c>
      <c r="J23" s="83" t="str">
        <f aca="false">IF(D23="","",IFERROR(INDEX(식자재단가!$M$4:$M$203,MATCH(D23,식자재단가!$C$4:$C$203,0)),"과세"))</f>
        <v/>
      </c>
      <c r="K23" s="28" t="str">
        <f aca="false">IF(I23="","",IF(J23="과세",ROUND(I23*0.1,0),0))</f>
        <v/>
      </c>
      <c r="L23" s="28" t="str">
        <f aca="false">IF(I23="","",I23+K23)</f>
        <v/>
      </c>
      <c r="M23" s="10"/>
      <c r="N23" s="80"/>
      <c r="O23" s="80"/>
      <c r="P23" s="59" t="str">
        <f aca="false">IF(E23="","",IFERROR(INDEX(기본설정!$H$4:$H$14,MATCH(E23,기본설정!$G$4:$G$14,0)),""))</f>
        <v/>
      </c>
    </row>
    <row r="24" customFormat="false" ht="15" hidden="false" customHeight="false" outlineLevel="0" collapsed="false">
      <c r="A24" s="73"/>
      <c r="B24" s="10"/>
      <c r="C24" s="80"/>
      <c r="D24" s="80"/>
      <c r="E24" s="81" t="str">
        <f aca="false">IF(D24="","",IFERROR(INDEX(식자재단가!$B$4:$B$203,MATCH(D24,식자재단가!$C$4:$C$203,0)),""))</f>
        <v/>
      </c>
      <c r="F24" s="76"/>
      <c r="G24" s="59" t="str">
        <f aca="false">IF(D24="","",IFERROR(INDEX(식자재단가!$F$4:$F$203,MATCH(D24,식자재단가!$C$4:$C$203,0)),""))</f>
        <v/>
      </c>
      <c r="H24" s="50"/>
      <c r="I24" s="82" t="str">
        <f aca="false">IF(OR(F24="",H24=""),"",F24*H24)</f>
        <v/>
      </c>
      <c r="J24" s="83" t="str">
        <f aca="false">IF(D24="","",IFERROR(INDEX(식자재단가!$M$4:$M$203,MATCH(D24,식자재단가!$C$4:$C$203,0)),"과세"))</f>
        <v/>
      </c>
      <c r="K24" s="28" t="str">
        <f aca="false">IF(I24="","",IF(J24="과세",ROUND(I24*0.1,0),0))</f>
        <v/>
      </c>
      <c r="L24" s="28" t="str">
        <f aca="false">IF(I24="","",I24+K24)</f>
        <v/>
      </c>
      <c r="M24" s="10"/>
      <c r="N24" s="80"/>
      <c r="O24" s="80"/>
      <c r="P24" s="59" t="str">
        <f aca="false">IF(E24="","",IFERROR(INDEX(기본설정!$H$4:$H$14,MATCH(E24,기본설정!$G$4:$G$14,0)),""))</f>
        <v/>
      </c>
    </row>
    <row r="25" customFormat="false" ht="15" hidden="false" customHeight="false" outlineLevel="0" collapsed="false">
      <c r="A25" s="73"/>
      <c r="B25" s="10"/>
      <c r="C25" s="80"/>
      <c r="D25" s="80"/>
      <c r="E25" s="81" t="str">
        <f aca="false">IF(D25="","",IFERROR(INDEX(식자재단가!$B$4:$B$203,MATCH(D25,식자재단가!$C$4:$C$203,0)),""))</f>
        <v/>
      </c>
      <c r="F25" s="76"/>
      <c r="G25" s="59" t="str">
        <f aca="false">IF(D25="","",IFERROR(INDEX(식자재단가!$F$4:$F$203,MATCH(D25,식자재단가!$C$4:$C$203,0)),""))</f>
        <v/>
      </c>
      <c r="H25" s="50"/>
      <c r="I25" s="82" t="str">
        <f aca="false">IF(OR(F25="",H25=""),"",F25*H25)</f>
        <v/>
      </c>
      <c r="J25" s="83" t="str">
        <f aca="false">IF(D25="","",IFERROR(INDEX(식자재단가!$M$4:$M$203,MATCH(D25,식자재단가!$C$4:$C$203,0)),"과세"))</f>
        <v/>
      </c>
      <c r="K25" s="28" t="str">
        <f aca="false">IF(I25="","",IF(J25="과세",ROUND(I25*0.1,0),0))</f>
        <v/>
      </c>
      <c r="L25" s="28" t="str">
        <f aca="false">IF(I25="","",I25+K25)</f>
        <v/>
      </c>
      <c r="M25" s="10"/>
      <c r="N25" s="80"/>
      <c r="O25" s="80"/>
      <c r="P25" s="59" t="str">
        <f aca="false">IF(E25="","",IFERROR(INDEX(기본설정!$H$4:$H$14,MATCH(E25,기본설정!$G$4:$G$14,0)),""))</f>
        <v/>
      </c>
    </row>
    <row r="26" customFormat="false" ht="15" hidden="false" customHeight="false" outlineLevel="0" collapsed="false">
      <c r="A26" s="73"/>
      <c r="B26" s="10"/>
      <c r="C26" s="80"/>
      <c r="D26" s="80"/>
      <c r="E26" s="81" t="str">
        <f aca="false">IF(D26="","",IFERROR(INDEX(식자재단가!$B$4:$B$203,MATCH(D26,식자재단가!$C$4:$C$203,0)),""))</f>
        <v/>
      </c>
      <c r="F26" s="76"/>
      <c r="G26" s="59" t="str">
        <f aca="false">IF(D26="","",IFERROR(INDEX(식자재단가!$F$4:$F$203,MATCH(D26,식자재단가!$C$4:$C$203,0)),""))</f>
        <v/>
      </c>
      <c r="H26" s="50"/>
      <c r="I26" s="82" t="str">
        <f aca="false">IF(OR(F26="",H26=""),"",F26*H26)</f>
        <v/>
      </c>
      <c r="J26" s="83" t="str">
        <f aca="false">IF(D26="","",IFERROR(INDEX(식자재단가!$M$4:$M$203,MATCH(D26,식자재단가!$C$4:$C$203,0)),"과세"))</f>
        <v/>
      </c>
      <c r="K26" s="28" t="str">
        <f aca="false">IF(I26="","",IF(J26="과세",ROUND(I26*0.1,0),0))</f>
        <v/>
      </c>
      <c r="L26" s="28" t="str">
        <f aca="false">IF(I26="","",I26+K26)</f>
        <v/>
      </c>
      <c r="M26" s="10"/>
      <c r="N26" s="80"/>
      <c r="O26" s="80"/>
      <c r="P26" s="59" t="str">
        <f aca="false">IF(E26="","",IFERROR(INDEX(기본설정!$H$4:$H$14,MATCH(E26,기본설정!$G$4:$G$14,0)),""))</f>
        <v/>
      </c>
    </row>
    <row r="27" customFormat="false" ht="15" hidden="false" customHeight="false" outlineLevel="0" collapsed="false">
      <c r="A27" s="73"/>
      <c r="B27" s="10"/>
      <c r="C27" s="80"/>
      <c r="D27" s="80"/>
      <c r="E27" s="81" t="str">
        <f aca="false">IF(D27="","",IFERROR(INDEX(식자재단가!$B$4:$B$203,MATCH(D27,식자재단가!$C$4:$C$203,0)),""))</f>
        <v/>
      </c>
      <c r="F27" s="76"/>
      <c r="G27" s="59" t="str">
        <f aca="false">IF(D27="","",IFERROR(INDEX(식자재단가!$F$4:$F$203,MATCH(D27,식자재단가!$C$4:$C$203,0)),""))</f>
        <v/>
      </c>
      <c r="H27" s="50"/>
      <c r="I27" s="82" t="str">
        <f aca="false">IF(OR(F27="",H27=""),"",F27*H27)</f>
        <v/>
      </c>
      <c r="J27" s="83" t="str">
        <f aca="false">IF(D27="","",IFERROR(INDEX(식자재단가!$M$4:$M$203,MATCH(D27,식자재단가!$C$4:$C$203,0)),"과세"))</f>
        <v/>
      </c>
      <c r="K27" s="28" t="str">
        <f aca="false">IF(I27="","",IF(J27="과세",ROUND(I27*0.1,0),0))</f>
        <v/>
      </c>
      <c r="L27" s="28" t="str">
        <f aca="false">IF(I27="","",I27+K27)</f>
        <v/>
      </c>
      <c r="M27" s="10"/>
      <c r="N27" s="80"/>
      <c r="O27" s="80"/>
      <c r="P27" s="59" t="str">
        <f aca="false">IF(E27="","",IFERROR(INDEX(기본설정!$H$4:$H$14,MATCH(E27,기본설정!$G$4:$G$14,0)),""))</f>
        <v/>
      </c>
    </row>
    <row r="28" customFormat="false" ht="15" hidden="false" customHeight="false" outlineLevel="0" collapsed="false">
      <c r="A28" s="73"/>
      <c r="B28" s="10"/>
      <c r="C28" s="80"/>
      <c r="D28" s="80"/>
      <c r="E28" s="81" t="str">
        <f aca="false">IF(D28="","",IFERROR(INDEX(식자재단가!$B$4:$B$203,MATCH(D28,식자재단가!$C$4:$C$203,0)),""))</f>
        <v/>
      </c>
      <c r="F28" s="76"/>
      <c r="G28" s="59" t="str">
        <f aca="false">IF(D28="","",IFERROR(INDEX(식자재단가!$F$4:$F$203,MATCH(D28,식자재단가!$C$4:$C$203,0)),""))</f>
        <v/>
      </c>
      <c r="H28" s="50"/>
      <c r="I28" s="82" t="str">
        <f aca="false">IF(OR(F28="",H28=""),"",F28*H28)</f>
        <v/>
      </c>
      <c r="J28" s="83" t="str">
        <f aca="false">IF(D28="","",IFERROR(INDEX(식자재단가!$M$4:$M$203,MATCH(D28,식자재단가!$C$4:$C$203,0)),"과세"))</f>
        <v/>
      </c>
      <c r="K28" s="28" t="str">
        <f aca="false">IF(I28="","",IF(J28="과세",ROUND(I28*0.1,0),0))</f>
        <v/>
      </c>
      <c r="L28" s="28" t="str">
        <f aca="false">IF(I28="","",I28+K28)</f>
        <v/>
      </c>
      <c r="M28" s="10"/>
      <c r="N28" s="80"/>
      <c r="O28" s="80"/>
      <c r="P28" s="59" t="str">
        <f aca="false">IF(E28="","",IFERROR(INDEX(기본설정!$H$4:$H$14,MATCH(E28,기본설정!$G$4:$G$14,0)),""))</f>
        <v/>
      </c>
    </row>
    <row r="29" customFormat="false" ht="15" hidden="false" customHeight="false" outlineLevel="0" collapsed="false">
      <c r="A29" s="73"/>
      <c r="B29" s="10"/>
      <c r="C29" s="80"/>
      <c r="D29" s="80"/>
      <c r="E29" s="81" t="str">
        <f aca="false">IF(D29="","",IFERROR(INDEX(식자재단가!$B$4:$B$203,MATCH(D29,식자재단가!$C$4:$C$203,0)),""))</f>
        <v/>
      </c>
      <c r="F29" s="76"/>
      <c r="G29" s="59" t="str">
        <f aca="false">IF(D29="","",IFERROR(INDEX(식자재단가!$F$4:$F$203,MATCH(D29,식자재단가!$C$4:$C$203,0)),""))</f>
        <v/>
      </c>
      <c r="H29" s="50"/>
      <c r="I29" s="82" t="str">
        <f aca="false">IF(OR(F29="",H29=""),"",F29*H29)</f>
        <v/>
      </c>
      <c r="J29" s="83" t="str">
        <f aca="false">IF(D29="","",IFERROR(INDEX(식자재단가!$M$4:$M$203,MATCH(D29,식자재단가!$C$4:$C$203,0)),"과세"))</f>
        <v/>
      </c>
      <c r="K29" s="28" t="str">
        <f aca="false">IF(I29="","",IF(J29="과세",ROUND(I29*0.1,0),0))</f>
        <v/>
      </c>
      <c r="L29" s="28" t="str">
        <f aca="false">IF(I29="","",I29+K29)</f>
        <v/>
      </c>
      <c r="M29" s="10"/>
      <c r="N29" s="80"/>
      <c r="O29" s="80"/>
      <c r="P29" s="59" t="str">
        <f aca="false">IF(E29="","",IFERROR(INDEX(기본설정!$H$4:$H$14,MATCH(E29,기본설정!$G$4:$G$14,0)),""))</f>
        <v/>
      </c>
    </row>
    <row r="30" customFormat="false" ht="15" hidden="false" customHeight="false" outlineLevel="0" collapsed="false">
      <c r="A30" s="73"/>
      <c r="B30" s="10"/>
      <c r="C30" s="80"/>
      <c r="D30" s="80"/>
      <c r="E30" s="81" t="str">
        <f aca="false">IF(D30="","",IFERROR(INDEX(식자재단가!$B$4:$B$203,MATCH(D30,식자재단가!$C$4:$C$203,0)),""))</f>
        <v/>
      </c>
      <c r="F30" s="76"/>
      <c r="G30" s="59" t="str">
        <f aca="false">IF(D30="","",IFERROR(INDEX(식자재단가!$F$4:$F$203,MATCH(D30,식자재단가!$C$4:$C$203,0)),""))</f>
        <v/>
      </c>
      <c r="H30" s="50"/>
      <c r="I30" s="82" t="str">
        <f aca="false">IF(OR(F30="",H30=""),"",F30*H30)</f>
        <v/>
      </c>
      <c r="J30" s="83" t="str">
        <f aca="false">IF(D30="","",IFERROR(INDEX(식자재단가!$M$4:$M$203,MATCH(D30,식자재단가!$C$4:$C$203,0)),"과세"))</f>
        <v/>
      </c>
      <c r="K30" s="28" t="str">
        <f aca="false">IF(I30="","",IF(J30="과세",ROUND(I30*0.1,0),0))</f>
        <v/>
      </c>
      <c r="L30" s="28" t="str">
        <f aca="false">IF(I30="","",I30+K30)</f>
        <v/>
      </c>
      <c r="M30" s="10"/>
      <c r="N30" s="80"/>
      <c r="O30" s="80"/>
      <c r="P30" s="59" t="str">
        <f aca="false">IF(E30="","",IFERROR(INDEX(기본설정!$H$4:$H$14,MATCH(E30,기본설정!$G$4:$G$14,0)),""))</f>
        <v/>
      </c>
    </row>
    <row r="31" customFormat="false" ht="15" hidden="false" customHeight="false" outlineLevel="0" collapsed="false">
      <c r="A31" s="73"/>
      <c r="B31" s="10"/>
      <c r="C31" s="80"/>
      <c r="D31" s="80"/>
      <c r="E31" s="81" t="str">
        <f aca="false">IF(D31="","",IFERROR(INDEX(식자재단가!$B$4:$B$203,MATCH(D31,식자재단가!$C$4:$C$203,0)),""))</f>
        <v/>
      </c>
      <c r="F31" s="76"/>
      <c r="G31" s="59" t="str">
        <f aca="false">IF(D31="","",IFERROR(INDEX(식자재단가!$F$4:$F$203,MATCH(D31,식자재단가!$C$4:$C$203,0)),""))</f>
        <v/>
      </c>
      <c r="H31" s="50"/>
      <c r="I31" s="82" t="str">
        <f aca="false">IF(OR(F31="",H31=""),"",F31*H31)</f>
        <v/>
      </c>
      <c r="J31" s="83" t="str">
        <f aca="false">IF(D31="","",IFERROR(INDEX(식자재단가!$M$4:$M$203,MATCH(D31,식자재단가!$C$4:$C$203,0)),"과세"))</f>
        <v/>
      </c>
      <c r="K31" s="28" t="str">
        <f aca="false">IF(I31="","",IF(J31="과세",ROUND(I31*0.1,0),0))</f>
        <v/>
      </c>
      <c r="L31" s="28" t="str">
        <f aca="false">IF(I31="","",I31+K31)</f>
        <v/>
      </c>
      <c r="M31" s="10"/>
      <c r="N31" s="80"/>
      <c r="O31" s="80"/>
      <c r="P31" s="59" t="str">
        <f aca="false">IF(E31="","",IFERROR(INDEX(기본설정!$H$4:$H$14,MATCH(E31,기본설정!$G$4:$G$14,0)),""))</f>
        <v/>
      </c>
    </row>
    <row r="32" customFormat="false" ht="15" hidden="false" customHeight="false" outlineLevel="0" collapsed="false">
      <c r="A32" s="73"/>
      <c r="B32" s="10"/>
      <c r="C32" s="80"/>
      <c r="D32" s="80"/>
      <c r="E32" s="81" t="str">
        <f aca="false">IF(D32="","",IFERROR(INDEX(식자재단가!$B$4:$B$203,MATCH(D32,식자재단가!$C$4:$C$203,0)),""))</f>
        <v/>
      </c>
      <c r="F32" s="76"/>
      <c r="G32" s="59" t="str">
        <f aca="false">IF(D32="","",IFERROR(INDEX(식자재단가!$F$4:$F$203,MATCH(D32,식자재단가!$C$4:$C$203,0)),""))</f>
        <v/>
      </c>
      <c r="H32" s="50"/>
      <c r="I32" s="82" t="str">
        <f aca="false">IF(OR(F32="",H32=""),"",F32*H32)</f>
        <v/>
      </c>
      <c r="J32" s="83" t="str">
        <f aca="false">IF(D32="","",IFERROR(INDEX(식자재단가!$M$4:$M$203,MATCH(D32,식자재단가!$C$4:$C$203,0)),"과세"))</f>
        <v/>
      </c>
      <c r="K32" s="28" t="str">
        <f aca="false">IF(I32="","",IF(J32="과세",ROUND(I32*0.1,0),0))</f>
        <v/>
      </c>
      <c r="L32" s="28" t="str">
        <f aca="false">IF(I32="","",I32+K32)</f>
        <v/>
      </c>
      <c r="M32" s="10"/>
      <c r="N32" s="80"/>
      <c r="O32" s="80"/>
      <c r="P32" s="59" t="str">
        <f aca="false">IF(E32="","",IFERROR(INDEX(기본설정!$H$4:$H$14,MATCH(E32,기본설정!$G$4:$G$14,0)),""))</f>
        <v/>
      </c>
    </row>
    <row r="33" customFormat="false" ht="15" hidden="false" customHeight="false" outlineLevel="0" collapsed="false">
      <c r="A33" s="73"/>
      <c r="B33" s="10"/>
      <c r="C33" s="80"/>
      <c r="D33" s="80"/>
      <c r="E33" s="81" t="str">
        <f aca="false">IF(D33="","",IFERROR(INDEX(식자재단가!$B$4:$B$203,MATCH(D33,식자재단가!$C$4:$C$203,0)),""))</f>
        <v/>
      </c>
      <c r="F33" s="76"/>
      <c r="G33" s="59" t="str">
        <f aca="false">IF(D33="","",IFERROR(INDEX(식자재단가!$F$4:$F$203,MATCH(D33,식자재단가!$C$4:$C$203,0)),""))</f>
        <v/>
      </c>
      <c r="H33" s="50"/>
      <c r="I33" s="82" t="str">
        <f aca="false">IF(OR(F33="",H33=""),"",F33*H33)</f>
        <v/>
      </c>
      <c r="J33" s="83" t="str">
        <f aca="false">IF(D33="","",IFERROR(INDEX(식자재단가!$M$4:$M$203,MATCH(D33,식자재단가!$C$4:$C$203,0)),"과세"))</f>
        <v/>
      </c>
      <c r="K33" s="28" t="str">
        <f aca="false">IF(I33="","",IF(J33="과세",ROUND(I33*0.1,0),0))</f>
        <v/>
      </c>
      <c r="L33" s="28" t="str">
        <f aca="false">IF(I33="","",I33+K33)</f>
        <v/>
      </c>
      <c r="M33" s="10"/>
      <c r="N33" s="80"/>
      <c r="O33" s="80"/>
      <c r="P33" s="59" t="str">
        <f aca="false">IF(E33="","",IFERROR(INDEX(기본설정!$H$4:$H$14,MATCH(E33,기본설정!$G$4:$G$14,0)),""))</f>
        <v/>
      </c>
    </row>
    <row r="34" customFormat="false" ht="15" hidden="false" customHeight="false" outlineLevel="0" collapsed="false">
      <c r="A34" s="73"/>
      <c r="B34" s="10"/>
      <c r="C34" s="80"/>
      <c r="D34" s="80"/>
      <c r="E34" s="81" t="str">
        <f aca="false">IF(D34="","",IFERROR(INDEX(식자재단가!$B$4:$B$203,MATCH(D34,식자재단가!$C$4:$C$203,0)),""))</f>
        <v/>
      </c>
      <c r="F34" s="76"/>
      <c r="G34" s="59" t="str">
        <f aca="false">IF(D34="","",IFERROR(INDEX(식자재단가!$F$4:$F$203,MATCH(D34,식자재단가!$C$4:$C$203,0)),""))</f>
        <v/>
      </c>
      <c r="H34" s="50"/>
      <c r="I34" s="82" t="str">
        <f aca="false">IF(OR(F34="",H34=""),"",F34*H34)</f>
        <v/>
      </c>
      <c r="J34" s="83" t="str">
        <f aca="false">IF(D34="","",IFERROR(INDEX(식자재단가!$M$4:$M$203,MATCH(D34,식자재단가!$C$4:$C$203,0)),"과세"))</f>
        <v/>
      </c>
      <c r="K34" s="28" t="str">
        <f aca="false">IF(I34="","",IF(J34="과세",ROUND(I34*0.1,0),0))</f>
        <v/>
      </c>
      <c r="L34" s="28" t="str">
        <f aca="false">IF(I34="","",I34+K34)</f>
        <v/>
      </c>
      <c r="M34" s="10"/>
      <c r="N34" s="80"/>
      <c r="O34" s="80"/>
      <c r="P34" s="59" t="str">
        <f aca="false">IF(E34="","",IFERROR(INDEX(기본설정!$H$4:$H$14,MATCH(E34,기본설정!$G$4:$G$14,0)),""))</f>
        <v/>
      </c>
    </row>
    <row r="35" customFormat="false" ht="15" hidden="false" customHeight="false" outlineLevel="0" collapsed="false">
      <c r="A35" s="73"/>
      <c r="B35" s="10"/>
      <c r="C35" s="80"/>
      <c r="D35" s="80"/>
      <c r="E35" s="81" t="str">
        <f aca="false">IF(D35="","",IFERROR(INDEX(식자재단가!$B$4:$B$203,MATCH(D35,식자재단가!$C$4:$C$203,0)),""))</f>
        <v/>
      </c>
      <c r="F35" s="76"/>
      <c r="G35" s="59" t="str">
        <f aca="false">IF(D35="","",IFERROR(INDEX(식자재단가!$F$4:$F$203,MATCH(D35,식자재단가!$C$4:$C$203,0)),""))</f>
        <v/>
      </c>
      <c r="H35" s="50"/>
      <c r="I35" s="82" t="str">
        <f aca="false">IF(OR(F35="",H35=""),"",F35*H35)</f>
        <v/>
      </c>
      <c r="J35" s="83" t="str">
        <f aca="false">IF(D35="","",IFERROR(INDEX(식자재단가!$M$4:$M$203,MATCH(D35,식자재단가!$C$4:$C$203,0)),"과세"))</f>
        <v/>
      </c>
      <c r="K35" s="28" t="str">
        <f aca="false">IF(I35="","",IF(J35="과세",ROUND(I35*0.1,0),0))</f>
        <v/>
      </c>
      <c r="L35" s="28" t="str">
        <f aca="false">IF(I35="","",I35+K35)</f>
        <v/>
      </c>
      <c r="M35" s="10"/>
      <c r="N35" s="80"/>
      <c r="O35" s="80"/>
      <c r="P35" s="59" t="str">
        <f aca="false">IF(E35="","",IFERROR(INDEX(기본설정!$H$4:$H$14,MATCH(E35,기본설정!$G$4:$G$14,0)),""))</f>
        <v/>
      </c>
    </row>
    <row r="36" customFormat="false" ht="15" hidden="false" customHeight="false" outlineLevel="0" collapsed="false">
      <c r="A36" s="73"/>
      <c r="B36" s="10"/>
      <c r="C36" s="80"/>
      <c r="D36" s="80"/>
      <c r="E36" s="81" t="str">
        <f aca="false">IF(D36="","",IFERROR(INDEX(식자재단가!$B$4:$B$203,MATCH(D36,식자재단가!$C$4:$C$203,0)),""))</f>
        <v/>
      </c>
      <c r="F36" s="76"/>
      <c r="G36" s="59" t="str">
        <f aca="false">IF(D36="","",IFERROR(INDEX(식자재단가!$F$4:$F$203,MATCH(D36,식자재단가!$C$4:$C$203,0)),""))</f>
        <v/>
      </c>
      <c r="H36" s="50"/>
      <c r="I36" s="82" t="str">
        <f aca="false">IF(OR(F36="",H36=""),"",F36*H36)</f>
        <v/>
      </c>
      <c r="J36" s="83" t="str">
        <f aca="false">IF(D36="","",IFERROR(INDEX(식자재단가!$M$4:$M$203,MATCH(D36,식자재단가!$C$4:$C$203,0)),"과세"))</f>
        <v/>
      </c>
      <c r="K36" s="28" t="str">
        <f aca="false">IF(I36="","",IF(J36="과세",ROUND(I36*0.1,0),0))</f>
        <v/>
      </c>
      <c r="L36" s="28" t="str">
        <f aca="false">IF(I36="","",I36+K36)</f>
        <v/>
      </c>
      <c r="M36" s="10"/>
      <c r="N36" s="80"/>
      <c r="O36" s="80"/>
      <c r="P36" s="59" t="str">
        <f aca="false">IF(E36="","",IFERROR(INDEX(기본설정!$H$4:$H$14,MATCH(E36,기본설정!$G$4:$G$14,0)),""))</f>
        <v/>
      </c>
    </row>
    <row r="37" customFormat="false" ht="15" hidden="false" customHeight="false" outlineLevel="0" collapsed="false">
      <c r="A37" s="73"/>
      <c r="B37" s="10"/>
      <c r="C37" s="80"/>
      <c r="D37" s="80"/>
      <c r="E37" s="81" t="str">
        <f aca="false">IF(D37="","",IFERROR(INDEX(식자재단가!$B$4:$B$203,MATCH(D37,식자재단가!$C$4:$C$203,0)),""))</f>
        <v/>
      </c>
      <c r="F37" s="76"/>
      <c r="G37" s="59" t="str">
        <f aca="false">IF(D37="","",IFERROR(INDEX(식자재단가!$F$4:$F$203,MATCH(D37,식자재단가!$C$4:$C$203,0)),""))</f>
        <v/>
      </c>
      <c r="H37" s="50"/>
      <c r="I37" s="82" t="str">
        <f aca="false">IF(OR(F37="",H37=""),"",F37*H37)</f>
        <v/>
      </c>
      <c r="J37" s="83" t="str">
        <f aca="false">IF(D37="","",IFERROR(INDEX(식자재단가!$M$4:$M$203,MATCH(D37,식자재단가!$C$4:$C$203,0)),"과세"))</f>
        <v/>
      </c>
      <c r="K37" s="28" t="str">
        <f aca="false">IF(I37="","",IF(J37="과세",ROUND(I37*0.1,0),0))</f>
        <v/>
      </c>
      <c r="L37" s="28" t="str">
        <f aca="false">IF(I37="","",I37+K37)</f>
        <v/>
      </c>
      <c r="M37" s="10"/>
      <c r="N37" s="80"/>
      <c r="O37" s="80"/>
      <c r="P37" s="59" t="str">
        <f aca="false">IF(E37="","",IFERROR(INDEX(기본설정!$H$4:$H$14,MATCH(E37,기본설정!$G$4:$G$14,0)),""))</f>
        <v/>
      </c>
    </row>
    <row r="38" customFormat="false" ht="15" hidden="false" customHeight="false" outlineLevel="0" collapsed="false">
      <c r="A38" s="73"/>
      <c r="B38" s="10"/>
      <c r="C38" s="80"/>
      <c r="D38" s="80"/>
      <c r="E38" s="81" t="str">
        <f aca="false">IF(D38="","",IFERROR(INDEX(식자재단가!$B$4:$B$203,MATCH(D38,식자재단가!$C$4:$C$203,0)),""))</f>
        <v/>
      </c>
      <c r="F38" s="76"/>
      <c r="G38" s="59" t="str">
        <f aca="false">IF(D38="","",IFERROR(INDEX(식자재단가!$F$4:$F$203,MATCH(D38,식자재단가!$C$4:$C$203,0)),""))</f>
        <v/>
      </c>
      <c r="H38" s="50"/>
      <c r="I38" s="82" t="str">
        <f aca="false">IF(OR(F38="",H38=""),"",F38*H38)</f>
        <v/>
      </c>
      <c r="J38" s="83" t="str">
        <f aca="false">IF(D38="","",IFERROR(INDEX(식자재단가!$M$4:$M$203,MATCH(D38,식자재단가!$C$4:$C$203,0)),"과세"))</f>
        <v/>
      </c>
      <c r="K38" s="28" t="str">
        <f aca="false">IF(I38="","",IF(J38="과세",ROUND(I38*0.1,0),0))</f>
        <v/>
      </c>
      <c r="L38" s="28" t="str">
        <f aca="false">IF(I38="","",I38+K38)</f>
        <v/>
      </c>
      <c r="M38" s="10"/>
      <c r="N38" s="80"/>
      <c r="O38" s="80"/>
      <c r="P38" s="59" t="str">
        <f aca="false">IF(E38="","",IFERROR(INDEX(기본설정!$H$4:$H$14,MATCH(E38,기본설정!$G$4:$G$14,0)),""))</f>
        <v/>
      </c>
    </row>
    <row r="39" customFormat="false" ht="15" hidden="false" customHeight="false" outlineLevel="0" collapsed="false">
      <c r="A39" s="73"/>
      <c r="B39" s="10"/>
      <c r="C39" s="80"/>
      <c r="D39" s="80"/>
      <c r="E39" s="81" t="str">
        <f aca="false">IF(D39="","",IFERROR(INDEX(식자재단가!$B$4:$B$203,MATCH(D39,식자재단가!$C$4:$C$203,0)),""))</f>
        <v/>
      </c>
      <c r="F39" s="76"/>
      <c r="G39" s="59" t="str">
        <f aca="false">IF(D39="","",IFERROR(INDEX(식자재단가!$F$4:$F$203,MATCH(D39,식자재단가!$C$4:$C$203,0)),""))</f>
        <v/>
      </c>
      <c r="H39" s="50"/>
      <c r="I39" s="82" t="str">
        <f aca="false">IF(OR(F39="",H39=""),"",F39*H39)</f>
        <v/>
      </c>
      <c r="J39" s="83" t="str">
        <f aca="false">IF(D39="","",IFERROR(INDEX(식자재단가!$M$4:$M$203,MATCH(D39,식자재단가!$C$4:$C$203,0)),"과세"))</f>
        <v/>
      </c>
      <c r="K39" s="28" t="str">
        <f aca="false">IF(I39="","",IF(J39="과세",ROUND(I39*0.1,0),0))</f>
        <v/>
      </c>
      <c r="L39" s="28" t="str">
        <f aca="false">IF(I39="","",I39+K39)</f>
        <v/>
      </c>
      <c r="M39" s="10"/>
      <c r="N39" s="80"/>
      <c r="O39" s="80"/>
      <c r="P39" s="59" t="str">
        <f aca="false">IF(E39="","",IFERROR(INDEX(기본설정!$H$4:$H$14,MATCH(E39,기본설정!$G$4:$G$14,0)),""))</f>
        <v/>
      </c>
    </row>
    <row r="40" customFormat="false" ht="15" hidden="false" customHeight="false" outlineLevel="0" collapsed="false">
      <c r="A40" s="73"/>
      <c r="B40" s="10"/>
      <c r="C40" s="80"/>
      <c r="D40" s="80"/>
      <c r="E40" s="81" t="str">
        <f aca="false">IF(D40="","",IFERROR(INDEX(식자재단가!$B$4:$B$203,MATCH(D40,식자재단가!$C$4:$C$203,0)),""))</f>
        <v/>
      </c>
      <c r="F40" s="76"/>
      <c r="G40" s="59" t="str">
        <f aca="false">IF(D40="","",IFERROR(INDEX(식자재단가!$F$4:$F$203,MATCH(D40,식자재단가!$C$4:$C$203,0)),""))</f>
        <v/>
      </c>
      <c r="H40" s="50"/>
      <c r="I40" s="82" t="str">
        <f aca="false">IF(OR(F40="",H40=""),"",F40*H40)</f>
        <v/>
      </c>
      <c r="J40" s="83" t="str">
        <f aca="false">IF(D40="","",IFERROR(INDEX(식자재단가!$M$4:$M$203,MATCH(D40,식자재단가!$C$4:$C$203,0)),"과세"))</f>
        <v/>
      </c>
      <c r="K40" s="28" t="str">
        <f aca="false">IF(I40="","",IF(J40="과세",ROUND(I40*0.1,0),0))</f>
        <v/>
      </c>
      <c r="L40" s="28" t="str">
        <f aca="false">IF(I40="","",I40+K40)</f>
        <v/>
      </c>
      <c r="M40" s="10"/>
      <c r="N40" s="80"/>
      <c r="O40" s="80"/>
      <c r="P40" s="59" t="str">
        <f aca="false">IF(E40="","",IFERROR(INDEX(기본설정!$H$4:$H$14,MATCH(E40,기본설정!$G$4:$G$14,0)),""))</f>
        <v/>
      </c>
    </row>
    <row r="41" customFormat="false" ht="15" hidden="false" customHeight="false" outlineLevel="0" collapsed="false">
      <c r="A41" s="73"/>
      <c r="B41" s="10"/>
      <c r="C41" s="80"/>
      <c r="D41" s="80"/>
      <c r="E41" s="81" t="str">
        <f aca="false">IF(D41="","",IFERROR(INDEX(식자재단가!$B$4:$B$203,MATCH(D41,식자재단가!$C$4:$C$203,0)),""))</f>
        <v/>
      </c>
      <c r="F41" s="76"/>
      <c r="G41" s="59" t="str">
        <f aca="false">IF(D41="","",IFERROR(INDEX(식자재단가!$F$4:$F$203,MATCH(D41,식자재단가!$C$4:$C$203,0)),""))</f>
        <v/>
      </c>
      <c r="H41" s="50"/>
      <c r="I41" s="82" t="str">
        <f aca="false">IF(OR(F41="",H41=""),"",F41*H41)</f>
        <v/>
      </c>
      <c r="J41" s="83" t="str">
        <f aca="false">IF(D41="","",IFERROR(INDEX(식자재단가!$M$4:$M$203,MATCH(D41,식자재단가!$C$4:$C$203,0)),"과세"))</f>
        <v/>
      </c>
      <c r="K41" s="28" t="str">
        <f aca="false">IF(I41="","",IF(J41="과세",ROUND(I41*0.1,0),0))</f>
        <v/>
      </c>
      <c r="L41" s="28" t="str">
        <f aca="false">IF(I41="","",I41+K41)</f>
        <v/>
      </c>
      <c r="M41" s="10"/>
      <c r="N41" s="80"/>
      <c r="O41" s="80"/>
      <c r="P41" s="59" t="str">
        <f aca="false">IF(E41="","",IFERROR(INDEX(기본설정!$H$4:$H$14,MATCH(E41,기본설정!$G$4:$G$14,0)),""))</f>
        <v/>
      </c>
    </row>
    <row r="42" customFormat="false" ht="15" hidden="false" customHeight="false" outlineLevel="0" collapsed="false">
      <c r="A42" s="73"/>
      <c r="B42" s="10"/>
      <c r="C42" s="80"/>
      <c r="D42" s="80"/>
      <c r="E42" s="81" t="str">
        <f aca="false">IF(D42="","",IFERROR(INDEX(식자재단가!$B$4:$B$203,MATCH(D42,식자재단가!$C$4:$C$203,0)),""))</f>
        <v/>
      </c>
      <c r="F42" s="76"/>
      <c r="G42" s="59" t="str">
        <f aca="false">IF(D42="","",IFERROR(INDEX(식자재단가!$F$4:$F$203,MATCH(D42,식자재단가!$C$4:$C$203,0)),""))</f>
        <v/>
      </c>
      <c r="H42" s="50"/>
      <c r="I42" s="82" t="str">
        <f aca="false">IF(OR(F42="",H42=""),"",F42*H42)</f>
        <v/>
      </c>
      <c r="J42" s="83" t="str">
        <f aca="false">IF(D42="","",IFERROR(INDEX(식자재단가!$M$4:$M$203,MATCH(D42,식자재단가!$C$4:$C$203,0)),"과세"))</f>
        <v/>
      </c>
      <c r="K42" s="28" t="str">
        <f aca="false">IF(I42="","",IF(J42="과세",ROUND(I42*0.1,0),0))</f>
        <v/>
      </c>
      <c r="L42" s="28" t="str">
        <f aca="false">IF(I42="","",I42+K42)</f>
        <v/>
      </c>
      <c r="M42" s="10"/>
      <c r="N42" s="80"/>
      <c r="O42" s="80"/>
      <c r="P42" s="59" t="str">
        <f aca="false">IF(E42="","",IFERROR(INDEX(기본설정!$H$4:$H$14,MATCH(E42,기본설정!$G$4:$G$14,0)),""))</f>
        <v/>
      </c>
    </row>
    <row r="43" customFormat="false" ht="15" hidden="false" customHeight="false" outlineLevel="0" collapsed="false">
      <c r="A43" s="73"/>
      <c r="B43" s="10"/>
      <c r="C43" s="80"/>
      <c r="D43" s="80"/>
      <c r="E43" s="81" t="str">
        <f aca="false">IF(D43="","",IFERROR(INDEX(식자재단가!$B$4:$B$203,MATCH(D43,식자재단가!$C$4:$C$203,0)),""))</f>
        <v/>
      </c>
      <c r="F43" s="76"/>
      <c r="G43" s="59" t="str">
        <f aca="false">IF(D43="","",IFERROR(INDEX(식자재단가!$F$4:$F$203,MATCH(D43,식자재단가!$C$4:$C$203,0)),""))</f>
        <v/>
      </c>
      <c r="H43" s="50"/>
      <c r="I43" s="82" t="str">
        <f aca="false">IF(OR(F43="",H43=""),"",F43*H43)</f>
        <v/>
      </c>
      <c r="J43" s="83" t="str">
        <f aca="false">IF(D43="","",IFERROR(INDEX(식자재단가!$M$4:$M$203,MATCH(D43,식자재단가!$C$4:$C$203,0)),"과세"))</f>
        <v/>
      </c>
      <c r="K43" s="28" t="str">
        <f aca="false">IF(I43="","",IF(J43="과세",ROUND(I43*0.1,0),0))</f>
        <v/>
      </c>
      <c r="L43" s="28" t="str">
        <f aca="false">IF(I43="","",I43+K43)</f>
        <v/>
      </c>
      <c r="M43" s="10"/>
      <c r="N43" s="80"/>
      <c r="O43" s="80"/>
      <c r="P43" s="59" t="str">
        <f aca="false">IF(E43="","",IFERROR(INDEX(기본설정!$H$4:$H$14,MATCH(E43,기본설정!$G$4:$G$14,0)),""))</f>
        <v/>
      </c>
    </row>
    <row r="44" customFormat="false" ht="15" hidden="false" customHeight="false" outlineLevel="0" collapsed="false">
      <c r="A44" s="73"/>
      <c r="B44" s="10"/>
      <c r="C44" s="80"/>
      <c r="D44" s="80"/>
      <c r="E44" s="81" t="str">
        <f aca="false">IF(D44="","",IFERROR(INDEX(식자재단가!$B$4:$B$203,MATCH(D44,식자재단가!$C$4:$C$203,0)),""))</f>
        <v/>
      </c>
      <c r="F44" s="76"/>
      <c r="G44" s="59" t="str">
        <f aca="false">IF(D44="","",IFERROR(INDEX(식자재단가!$F$4:$F$203,MATCH(D44,식자재단가!$C$4:$C$203,0)),""))</f>
        <v/>
      </c>
      <c r="H44" s="50"/>
      <c r="I44" s="82" t="str">
        <f aca="false">IF(OR(F44="",H44=""),"",F44*H44)</f>
        <v/>
      </c>
      <c r="J44" s="83" t="str">
        <f aca="false">IF(D44="","",IFERROR(INDEX(식자재단가!$M$4:$M$203,MATCH(D44,식자재단가!$C$4:$C$203,0)),"과세"))</f>
        <v/>
      </c>
      <c r="K44" s="28" t="str">
        <f aca="false">IF(I44="","",IF(J44="과세",ROUND(I44*0.1,0),0))</f>
        <v/>
      </c>
      <c r="L44" s="28" t="str">
        <f aca="false">IF(I44="","",I44+K44)</f>
        <v/>
      </c>
      <c r="M44" s="10"/>
      <c r="N44" s="80"/>
      <c r="O44" s="80"/>
      <c r="P44" s="59" t="str">
        <f aca="false">IF(E44="","",IFERROR(INDEX(기본설정!$H$4:$H$14,MATCH(E44,기본설정!$G$4:$G$14,0)),""))</f>
        <v/>
      </c>
    </row>
    <row r="45" customFormat="false" ht="15" hidden="false" customHeight="false" outlineLevel="0" collapsed="false">
      <c r="A45" s="73"/>
      <c r="B45" s="10"/>
      <c r="C45" s="80"/>
      <c r="D45" s="80"/>
      <c r="E45" s="81" t="str">
        <f aca="false">IF(D45="","",IFERROR(INDEX(식자재단가!$B$4:$B$203,MATCH(D45,식자재단가!$C$4:$C$203,0)),""))</f>
        <v/>
      </c>
      <c r="F45" s="76"/>
      <c r="G45" s="59" t="str">
        <f aca="false">IF(D45="","",IFERROR(INDEX(식자재단가!$F$4:$F$203,MATCH(D45,식자재단가!$C$4:$C$203,0)),""))</f>
        <v/>
      </c>
      <c r="H45" s="50"/>
      <c r="I45" s="82" t="str">
        <f aca="false">IF(OR(F45="",H45=""),"",F45*H45)</f>
        <v/>
      </c>
      <c r="J45" s="83" t="str">
        <f aca="false">IF(D45="","",IFERROR(INDEX(식자재단가!$M$4:$M$203,MATCH(D45,식자재단가!$C$4:$C$203,0)),"과세"))</f>
        <v/>
      </c>
      <c r="K45" s="28" t="str">
        <f aca="false">IF(I45="","",IF(J45="과세",ROUND(I45*0.1,0),0))</f>
        <v/>
      </c>
      <c r="L45" s="28" t="str">
        <f aca="false">IF(I45="","",I45+K45)</f>
        <v/>
      </c>
      <c r="M45" s="10"/>
      <c r="N45" s="80"/>
      <c r="O45" s="80"/>
      <c r="P45" s="59" t="str">
        <f aca="false">IF(E45="","",IFERROR(INDEX(기본설정!$H$4:$H$14,MATCH(E45,기본설정!$G$4:$G$14,0)),""))</f>
        <v/>
      </c>
    </row>
    <row r="46" customFormat="false" ht="15" hidden="false" customHeight="false" outlineLevel="0" collapsed="false">
      <c r="A46" s="73"/>
      <c r="B46" s="10"/>
      <c r="C46" s="80"/>
      <c r="D46" s="80"/>
      <c r="E46" s="81" t="str">
        <f aca="false">IF(D46="","",IFERROR(INDEX(식자재단가!$B$4:$B$203,MATCH(D46,식자재단가!$C$4:$C$203,0)),""))</f>
        <v/>
      </c>
      <c r="F46" s="76"/>
      <c r="G46" s="59" t="str">
        <f aca="false">IF(D46="","",IFERROR(INDEX(식자재단가!$F$4:$F$203,MATCH(D46,식자재단가!$C$4:$C$203,0)),""))</f>
        <v/>
      </c>
      <c r="H46" s="50"/>
      <c r="I46" s="82" t="str">
        <f aca="false">IF(OR(F46="",H46=""),"",F46*H46)</f>
        <v/>
      </c>
      <c r="J46" s="83" t="str">
        <f aca="false">IF(D46="","",IFERROR(INDEX(식자재단가!$M$4:$M$203,MATCH(D46,식자재단가!$C$4:$C$203,0)),"과세"))</f>
        <v/>
      </c>
      <c r="K46" s="28" t="str">
        <f aca="false">IF(I46="","",IF(J46="과세",ROUND(I46*0.1,0),0))</f>
        <v/>
      </c>
      <c r="L46" s="28" t="str">
        <f aca="false">IF(I46="","",I46+K46)</f>
        <v/>
      </c>
      <c r="M46" s="10"/>
      <c r="N46" s="80"/>
      <c r="O46" s="80"/>
      <c r="P46" s="59" t="str">
        <f aca="false">IF(E46="","",IFERROR(INDEX(기본설정!$H$4:$H$14,MATCH(E46,기본설정!$G$4:$G$14,0)),""))</f>
        <v/>
      </c>
    </row>
    <row r="47" customFormat="false" ht="15" hidden="false" customHeight="false" outlineLevel="0" collapsed="false">
      <c r="A47" s="73"/>
      <c r="B47" s="10"/>
      <c r="C47" s="80"/>
      <c r="D47" s="80"/>
      <c r="E47" s="81" t="str">
        <f aca="false">IF(D47="","",IFERROR(INDEX(식자재단가!$B$4:$B$203,MATCH(D47,식자재단가!$C$4:$C$203,0)),""))</f>
        <v/>
      </c>
      <c r="F47" s="76"/>
      <c r="G47" s="59" t="str">
        <f aca="false">IF(D47="","",IFERROR(INDEX(식자재단가!$F$4:$F$203,MATCH(D47,식자재단가!$C$4:$C$203,0)),""))</f>
        <v/>
      </c>
      <c r="H47" s="50"/>
      <c r="I47" s="82" t="str">
        <f aca="false">IF(OR(F47="",H47=""),"",F47*H47)</f>
        <v/>
      </c>
      <c r="J47" s="83" t="str">
        <f aca="false">IF(D47="","",IFERROR(INDEX(식자재단가!$M$4:$M$203,MATCH(D47,식자재단가!$C$4:$C$203,0)),"과세"))</f>
        <v/>
      </c>
      <c r="K47" s="28" t="str">
        <f aca="false">IF(I47="","",IF(J47="과세",ROUND(I47*0.1,0),0))</f>
        <v/>
      </c>
      <c r="L47" s="28" t="str">
        <f aca="false">IF(I47="","",I47+K47)</f>
        <v/>
      </c>
      <c r="M47" s="10"/>
      <c r="N47" s="80"/>
      <c r="O47" s="80"/>
      <c r="P47" s="59" t="str">
        <f aca="false">IF(E47="","",IFERROR(INDEX(기본설정!$H$4:$H$14,MATCH(E47,기본설정!$G$4:$G$14,0)),""))</f>
        <v/>
      </c>
    </row>
    <row r="48" customFormat="false" ht="15" hidden="false" customHeight="false" outlineLevel="0" collapsed="false">
      <c r="A48" s="73"/>
      <c r="B48" s="10"/>
      <c r="C48" s="80"/>
      <c r="D48" s="80"/>
      <c r="E48" s="81" t="str">
        <f aca="false">IF(D48="","",IFERROR(INDEX(식자재단가!$B$4:$B$203,MATCH(D48,식자재단가!$C$4:$C$203,0)),""))</f>
        <v/>
      </c>
      <c r="F48" s="76"/>
      <c r="G48" s="59" t="str">
        <f aca="false">IF(D48="","",IFERROR(INDEX(식자재단가!$F$4:$F$203,MATCH(D48,식자재단가!$C$4:$C$203,0)),""))</f>
        <v/>
      </c>
      <c r="H48" s="50"/>
      <c r="I48" s="82" t="str">
        <f aca="false">IF(OR(F48="",H48=""),"",F48*H48)</f>
        <v/>
      </c>
      <c r="J48" s="83" t="str">
        <f aca="false">IF(D48="","",IFERROR(INDEX(식자재단가!$M$4:$M$203,MATCH(D48,식자재단가!$C$4:$C$203,0)),"과세"))</f>
        <v/>
      </c>
      <c r="K48" s="28" t="str">
        <f aca="false">IF(I48="","",IF(J48="과세",ROUND(I48*0.1,0),0))</f>
        <v/>
      </c>
      <c r="L48" s="28" t="str">
        <f aca="false">IF(I48="","",I48+K48)</f>
        <v/>
      </c>
      <c r="M48" s="10"/>
      <c r="N48" s="80"/>
      <c r="O48" s="80"/>
      <c r="P48" s="59" t="str">
        <f aca="false">IF(E48="","",IFERROR(INDEX(기본설정!$H$4:$H$14,MATCH(E48,기본설정!$G$4:$G$14,0)),""))</f>
        <v/>
      </c>
    </row>
    <row r="49" customFormat="false" ht="15" hidden="false" customHeight="false" outlineLevel="0" collapsed="false">
      <c r="A49" s="73"/>
      <c r="B49" s="10"/>
      <c r="C49" s="80"/>
      <c r="D49" s="80"/>
      <c r="E49" s="81" t="str">
        <f aca="false">IF(D49="","",IFERROR(INDEX(식자재단가!$B$4:$B$203,MATCH(D49,식자재단가!$C$4:$C$203,0)),""))</f>
        <v/>
      </c>
      <c r="F49" s="76"/>
      <c r="G49" s="59" t="str">
        <f aca="false">IF(D49="","",IFERROR(INDEX(식자재단가!$F$4:$F$203,MATCH(D49,식자재단가!$C$4:$C$203,0)),""))</f>
        <v/>
      </c>
      <c r="H49" s="50"/>
      <c r="I49" s="82" t="str">
        <f aca="false">IF(OR(F49="",H49=""),"",F49*H49)</f>
        <v/>
      </c>
      <c r="J49" s="83" t="str">
        <f aca="false">IF(D49="","",IFERROR(INDEX(식자재단가!$M$4:$M$203,MATCH(D49,식자재단가!$C$4:$C$203,0)),"과세"))</f>
        <v/>
      </c>
      <c r="K49" s="28" t="str">
        <f aca="false">IF(I49="","",IF(J49="과세",ROUND(I49*0.1,0),0))</f>
        <v/>
      </c>
      <c r="L49" s="28" t="str">
        <f aca="false">IF(I49="","",I49+K49)</f>
        <v/>
      </c>
      <c r="M49" s="10"/>
      <c r="N49" s="80"/>
      <c r="O49" s="80"/>
      <c r="P49" s="59" t="str">
        <f aca="false">IF(E49="","",IFERROR(INDEX(기본설정!$H$4:$H$14,MATCH(E49,기본설정!$G$4:$G$14,0)),""))</f>
        <v/>
      </c>
    </row>
    <row r="50" customFormat="false" ht="15" hidden="false" customHeight="false" outlineLevel="0" collapsed="false">
      <c r="A50" s="73"/>
      <c r="B50" s="10"/>
      <c r="C50" s="80"/>
      <c r="D50" s="80"/>
      <c r="E50" s="81" t="str">
        <f aca="false">IF(D50="","",IFERROR(INDEX(식자재단가!$B$4:$B$203,MATCH(D50,식자재단가!$C$4:$C$203,0)),""))</f>
        <v/>
      </c>
      <c r="F50" s="76"/>
      <c r="G50" s="59" t="str">
        <f aca="false">IF(D50="","",IFERROR(INDEX(식자재단가!$F$4:$F$203,MATCH(D50,식자재단가!$C$4:$C$203,0)),""))</f>
        <v/>
      </c>
      <c r="H50" s="50"/>
      <c r="I50" s="82" t="str">
        <f aca="false">IF(OR(F50="",H50=""),"",F50*H50)</f>
        <v/>
      </c>
      <c r="J50" s="83" t="str">
        <f aca="false">IF(D50="","",IFERROR(INDEX(식자재단가!$M$4:$M$203,MATCH(D50,식자재단가!$C$4:$C$203,0)),"과세"))</f>
        <v/>
      </c>
      <c r="K50" s="28" t="str">
        <f aca="false">IF(I50="","",IF(J50="과세",ROUND(I50*0.1,0),0))</f>
        <v/>
      </c>
      <c r="L50" s="28" t="str">
        <f aca="false">IF(I50="","",I50+K50)</f>
        <v/>
      </c>
      <c r="M50" s="10"/>
      <c r="N50" s="80"/>
      <c r="O50" s="80"/>
      <c r="P50" s="59" t="str">
        <f aca="false">IF(E50="","",IFERROR(INDEX(기본설정!$H$4:$H$14,MATCH(E50,기본설정!$G$4:$G$14,0)),""))</f>
        <v/>
      </c>
    </row>
    <row r="51" customFormat="false" ht="15" hidden="false" customHeight="false" outlineLevel="0" collapsed="false">
      <c r="A51" s="73"/>
      <c r="B51" s="10"/>
      <c r="C51" s="80"/>
      <c r="D51" s="80"/>
      <c r="E51" s="81" t="str">
        <f aca="false">IF(D51="","",IFERROR(INDEX(식자재단가!$B$4:$B$203,MATCH(D51,식자재단가!$C$4:$C$203,0)),""))</f>
        <v/>
      </c>
      <c r="F51" s="76"/>
      <c r="G51" s="59" t="str">
        <f aca="false">IF(D51="","",IFERROR(INDEX(식자재단가!$F$4:$F$203,MATCH(D51,식자재단가!$C$4:$C$203,0)),""))</f>
        <v/>
      </c>
      <c r="H51" s="50"/>
      <c r="I51" s="82" t="str">
        <f aca="false">IF(OR(F51="",H51=""),"",F51*H51)</f>
        <v/>
      </c>
      <c r="J51" s="83" t="str">
        <f aca="false">IF(D51="","",IFERROR(INDEX(식자재단가!$M$4:$M$203,MATCH(D51,식자재단가!$C$4:$C$203,0)),"과세"))</f>
        <v/>
      </c>
      <c r="K51" s="28" t="str">
        <f aca="false">IF(I51="","",IF(J51="과세",ROUND(I51*0.1,0),0))</f>
        <v/>
      </c>
      <c r="L51" s="28" t="str">
        <f aca="false">IF(I51="","",I51+K51)</f>
        <v/>
      </c>
      <c r="M51" s="10"/>
      <c r="N51" s="80"/>
      <c r="O51" s="80"/>
      <c r="P51" s="59" t="str">
        <f aca="false">IF(E51="","",IFERROR(INDEX(기본설정!$H$4:$H$14,MATCH(E51,기본설정!$G$4:$G$14,0)),""))</f>
        <v/>
      </c>
    </row>
    <row r="52" customFormat="false" ht="15" hidden="false" customHeight="false" outlineLevel="0" collapsed="false">
      <c r="A52" s="73"/>
      <c r="B52" s="10"/>
      <c r="C52" s="80"/>
      <c r="D52" s="80"/>
      <c r="E52" s="81" t="str">
        <f aca="false">IF(D52="","",IFERROR(INDEX(식자재단가!$B$4:$B$203,MATCH(D52,식자재단가!$C$4:$C$203,0)),""))</f>
        <v/>
      </c>
      <c r="F52" s="76"/>
      <c r="G52" s="59" t="str">
        <f aca="false">IF(D52="","",IFERROR(INDEX(식자재단가!$F$4:$F$203,MATCH(D52,식자재단가!$C$4:$C$203,0)),""))</f>
        <v/>
      </c>
      <c r="H52" s="50"/>
      <c r="I52" s="82" t="str">
        <f aca="false">IF(OR(F52="",H52=""),"",F52*H52)</f>
        <v/>
      </c>
      <c r="J52" s="83" t="str">
        <f aca="false">IF(D52="","",IFERROR(INDEX(식자재단가!$M$4:$M$203,MATCH(D52,식자재단가!$C$4:$C$203,0)),"과세"))</f>
        <v/>
      </c>
      <c r="K52" s="28" t="str">
        <f aca="false">IF(I52="","",IF(J52="과세",ROUND(I52*0.1,0),0))</f>
        <v/>
      </c>
      <c r="L52" s="28" t="str">
        <f aca="false">IF(I52="","",I52+K52)</f>
        <v/>
      </c>
      <c r="M52" s="10"/>
      <c r="N52" s="80"/>
      <c r="O52" s="80"/>
      <c r="P52" s="59" t="str">
        <f aca="false">IF(E52="","",IFERROR(INDEX(기본설정!$H$4:$H$14,MATCH(E52,기본설정!$G$4:$G$14,0)),""))</f>
        <v/>
      </c>
    </row>
    <row r="53" customFormat="false" ht="15" hidden="false" customHeight="false" outlineLevel="0" collapsed="false">
      <c r="A53" s="73"/>
      <c r="B53" s="10"/>
      <c r="C53" s="80"/>
      <c r="D53" s="80"/>
      <c r="E53" s="81" t="str">
        <f aca="false">IF(D53="","",IFERROR(INDEX(식자재단가!$B$4:$B$203,MATCH(D53,식자재단가!$C$4:$C$203,0)),""))</f>
        <v/>
      </c>
      <c r="F53" s="76"/>
      <c r="G53" s="59" t="str">
        <f aca="false">IF(D53="","",IFERROR(INDEX(식자재단가!$F$4:$F$203,MATCH(D53,식자재단가!$C$4:$C$203,0)),""))</f>
        <v/>
      </c>
      <c r="H53" s="50"/>
      <c r="I53" s="82" t="str">
        <f aca="false">IF(OR(F53="",H53=""),"",F53*H53)</f>
        <v/>
      </c>
      <c r="J53" s="83" t="str">
        <f aca="false">IF(D53="","",IFERROR(INDEX(식자재단가!$M$4:$M$203,MATCH(D53,식자재단가!$C$4:$C$203,0)),"과세"))</f>
        <v/>
      </c>
      <c r="K53" s="28" t="str">
        <f aca="false">IF(I53="","",IF(J53="과세",ROUND(I53*0.1,0),0))</f>
        <v/>
      </c>
      <c r="L53" s="28" t="str">
        <f aca="false">IF(I53="","",I53+K53)</f>
        <v/>
      </c>
      <c r="M53" s="10"/>
      <c r="N53" s="80"/>
      <c r="O53" s="80"/>
      <c r="P53" s="59" t="str">
        <f aca="false">IF(E53="","",IFERROR(INDEX(기본설정!$H$4:$H$14,MATCH(E53,기본설정!$G$4:$G$14,0)),""))</f>
        <v/>
      </c>
    </row>
    <row r="54" customFormat="false" ht="15" hidden="false" customHeight="false" outlineLevel="0" collapsed="false">
      <c r="A54" s="73"/>
      <c r="B54" s="10"/>
      <c r="C54" s="80"/>
      <c r="D54" s="80"/>
      <c r="E54" s="81" t="str">
        <f aca="false">IF(D54="","",IFERROR(INDEX(식자재단가!$B$4:$B$203,MATCH(D54,식자재단가!$C$4:$C$203,0)),""))</f>
        <v/>
      </c>
      <c r="F54" s="76"/>
      <c r="G54" s="59" t="str">
        <f aca="false">IF(D54="","",IFERROR(INDEX(식자재단가!$F$4:$F$203,MATCH(D54,식자재단가!$C$4:$C$203,0)),""))</f>
        <v/>
      </c>
      <c r="H54" s="50"/>
      <c r="I54" s="82" t="str">
        <f aca="false">IF(OR(F54="",H54=""),"",F54*H54)</f>
        <v/>
      </c>
      <c r="J54" s="83" t="str">
        <f aca="false">IF(D54="","",IFERROR(INDEX(식자재단가!$M$4:$M$203,MATCH(D54,식자재단가!$C$4:$C$203,0)),"과세"))</f>
        <v/>
      </c>
      <c r="K54" s="28" t="str">
        <f aca="false">IF(I54="","",IF(J54="과세",ROUND(I54*0.1,0),0))</f>
        <v/>
      </c>
      <c r="L54" s="28" t="str">
        <f aca="false">IF(I54="","",I54+K54)</f>
        <v/>
      </c>
      <c r="M54" s="10"/>
      <c r="N54" s="80"/>
      <c r="O54" s="80"/>
      <c r="P54" s="59" t="str">
        <f aca="false">IF(E54="","",IFERROR(INDEX(기본설정!$H$4:$H$14,MATCH(E54,기본설정!$G$4:$G$14,0)),""))</f>
        <v/>
      </c>
    </row>
    <row r="55" customFormat="false" ht="15" hidden="false" customHeight="false" outlineLevel="0" collapsed="false">
      <c r="A55" s="73"/>
      <c r="B55" s="10"/>
      <c r="C55" s="80"/>
      <c r="D55" s="80"/>
      <c r="E55" s="81" t="str">
        <f aca="false">IF(D55="","",IFERROR(INDEX(식자재단가!$B$4:$B$203,MATCH(D55,식자재단가!$C$4:$C$203,0)),""))</f>
        <v/>
      </c>
      <c r="F55" s="76"/>
      <c r="G55" s="59" t="str">
        <f aca="false">IF(D55="","",IFERROR(INDEX(식자재단가!$F$4:$F$203,MATCH(D55,식자재단가!$C$4:$C$203,0)),""))</f>
        <v/>
      </c>
      <c r="H55" s="50"/>
      <c r="I55" s="82" t="str">
        <f aca="false">IF(OR(F55="",H55=""),"",F55*H55)</f>
        <v/>
      </c>
      <c r="J55" s="83" t="str">
        <f aca="false">IF(D55="","",IFERROR(INDEX(식자재단가!$M$4:$M$203,MATCH(D55,식자재단가!$C$4:$C$203,0)),"과세"))</f>
        <v/>
      </c>
      <c r="K55" s="28" t="str">
        <f aca="false">IF(I55="","",IF(J55="과세",ROUND(I55*0.1,0),0))</f>
        <v/>
      </c>
      <c r="L55" s="28" t="str">
        <f aca="false">IF(I55="","",I55+K55)</f>
        <v/>
      </c>
      <c r="M55" s="10"/>
      <c r="N55" s="80"/>
      <c r="O55" s="80"/>
      <c r="P55" s="59" t="str">
        <f aca="false">IF(E55="","",IFERROR(INDEX(기본설정!$H$4:$H$14,MATCH(E55,기본설정!$G$4:$G$14,0)),""))</f>
        <v/>
      </c>
    </row>
    <row r="56" customFormat="false" ht="15" hidden="false" customHeight="false" outlineLevel="0" collapsed="false">
      <c r="A56" s="73"/>
      <c r="B56" s="10"/>
      <c r="C56" s="80"/>
      <c r="D56" s="80"/>
      <c r="E56" s="81" t="str">
        <f aca="false">IF(D56="","",IFERROR(INDEX(식자재단가!$B$4:$B$203,MATCH(D56,식자재단가!$C$4:$C$203,0)),""))</f>
        <v/>
      </c>
      <c r="F56" s="76"/>
      <c r="G56" s="59" t="str">
        <f aca="false">IF(D56="","",IFERROR(INDEX(식자재단가!$F$4:$F$203,MATCH(D56,식자재단가!$C$4:$C$203,0)),""))</f>
        <v/>
      </c>
      <c r="H56" s="50"/>
      <c r="I56" s="82" t="str">
        <f aca="false">IF(OR(F56="",H56=""),"",F56*H56)</f>
        <v/>
      </c>
      <c r="J56" s="83" t="str">
        <f aca="false">IF(D56="","",IFERROR(INDEX(식자재단가!$M$4:$M$203,MATCH(D56,식자재단가!$C$4:$C$203,0)),"과세"))</f>
        <v/>
      </c>
      <c r="K56" s="28" t="str">
        <f aca="false">IF(I56="","",IF(J56="과세",ROUND(I56*0.1,0),0))</f>
        <v/>
      </c>
      <c r="L56" s="28" t="str">
        <f aca="false">IF(I56="","",I56+K56)</f>
        <v/>
      </c>
      <c r="M56" s="10"/>
      <c r="N56" s="80"/>
      <c r="O56" s="80"/>
      <c r="P56" s="59" t="str">
        <f aca="false">IF(E56="","",IFERROR(INDEX(기본설정!$H$4:$H$14,MATCH(E56,기본설정!$G$4:$G$14,0)),""))</f>
        <v/>
      </c>
    </row>
    <row r="57" customFormat="false" ht="15" hidden="false" customHeight="false" outlineLevel="0" collapsed="false">
      <c r="A57" s="73"/>
      <c r="B57" s="10"/>
      <c r="C57" s="80"/>
      <c r="D57" s="80"/>
      <c r="E57" s="81" t="str">
        <f aca="false">IF(D57="","",IFERROR(INDEX(식자재단가!$B$4:$B$203,MATCH(D57,식자재단가!$C$4:$C$203,0)),""))</f>
        <v/>
      </c>
      <c r="F57" s="76"/>
      <c r="G57" s="59" t="str">
        <f aca="false">IF(D57="","",IFERROR(INDEX(식자재단가!$F$4:$F$203,MATCH(D57,식자재단가!$C$4:$C$203,0)),""))</f>
        <v/>
      </c>
      <c r="H57" s="50"/>
      <c r="I57" s="82" t="str">
        <f aca="false">IF(OR(F57="",H57=""),"",F57*H57)</f>
        <v/>
      </c>
      <c r="J57" s="83" t="str">
        <f aca="false">IF(D57="","",IFERROR(INDEX(식자재단가!$M$4:$M$203,MATCH(D57,식자재단가!$C$4:$C$203,0)),"과세"))</f>
        <v/>
      </c>
      <c r="K57" s="28" t="str">
        <f aca="false">IF(I57="","",IF(J57="과세",ROUND(I57*0.1,0),0))</f>
        <v/>
      </c>
      <c r="L57" s="28" t="str">
        <f aca="false">IF(I57="","",I57+K57)</f>
        <v/>
      </c>
      <c r="M57" s="10"/>
      <c r="N57" s="80"/>
      <c r="O57" s="80"/>
      <c r="P57" s="59" t="str">
        <f aca="false">IF(E57="","",IFERROR(INDEX(기본설정!$H$4:$H$14,MATCH(E57,기본설정!$G$4:$G$14,0)),""))</f>
        <v/>
      </c>
    </row>
    <row r="58" customFormat="false" ht="15" hidden="false" customHeight="false" outlineLevel="0" collapsed="false">
      <c r="A58" s="73"/>
      <c r="B58" s="10"/>
      <c r="C58" s="80"/>
      <c r="D58" s="80"/>
      <c r="E58" s="81" t="str">
        <f aca="false">IF(D58="","",IFERROR(INDEX(식자재단가!$B$4:$B$203,MATCH(D58,식자재단가!$C$4:$C$203,0)),""))</f>
        <v/>
      </c>
      <c r="F58" s="76"/>
      <c r="G58" s="59" t="str">
        <f aca="false">IF(D58="","",IFERROR(INDEX(식자재단가!$F$4:$F$203,MATCH(D58,식자재단가!$C$4:$C$203,0)),""))</f>
        <v/>
      </c>
      <c r="H58" s="50"/>
      <c r="I58" s="82" t="str">
        <f aca="false">IF(OR(F58="",H58=""),"",F58*H58)</f>
        <v/>
      </c>
      <c r="J58" s="83" t="str">
        <f aca="false">IF(D58="","",IFERROR(INDEX(식자재단가!$M$4:$M$203,MATCH(D58,식자재단가!$C$4:$C$203,0)),"과세"))</f>
        <v/>
      </c>
      <c r="K58" s="28" t="str">
        <f aca="false">IF(I58="","",IF(J58="과세",ROUND(I58*0.1,0),0))</f>
        <v/>
      </c>
      <c r="L58" s="28" t="str">
        <f aca="false">IF(I58="","",I58+K58)</f>
        <v/>
      </c>
      <c r="M58" s="10"/>
      <c r="N58" s="80"/>
      <c r="O58" s="80"/>
      <c r="P58" s="59" t="str">
        <f aca="false">IF(E58="","",IFERROR(INDEX(기본설정!$H$4:$H$14,MATCH(E58,기본설정!$G$4:$G$14,0)),""))</f>
        <v/>
      </c>
    </row>
    <row r="59" customFormat="false" ht="15" hidden="false" customHeight="false" outlineLevel="0" collapsed="false">
      <c r="A59" s="73"/>
      <c r="B59" s="10"/>
      <c r="C59" s="80"/>
      <c r="D59" s="80"/>
      <c r="E59" s="81" t="str">
        <f aca="false">IF(D59="","",IFERROR(INDEX(식자재단가!$B$4:$B$203,MATCH(D59,식자재단가!$C$4:$C$203,0)),""))</f>
        <v/>
      </c>
      <c r="F59" s="76"/>
      <c r="G59" s="59" t="str">
        <f aca="false">IF(D59="","",IFERROR(INDEX(식자재단가!$F$4:$F$203,MATCH(D59,식자재단가!$C$4:$C$203,0)),""))</f>
        <v/>
      </c>
      <c r="H59" s="50"/>
      <c r="I59" s="82" t="str">
        <f aca="false">IF(OR(F59="",H59=""),"",F59*H59)</f>
        <v/>
      </c>
      <c r="J59" s="83" t="str">
        <f aca="false">IF(D59="","",IFERROR(INDEX(식자재단가!$M$4:$M$203,MATCH(D59,식자재단가!$C$4:$C$203,0)),"과세"))</f>
        <v/>
      </c>
      <c r="K59" s="28" t="str">
        <f aca="false">IF(I59="","",IF(J59="과세",ROUND(I59*0.1,0),0))</f>
        <v/>
      </c>
      <c r="L59" s="28" t="str">
        <f aca="false">IF(I59="","",I59+K59)</f>
        <v/>
      </c>
      <c r="M59" s="10"/>
      <c r="N59" s="80"/>
      <c r="O59" s="80"/>
      <c r="P59" s="59" t="str">
        <f aca="false">IF(E59="","",IFERROR(INDEX(기본설정!$H$4:$H$14,MATCH(E59,기본설정!$G$4:$G$14,0)),""))</f>
        <v/>
      </c>
    </row>
    <row r="60" customFormat="false" ht="15" hidden="false" customHeight="false" outlineLevel="0" collapsed="false">
      <c r="A60" s="73"/>
      <c r="B60" s="10"/>
      <c r="C60" s="80"/>
      <c r="D60" s="80"/>
      <c r="E60" s="81" t="str">
        <f aca="false">IF(D60="","",IFERROR(INDEX(식자재단가!$B$4:$B$203,MATCH(D60,식자재단가!$C$4:$C$203,0)),""))</f>
        <v/>
      </c>
      <c r="F60" s="76"/>
      <c r="G60" s="59" t="str">
        <f aca="false">IF(D60="","",IFERROR(INDEX(식자재단가!$F$4:$F$203,MATCH(D60,식자재단가!$C$4:$C$203,0)),""))</f>
        <v/>
      </c>
      <c r="H60" s="50"/>
      <c r="I60" s="82" t="str">
        <f aca="false">IF(OR(F60="",H60=""),"",F60*H60)</f>
        <v/>
      </c>
      <c r="J60" s="83" t="str">
        <f aca="false">IF(D60="","",IFERROR(INDEX(식자재단가!$M$4:$M$203,MATCH(D60,식자재단가!$C$4:$C$203,0)),"과세"))</f>
        <v/>
      </c>
      <c r="K60" s="28" t="str">
        <f aca="false">IF(I60="","",IF(J60="과세",ROUND(I60*0.1,0),0))</f>
        <v/>
      </c>
      <c r="L60" s="28" t="str">
        <f aca="false">IF(I60="","",I60+K60)</f>
        <v/>
      </c>
      <c r="M60" s="10"/>
      <c r="N60" s="80"/>
      <c r="O60" s="80"/>
      <c r="P60" s="59" t="str">
        <f aca="false">IF(E60="","",IFERROR(INDEX(기본설정!$H$4:$H$14,MATCH(E60,기본설정!$G$4:$G$14,0)),""))</f>
        <v/>
      </c>
    </row>
    <row r="61" customFormat="false" ht="15" hidden="false" customHeight="false" outlineLevel="0" collapsed="false">
      <c r="A61" s="73"/>
      <c r="B61" s="10"/>
      <c r="C61" s="80"/>
      <c r="D61" s="80"/>
      <c r="E61" s="81" t="str">
        <f aca="false">IF(D61="","",IFERROR(INDEX(식자재단가!$B$4:$B$203,MATCH(D61,식자재단가!$C$4:$C$203,0)),""))</f>
        <v/>
      </c>
      <c r="F61" s="76"/>
      <c r="G61" s="59" t="str">
        <f aca="false">IF(D61="","",IFERROR(INDEX(식자재단가!$F$4:$F$203,MATCH(D61,식자재단가!$C$4:$C$203,0)),""))</f>
        <v/>
      </c>
      <c r="H61" s="50"/>
      <c r="I61" s="82" t="str">
        <f aca="false">IF(OR(F61="",H61=""),"",F61*H61)</f>
        <v/>
      </c>
      <c r="J61" s="83" t="str">
        <f aca="false">IF(D61="","",IFERROR(INDEX(식자재단가!$M$4:$M$203,MATCH(D61,식자재단가!$C$4:$C$203,0)),"과세"))</f>
        <v/>
      </c>
      <c r="K61" s="28" t="str">
        <f aca="false">IF(I61="","",IF(J61="과세",ROUND(I61*0.1,0),0))</f>
        <v/>
      </c>
      <c r="L61" s="28" t="str">
        <f aca="false">IF(I61="","",I61+K61)</f>
        <v/>
      </c>
      <c r="M61" s="10"/>
      <c r="N61" s="80"/>
      <c r="O61" s="80"/>
      <c r="P61" s="59" t="str">
        <f aca="false">IF(E61="","",IFERROR(INDEX(기본설정!$H$4:$H$14,MATCH(E61,기본설정!$G$4:$G$14,0)),""))</f>
        <v/>
      </c>
    </row>
    <row r="62" customFormat="false" ht="15" hidden="false" customHeight="false" outlineLevel="0" collapsed="false">
      <c r="A62" s="73"/>
      <c r="B62" s="10"/>
      <c r="C62" s="80"/>
      <c r="D62" s="80"/>
      <c r="E62" s="81" t="str">
        <f aca="false">IF(D62="","",IFERROR(INDEX(식자재단가!$B$4:$B$203,MATCH(D62,식자재단가!$C$4:$C$203,0)),""))</f>
        <v/>
      </c>
      <c r="F62" s="76"/>
      <c r="G62" s="59" t="str">
        <f aca="false">IF(D62="","",IFERROR(INDEX(식자재단가!$F$4:$F$203,MATCH(D62,식자재단가!$C$4:$C$203,0)),""))</f>
        <v/>
      </c>
      <c r="H62" s="50"/>
      <c r="I62" s="82" t="str">
        <f aca="false">IF(OR(F62="",H62=""),"",F62*H62)</f>
        <v/>
      </c>
      <c r="J62" s="83" t="str">
        <f aca="false">IF(D62="","",IFERROR(INDEX(식자재단가!$M$4:$M$203,MATCH(D62,식자재단가!$C$4:$C$203,0)),"과세"))</f>
        <v/>
      </c>
      <c r="K62" s="28" t="str">
        <f aca="false">IF(I62="","",IF(J62="과세",ROUND(I62*0.1,0),0))</f>
        <v/>
      </c>
      <c r="L62" s="28" t="str">
        <f aca="false">IF(I62="","",I62+K62)</f>
        <v/>
      </c>
      <c r="M62" s="10"/>
      <c r="N62" s="80"/>
      <c r="O62" s="80"/>
      <c r="P62" s="59" t="str">
        <f aca="false">IF(E62="","",IFERROR(INDEX(기본설정!$H$4:$H$14,MATCH(E62,기본설정!$G$4:$G$14,0)),""))</f>
        <v/>
      </c>
    </row>
    <row r="63" customFormat="false" ht="15" hidden="false" customHeight="false" outlineLevel="0" collapsed="false">
      <c r="A63" s="73"/>
      <c r="B63" s="10"/>
      <c r="C63" s="80"/>
      <c r="D63" s="80"/>
      <c r="E63" s="81" t="str">
        <f aca="false">IF(D63="","",IFERROR(INDEX(식자재단가!$B$4:$B$203,MATCH(D63,식자재단가!$C$4:$C$203,0)),""))</f>
        <v/>
      </c>
      <c r="F63" s="76"/>
      <c r="G63" s="59" t="str">
        <f aca="false">IF(D63="","",IFERROR(INDEX(식자재단가!$F$4:$F$203,MATCH(D63,식자재단가!$C$4:$C$203,0)),""))</f>
        <v/>
      </c>
      <c r="H63" s="50"/>
      <c r="I63" s="82" t="str">
        <f aca="false">IF(OR(F63="",H63=""),"",F63*H63)</f>
        <v/>
      </c>
      <c r="J63" s="83" t="str">
        <f aca="false">IF(D63="","",IFERROR(INDEX(식자재단가!$M$4:$M$203,MATCH(D63,식자재단가!$C$4:$C$203,0)),"과세"))</f>
        <v/>
      </c>
      <c r="K63" s="28" t="str">
        <f aca="false">IF(I63="","",IF(J63="과세",ROUND(I63*0.1,0),0))</f>
        <v/>
      </c>
      <c r="L63" s="28" t="str">
        <f aca="false">IF(I63="","",I63+K63)</f>
        <v/>
      </c>
      <c r="M63" s="10"/>
      <c r="N63" s="80"/>
      <c r="O63" s="80"/>
      <c r="P63" s="59" t="str">
        <f aca="false">IF(E63="","",IFERROR(INDEX(기본설정!$H$4:$H$14,MATCH(E63,기본설정!$G$4:$G$14,0)),""))</f>
        <v/>
      </c>
    </row>
    <row r="64" customFormat="false" ht="15" hidden="false" customHeight="false" outlineLevel="0" collapsed="false">
      <c r="A64" s="73"/>
      <c r="B64" s="10"/>
      <c r="C64" s="80"/>
      <c r="D64" s="80"/>
      <c r="E64" s="81" t="str">
        <f aca="false">IF(D64="","",IFERROR(INDEX(식자재단가!$B$4:$B$203,MATCH(D64,식자재단가!$C$4:$C$203,0)),""))</f>
        <v/>
      </c>
      <c r="F64" s="76"/>
      <c r="G64" s="59" t="str">
        <f aca="false">IF(D64="","",IFERROR(INDEX(식자재단가!$F$4:$F$203,MATCH(D64,식자재단가!$C$4:$C$203,0)),""))</f>
        <v/>
      </c>
      <c r="H64" s="50"/>
      <c r="I64" s="82" t="str">
        <f aca="false">IF(OR(F64="",H64=""),"",F64*H64)</f>
        <v/>
      </c>
      <c r="J64" s="83" t="str">
        <f aca="false">IF(D64="","",IFERROR(INDEX(식자재단가!$M$4:$M$203,MATCH(D64,식자재단가!$C$4:$C$203,0)),"과세"))</f>
        <v/>
      </c>
      <c r="K64" s="28" t="str">
        <f aca="false">IF(I64="","",IF(J64="과세",ROUND(I64*0.1,0),0))</f>
        <v/>
      </c>
      <c r="L64" s="28" t="str">
        <f aca="false">IF(I64="","",I64+K64)</f>
        <v/>
      </c>
      <c r="M64" s="10"/>
      <c r="N64" s="80"/>
      <c r="O64" s="80"/>
      <c r="P64" s="59" t="str">
        <f aca="false">IF(E64="","",IFERROR(INDEX(기본설정!$H$4:$H$14,MATCH(E64,기본설정!$G$4:$G$14,0)),""))</f>
        <v/>
      </c>
    </row>
    <row r="65" customFormat="false" ht="15" hidden="false" customHeight="false" outlineLevel="0" collapsed="false">
      <c r="A65" s="73"/>
      <c r="B65" s="10"/>
      <c r="C65" s="80"/>
      <c r="D65" s="80"/>
      <c r="E65" s="81" t="str">
        <f aca="false">IF(D65="","",IFERROR(INDEX(식자재단가!$B$4:$B$203,MATCH(D65,식자재단가!$C$4:$C$203,0)),""))</f>
        <v/>
      </c>
      <c r="F65" s="76"/>
      <c r="G65" s="59" t="str">
        <f aca="false">IF(D65="","",IFERROR(INDEX(식자재단가!$F$4:$F$203,MATCH(D65,식자재단가!$C$4:$C$203,0)),""))</f>
        <v/>
      </c>
      <c r="H65" s="50"/>
      <c r="I65" s="82" t="str">
        <f aca="false">IF(OR(F65="",H65=""),"",F65*H65)</f>
        <v/>
      </c>
      <c r="J65" s="83" t="str">
        <f aca="false">IF(D65="","",IFERROR(INDEX(식자재단가!$M$4:$M$203,MATCH(D65,식자재단가!$C$4:$C$203,0)),"과세"))</f>
        <v/>
      </c>
      <c r="K65" s="28" t="str">
        <f aca="false">IF(I65="","",IF(J65="과세",ROUND(I65*0.1,0),0))</f>
        <v/>
      </c>
      <c r="L65" s="28" t="str">
        <f aca="false">IF(I65="","",I65+K65)</f>
        <v/>
      </c>
      <c r="M65" s="10"/>
      <c r="N65" s="80"/>
      <c r="O65" s="80"/>
      <c r="P65" s="59" t="str">
        <f aca="false">IF(E65="","",IFERROR(INDEX(기본설정!$H$4:$H$14,MATCH(E65,기본설정!$G$4:$G$14,0)),""))</f>
        <v/>
      </c>
    </row>
    <row r="66" customFormat="false" ht="15" hidden="false" customHeight="false" outlineLevel="0" collapsed="false">
      <c r="A66" s="73"/>
      <c r="B66" s="10"/>
      <c r="C66" s="80"/>
      <c r="D66" s="80"/>
      <c r="E66" s="81" t="str">
        <f aca="false">IF(D66="","",IFERROR(INDEX(식자재단가!$B$4:$B$203,MATCH(D66,식자재단가!$C$4:$C$203,0)),""))</f>
        <v/>
      </c>
      <c r="F66" s="76"/>
      <c r="G66" s="59" t="str">
        <f aca="false">IF(D66="","",IFERROR(INDEX(식자재단가!$F$4:$F$203,MATCH(D66,식자재단가!$C$4:$C$203,0)),""))</f>
        <v/>
      </c>
      <c r="H66" s="50"/>
      <c r="I66" s="82" t="str">
        <f aca="false">IF(OR(F66="",H66=""),"",F66*H66)</f>
        <v/>
      </c>
      <c r="J66" s="83" t="str">
        <f aca="false">IF(D66="","",IFERROR(INDEX(식자재단가!$M$4:$M$203,MATCH(D66,식자재단가!$C$4:$C$203,0)),"과세"))</f>
        <v/>
      </c>
      <c r="K66" s="28" t="str">
        <f aca="false">IF(I66="","",IF(J66="과세",ROUND(I66*0.1,0),0))</f>
        <v/>
      </c>
      <c r="L66" s="28" t="str">
        <f aca="false">IF(I66="","",I66+K66)</f>
        <v/>
      </c>
      <c r="M66" s="10"/>
      <c r="N66" s="80"/>
      <c r="O66" s="80"/>
      <c r="P66" s="59" t="str">
        <f aca="false">IF(E66="","",IFERROR(INDEX(기본설정!$H$4:$H$14,MATCH(E66,기본설정!$G$4:$G$14,0)),""))</f>
        <v/>
      </c>
    </row>
    <row r="67" customFormat="false" ht="15" hidden="false" customHeight="false" outlineLevel="0" collapsed="false">
      <c r="A67" s="73"/>
      <c r="B67" s="10"/>
      <c r="C67" s="80"/>
      <c r="D67" s="80"/>
      <c r="E67" s="81" t="str">
        <f aca="false">IF(D67="","",IFERROR(INDEX(식자재단가!$B$4:$B$203,MATCH(D67,식자재단가!$C$4:$C$203,0)),""))</f>
        <v/>
      </c>
      <c r="F67" s="76"/>
      <c r="G67" s="59" t="str">
        <f aca="false">IF(D67="","",IFERROR(INDEX(식자재단가!$F$4:$F$203,MATCH(D67,식자재단가!$C$4:$C$203,0)),""))</f>
        <v/>
      </c>
      <c r="H67" s="50"/>
      <c r="I67" s="82" t="str">
        <f aca="false">IF(OR(F67="",H67=""),"",F67*H67)</f>
        <v/>
      </c>
      <c r="J67" s="83" t="str">
        <f aca="false">IF(D67="","",IFERROR(INDEX(식자재단가!$M$4:$M$203,MATCH(D67,식자재단가!$C$4:$C$203,0)),"과세"))</f>
        <v/>
      </c>
      <c r="K67" s="28" t="str">
        <f aca="false">IF(I67="","",IF(J67="과세",ROUND(I67*0.1,0),0))</f>
        <v/>
      </c>
      <c r="L67" s="28" t="str">
        <f aca="false">IF(I67="","",I67+K67)</f>
        <v/>
      </c>
      <c r="M67" s="10"/>
      <c r="N67" s="80"/>
      <c r="O67" s="80"/>
      <c r="P67" s="59" t="str">
        <f aca="false">IF(E67="","",IFERROR(INDEX(기본설정!$H$4:$H$14,MATCH(E67,기본설정!$G$4:$G$14,0)),""))</f>
        <v/>
      </c>
    </row>
    <row r="68" customFormat="false" ht="15" hidden="false" customHeight="false" outlineLevel="0" collapsed="false">
      <c r="A68" s="73"/>
      <c r="B68" s="10"/>
      <c r="C68" s="80"/>
      <c r="D68" s="80"/>
      <c r="E68" s="81" t="str">
        <f aca="false">IF(D68="","",IFERROR(INDEX(식자재단가!$B$4:$B$203,MATCH(D68,식자재단가!$C$4:$C$203,0)),""))</f>
        <v/>
      </c>
      <c r="F68" s="76"/>
      <c r="G68" s="59" t="str">
        <f aca="false">IF(D68="","",IFERROR(INDEX(식자재단가!$F$4:$F$203,MATCH(D68,식자재단가!$C$4:$C$203,0)),""))</f>
        <v/>
      </c>
      <c r="H68" s="50"/>
      <c r="I68" s="82" t="str">
        <f aca="false">IF(OR(F68="",H68=""),"",F68*H68)</f>
        <v/>
      </c>
      <c r="J68" s="83" t="str">
        <f aca="false">IF(D68="","",IFERROR(INDEX(식자재단가!$M$4:$M$203,MATCH(D68,식자재단가!$C$4:$C$203,0)),"과세"))</f>
        <v/>
      </c>
      <c r="K68" s="28" t="str">
        <f aca="false">IF(I68="","",IF(J68="과세",ROUND(I68*0.1,0),0))</f>
        <v/>
      </c>
      <c r="L68" s="28" t="str">
        <f aca="false">IF(I68="","",I68+K68)</f>
        <v/>
      </c>
      <c r="M68" s="10"/>
      <c r="N68" s="80"/>
      <c r="O68" s="80"/>
      <c r="P68" s="59" t="str">
        <f aca="false">IF(E68="","",IFERROR(INDEX(기본설정!$H$4:$H$14,MATCH(E68,기본설정!$G$4:$G$14,0)),""))</f>
        <v/>
      </c>
    </row>
    <row r="69" customFormat="false" ht="15" hidden="false" customHeight="false" outlineLevel="0" collapsed="false">
      <c r="A69" s="73"/>
      <c r="B69" s="10"/>
      <c r="C69" s="80"/>
      <c r="D69" s="80"/>
      <c r="E69" s="81" t="str">
        <f aca="false">IF(D69="","",IFERROR(INDEX(식자재단가!$B$4:$B$203,MATCH(D69,식자재단가!$C$4:$C$203,0)),""))</f>
        <v/>
      </c>
      <c r="F69" s="76"/>
      <c r="G69" s="59" t="str">
        <f aca="false">IF(D69="","",IFERROR(INDEX(식자재단가!$F$4:$F$203,MATCH(D69,식자재단가!$C$4:$C$203,0)),""))</f>
        <v/>
      </c>
      <c r="H69" s="50"/>
      <c r="I69" s="82" t="str">
        <f aca="false">IF(OR(F69="",H69=""),"",F69*H69)</f>
        <v/>
      </c>
      <c r="J69" s="83" t="str">
        <f aca="false">IF(D69="","",IFERROR(INDEX(식자재단가!$M$4:$M$203,MATCH(D69,식자재단가!$C$4:$C$203,0)),"과세"))</f>
        <v/>
      </c>
      <c r="K69" s="28" t="str">
        <f aca="false">IF(I69="","",IF(J69="과세",ROUND(I69*0.1,0),0))</f>
        <v/>
      </c>
      <c r="L69" s="28" t="str">
        <f aca="false">IF(I69="","",I69+K69)</f>
        <v/>
      </c>
      <c r="M69" s="10"/>
      <c r="N69" s="80"/>
      <c r="O69" s="80"/>
      <c r="P69" s="59" t="str">
        <f aca="false">IF(E69="","",IFERROR(INDEX(기본설정!$H$4:$H$14,MATCH(E69,기본설정!$G$4:$G$14,0)),""))</f>
        <v/>
      </c>
    </row>
    <row r="70" customFormat="false" ht="15" hidden="false" customHeight="false" outlineLevel="0" collapsed="false">
      <c r="A70" s="73"/>
      <c r="B70" s="10"/>
      <c r="C70" s="80"/>
      <c r="D70" s="80"/>
      <c r="E70" s="81" t="str">
        <f aca="false">IF(D70="","",IFERROR(INDEX(식자재단가!$B$4:$B$203,MATCH(D70,식자재단가!$C$4:$C$203,0)),""))</f>
        <v/>
      </c>
      <c r="F70" s="76"/>
      <c r="G70" s="59" t="str">
        <f aca="false">IF(D70="","",IFERROR(INDEX(식자재단가!$F$4:$F$203,MATCH(D70,식자재단가!$C$4:$C$203,0)),""))</f>
        <v/>
      </c>
      <c r="H70" s="50"/>
      <c r="I70" s="82" t="str">
        <f aca="false">IF(OR(F70="",H70=""),"",F70*H70)</f>
        <v/>
      </c>
      <c r="J70" s="83" t="str">
        <f aca="false">IF(D70="","",IFERROR(INDEX(식자재단가!$M$4:$M$203,MATCH(D70,식자재단가!$C$4:$C$203,0)),"과세"))</f>
        <v/>
      </c>
      <c r="K70" s="28" t="str">
        <f aca="false">IF(I70="","",IF(J70="과세",ROUND(I70*0.1,0),0))</f>
        <v/>
      </c>
      <c r="L70" s="28" t="str">
        <f aca="false">IF(I70="","",I70+K70)</f>
        <v/>
      </c>
      <c r="M70" s="10"/>
      <c r="N70" s="80"/>
      <c r="O70" s="80"/>
      <c r="P70" s="59" t="str">
        <f aca="false">IF(E70="","",IFERROR(INDEX(기본설정!$H$4:$H$14,MATCH(E70,기본설정!$G$4:$G$14,0)),""))</f>
        <v/>
      </c>
    </row>
    <row r="71" customFormat="false" ht="15" hidden="false" customHeight="false" outlineLevel="0" collapsed="false">
      <c r="A71" s="73"/>
      <c r="B71" s="10"/>
      <c r="C71" s="80"/>
      <c r="D71" s="80"/>
      <c r="E71" s="81" t="str">
        <f aca="false">IF(D71="","",IFERROR(INDEX(식자재단가!$B$4:$B$203,MATCH(D71,식자재단가!$C$4:$C$203,0)),""))</f>
        <v/>
      </c>
      <c r="F71" s="76"/>
      <c r="G71" s="59" t="str">
        <f aca="false">IF(D71="","",IFERROR(INDEX(식자재단가!$F$4:$F$203,MATCH(D71,식자재단가!$C$4:$C$203,0)),""))</f>
        <v/>
      </c>
      <c r="H71" s="50"/>
      <c r="I71" s="82" t="str">
        <f aca="false">IF(OR(F71="",H71=""),"",F71*H71)</f>
        <v/>
      </c>
      <c r="J71" s="83" t="str">
        <f aca="false">IF(D71="","",IFERROR(INDEX(식자재단가!$M$4:$M$203,MATCH(D71,식자재단가!$C$4:$C$203,0)),"과세"))</f>
        <v/>
      </c>
      <c r="K71" s="28" t="str">
        <f aca="false">IF(I71="","",IF(J71="과세",ROUND(I71*0.1,0),0))</f>
        <v/>
      </c>
      <c r="L71" s="28" t="str">
        <f aca="false">IF(I71="","",I71+K71)</f>
        <v/>
      </c>
      <c r="M71" s="10"/>
      <c r="N71" s="80"/>
      <c r="O71" s="80"/>
      <c r="P71" s="59" t="str">
        <f aca="false">IF(E71="","",IFERROR(INDEX(기본설정!$H$4:$H$14,MATCH(E71,기본설정!$G$4:$G$14,0)),""))</f>
        <v/>
      </c>
    </row>
    <row r="72" customFormat="false" ht="15" hidden="false" customHeight="false" outlineLevel="0" collapsed="false">
      <c r="A72" s="73"/>
      <c r="B72" s="10"/>
      <c r="C72" s="80"/>
      <c r="D72" s="80"/>
      <c r="E72" s="81" t="str">
        <f aca="false">IF(D72="","",IFERROR(INDEX(식자재단가!$B$4:$B$203,MATCH(D72,식자재단가!$C$4:$C$203,0)),""))</f>
        <v/>
      </c>
      <c r="F72" s="76"/>
      <c r="G72" s="59" t="str">
        <f aca="false">IF(D72="","",IFERROR(INDEX(식자재단가!$F$4:$F$203,MATCH(D72,식자재단가!$C$4:$C$203,0)),""))</f>
        <v/>
      </c>
      <c r="H72" s="50"/>
      <c r="I72" s="82" t="str">
        <f aca="false">IF(OR(F72="",H72=""),"",F72*H72)</f>
        <v/>
      </c>
      <c r="J72" s="83" t="str">
        <f aca="false">IF(D72="","",IFERROR(INDEX(식자재단가!$M$4:$M$203,MATCH(D72,식자재단가!$C$4:$C$203,0)),"과세"))</f>
        <v/>
      </c>
      <c r="K72" s="28" t="str">
        <f aca="false">IF(I72="","",IF(J72="과세",ROUND(I72*0.1,0),0))</f>
        <v/>
      </c>
      <c r="L72" s="28" t="str">
        <f aca="false">IF(I72="","",I72+K72)</f>
        <v/>
      </c>
      <c r="M72" s="10"/>
      <c r="N72" s="80"/>
      <c r="O72" s="80"/>
      <c r="P72" s="59" t="str">
        <f aca="false">IF(E72="","",IFERROR(INDEX(기본설정!$H$4:$H$14,MATCH(E72,기본설정!$G$4:$G$14,0)),""))</f>
        <v/>
      </c>
    </row>
    <row r="73" customFormat="false" ht="15" hidden="false" customHeight="false" outlineLevel="0" collapsed="false">
      <c r="A73" s="73"/>
      <c r="B73" s="10"/>
      <c r="C73" s="80"/>
      <c r="D73" s="80"/>
      <c r="E73" s="81" t="str">
        <f aca="false">IF(D73="","",IFERROR(INDEX(식자재단가!$B$4:$B$203,MATCH(D73,식자재단가!$C$4:$C$203,0)),""))</f>
        <v/>
      </c>
      <c r="F73" s="76"/>
      <c r="G73" s="59" t="str">
        <f aca="false">IF(D73="","",IFERROR(INDEX(식자재단가!$F$4:$F$203,MATCH(D73,식자재단가!$C$4:$C$203,0)),""))</f>
        <v/>
      </c>
      <c r="H73" s="50"/>
      <c r="I73" s="82" t="str">
        <f aca="false">IF(OR(F73="",H73=""),"",F73*H73)</f>
        <v/>
      </c>
      <c r="J73" s="83" t="str">
        <f aca="false">IF(D73="","",IFERROR(INDEX(식자재단가!$M$4:$M$203,MATCH(D73,식자재단가!$C$4:$C$203,0)),"과세"))</f>
        <v/>
      </c>
      <c r="K73" s="28" t="str">
        <f aca="false">IF(I73="","",IF(J73="과세",ROUND(I73*0.1,0),0))</f>
        <v/>
      </c>
      <c r="L73" s="28" t="str">
        <f aca="false">IF(I73="","",I73+K73)</f>
        <v/>
      </c>
      <c r="M73" s="10"/>
      <c r="N73" s="80"/>
      <c r="O73" s="80"/>
      <c r="P73" s="59" t="str">
        <f aca="false">IF(E73="","",IFERROR(INDEX(기본설정!$H$4:$H$14,MATCH(E73,기본설정!$G$4:$G$14,0)),""))</f>
        <v/>
      </c>
    </row>
    <row r="74" customFormat="false" ht="15" hidden="false" customHeight="false" outlineLevel="0" collapsed="false">
      <c r="A74" s="73"/>
      <c r="B74" s="10"/>
      <c r="C74" s="80"/>
      <c r="D74" s="80"/>
      <c r="E74" s="81" t="str">
        <f aca="false">IF(D74="","",IFERROR(INDEX(식자재단가!$B$4:$B$203,MATCH(D74,식자재단가!$C$4:$C$203,0)),""))</f>
        <v/>
      </c>
      <c r="F74" s="76"/>
      <c r="G74" s="59" t="str">
        <f aca="false">IF(D74="","",IFERROR(INDEX(식자재단가!$F$4:$F$203,MATCH(D74,식자재단가!$C$4:$C$203,0)),""))</f>
        <v/>
      </c>
      <c r="H74" s="50"/>
      <c r="I74" s="82" t="str">
        <f aca="false">IF(OR(F74="",H74=""),"",F74*H74)</f>
        <v/>
      </c>
      <c r="J74" s="83" t="str">
        <f aca="false">IF(D74="","",IFERROR(INDEX(식자재단가!$M$4:$M$203,MATCH(D74,식자재단가!$C$4:$C$203,0)),"과세"))</f>
        <v/>
      </c>
      <c r="K74" s="28" t="str">
        <f aca="false">IF(I74="","",IF(J74="과세",ROUND(I74*0.1,0),0))</f>
        <v/>
      </c>
      <c r="L74" s="28" t="str">
        <f aca="false">IF(I74="","",I74+K74)</f>
        <v/>
      </c>
      <c r="M74" s="10"/>
      <c r="N74" s="80"/>
      <c r="O74" s="80"/>
      <c r="P74" s="59" t="str">
        <f aca="false">IF(E74="","",IFERROR(INDEX(기본설정!$H$4:$H$14,MATCH(E74,기본설정!$G$4:$G$14,0)),""))</f>
        <v/>
      </c>
    </row>
    <row r="75" customFormat="false" ht="15" hidden="false" customHeight="false" outlineLevel="0" collapsed="false">
      <c r="A75" s="73"/>
      <c r="B75" s="10"/>
      <c r="C75" s="80"/>
      <c r="D75" s="80"/>
      <c r="E75" s="81" t="str">
        <f aca="false">IF(D75="","",IFERROR(INDEX(식자재단가!$B$4:$B$203,MATCH(D75,식자재단가!$C$4:$C$203,0)),""))</f>
        <v/>
      </c>
      <c r="F75" s="76"/>
      <c r="G75" s="59" t="str">
        <f aca="false">IF(D75="","",IFERROR(INDEX(식자재단가!$F$4:$F$203,MATCH(D75,식자재단가!$C$4:$C$203,0)),""))</f>
        <v/>
      </c>
      <c r="H75" s="50"/>
      <c r="I75" s="82" t="str">
        <f aca="false">IF(OR(F75="",H75=""),"",F75*H75)</f>
        <v/>
      </c>
      <c r="J75" s="83" t="str">
        <f aca="false">IF(D75="","",IFERROR(INDEX(식자재단가!$M$4:$M$203,MATCH(D75,식자재단가!$C$4:$C$203,0)),"과세"))</f>
        <v/>
      </c>
      <c r="K75" s="28" t="str">
        <f aca="false">IF(I75="","",IF(J75="과세",ROUND(I75*0.1,0),0))</f>
        <v/>
      </c>
      <c r="L75" s="28" t="str">
        <f aca="false">IF(I75="","",I75+K75)</f>
        <v/>
      </c>
      <c r="M75" s="10"/>
      <c r="N75" s="80"/>
      <c r="O75" s="80"/>
      <c r="P75" s="59" t="str">
        <f aca="false">IF(E75="","",IFERROR(INDEX(기본설정!$H$4:$H$14,MATCH(E75,기본설정!$G$4:$G$14,0)),""))</f>
        <v/>
      </c>
    </row>
    <row r="76" customFormat="false" ht="15" hidden="false" customHeight="false" outlineLevel="0" collapsed="false">
      <c r="A76" s="73"/>
      <c r="B76" s="10"/>
      <c r="C76" s="80"/>
      <c r="D76" s="80"/>
      <c r="E76" s="81" t="str">
        <f aca="false">IF(D76="","",IFERROR(INDEX(식자재단가!$B$4:$B$203,MATCH(D76,식자재단가!$C$4:$C$203,0)),""))</f>
        <v/>
      </c>
      <c r="F76" s="76"/>
      <c r="G76" s="59" t="str">
        <f aca="false">IF(D76="","",IFERROR(INDEX(식자재단가!$F$4:$F$203,MATCH(D76,식자재단가!$C$4:$C$203,0)),""))</f>
        <v/>
      </c>
      <c r="H76" s="50"/>
      <c r="I76" s="82" t="str">
        <f aca="false">IF(OR(F76="",H76=""),"",F76*H76)</f>
        <v/>
      </c>
      <c r="J76" s="83" t="str">
        <f aca="false">IF(D76="","",IFERROR(INDEX(식자재단가!$M$4:$M$203,MATCH(D76,식자재단가!$C$4:$C$203,0)),"과세"))</f>
        <v/>
      </c>
      <c r="K76" s="28" t="str">
        <f aca="false">IF(I76="","",IF(J76="과세",ROUND(I76*0.1,0),0))</f>
        <v/>
      </c>
      <c r="L76" s="28" t="str">
        <f aca="false">IF(I76="","",I76+K76)</f>
        <v/>
      </c>
      <c r="M76" s="10"/>
      <c r="N76" s="80"/>
      <c r="O76" s="80"/>
      <c r="P76" s="59" t="str">
        <f aca="false">IF(E76="","",IFERROR(INDEX(기본설정!$H$4:$H$14,MATCH(E76,기본설정!$G$4:$G$14,0)),""))</f>
        <v/>
      </c>
    </row>
    <row r="77" customFormat="false" ht="15" hidden="false" customHeight="false" outlineLevel="0" collapsed="false">
      <c r="A77" s="73"/>
      <c r="B77" s="10"/>
      <c r="C77" s="80"/>
      <c r="D77" s="80"/>
      <c r="E77" s="81" t="str">
        <f aca="false">IF(D77="","",IFERROR(INDEX(식자재단가!$B$4:$B$203,MATCH(D77,식자재단가!$C$4:$C$203,0)),""))</f>
        <v/>
      </c>
      <c r="F77" s="76"/>
      <c r="G77" s="59" t="str">
        <f aca="false">IF(D77="","",IFERROR(INDEX(식자재단가!$F$4:$F$203,MATCH(D77,식자재단가!$C$4:$C$203,0)),""))</f>
        <v/>
      </c>
      <c r="H77" s="50"/>
      <c r="I77" s="82" t="str">
        <f aca="false">IF(OR(F77="",H77=""),"",F77*H77)</f>
        <v/>
      </c>
      <c r="J77" s="83" t="str">
        <f aca="false">IF(D77="","",IFERROR(INDEX(식자재단가!$M$4:$M$203,MATCH(D77,식자재단가!$C$4:$C$203,0)),"과세"))</f>
        <v/>
      </c>
      <c r="K77" s="28" t="str">
        <f aca="false">IF(I77="","",IF(J77="과세",ROUND(I77*0.1,0),0))</f>
        <v/>
      </c>
      <c r="L77" s="28" t="str">
        <f aca="false">IF(I77="","",I77+K77)</f>
        <v/>
      </c>
      <c r="M77" s="10"/>
      <c r="N77" s="80"/>
      <c r="O77" s="80"/>
      <c r="P77" s="59" t="str">
        <f aca="false">IF(E77="","",IFERROR(INDEX(기본설정!$H$4:$H$14,MATCH(E77,기본설정!$G$4:$G$14,0)),""))</f>
        <v/>
      </c>
    </row>
    <row r="78" customFormat="false" ht="15" hidden="false" customHeight="false" outlineLevel="0" collapsed="false">
      <c r="A78" s="73"/>
      <c r="B78" s="10"/>
      <c r="C78" s="80"/>
      <c r="D78" s="80"/>
      <c r="E78" s="81" t="str">
        <f aca="false">IF(D78="","",IFERROR(INDEX(식자재단가!$B$4:$B$203,MATCH(D78,식자재단가!$C$4:$C$203,0)),""))</f>
        <v/>
      </c>
      <c r="F78" s="76"/>
      <c r="G78" s="59" t="str">
        <f aca="false">IF(D78="","",IFERROR(INDEX(식자재단가!$F$4:$F$203,MATCH(D78,식자재단가!$C$4:$C$203,0)),""))</f>
        <v/>
      </c>
      <c r="H78" s="50"/>
      <c r="I78" s="82" t="str">
        <f aca="false">IF(OR(F78="",H78=""),"",F78*H78)</f>
        <v/>
      </c>
      <c r="J78" s="83" t="str">
        <f aca="false">IF(D78="","",IFERROR(INDEX(식자재단가!$M$4:$M$203,MATCH(D78,식자재단가!$C$4:$C$203,0)),"과세"))</f>
        <v/>
      </c>
      <c r="K78" s="28" t="str">
        <f aca="false">IF(I78="","",IF(J78="과세",ROUND(I78*0.1,0),0))</f>
        <v/>
      </c>
      <c r="L78" s="28" t="str">
        <f aca="false">IF(I78="","",I78+K78)</f>
        <v/>
      </c>
      <c r="M78" s="10"/>
      <c r="N78" s="80"/>
      <c r="O78" s="80"/>
      <c r="P78" s="59" t="str">
        <f aca="false">IF(E78="","",IFERROR(INDEX(기본설정!$H$4:$H$14,MATCH(E78,기본설정!$G$4:$G$14,0)),""))</f>
        <v/>
      </c>
    </row>
    <row r="79" customFormat="false" ht="15" hidden="false" customHeight="false" outlineLevel="0" collapsed="false">
      <c r="A79" s="73"/>
      <c r="B79" s="10"/>
      <c r="C79" s="80"/>
      <c r="D79" s="80"/>
      <c r="E79" s="81" t="str">
        <f aca="false">IF(D79="","",IFERROR(INDEX(식자재단가!$B$4:$B$203,MATCH(D79,식자재단가!$C$4:$C$203,0)),""))</f>
        <v/>
      </c>
      <c r="F79" s="76"/>
      <c r="G79" s="59" t="str">
        <f aca="false">IF(D79="","",IFERROR(INDEX(식자재단가!$F$4:$F$203,MATCH(D79,식자재단가!$C$4:$C$203,0)),""))</f>
        <v/>
      </c>
      <c r="H79" s="50"/>
      <c r="I79" s="82" t="str">
        <f aca="false">IF(OR(F79="",H79=""),"",F79*H79)</f>
        <v/>
      </c>
      <c r="J79" s="83" t="str">
        <f aca="false">IF(D79="","",IFERROR(INDEX(식자재단가!$M$4:$M$203,MATCH(D79,식자재단가!$C$4:$C$203,0)),"과세"))</f>
        <v/>
      </c>
      <c r="K79" s="28" t="str">
        <f aca="false">IF(I79="","",IF(J79="과세",ROUND(I79*0.1,0),0))</f>
        <v/>
      </c>
      <c r="L79" s="28" t="str">
        <f aca="false">IF(I79="","",I79+K79)</f>
        <v/>
      </c>
      <c r="M79" s="10"/>
      <c r="N79" s="80"/>
      <c r="O79" s="80"/>
      <c r="P79" s="59" t="str">
        <f aca="false">IF(E79="","",IFERROR(INDEX(기본설정!$H$4:$H$14,MATCH(E79,기본설정!$G$4:$G$14,0)),""))</f>
        <v/>
      </c>
    </row>
    <row r="80" customFormat="false" ht="15" hidden="false" customHeight="false" outlineLevel="0" collapsed="false">
      <c r="A80" s="73"/>
      <c r="B80" s="10"/>
      <c r="C80" s="80"/>
      <c r="D80" s="80"/>
      <c r="E80" s="81" t="str">
        <f aca="false">IF(D80="","",IFERROR(INDEX(식자재단가!$B$4:$B$203,MATCH(D80,식자재단가!$C$4:$C$203,0)),""))</f>
        <v/>
      </c>
      <c r="F80" s="76"/>
      <c r="G80" s="59" t="str">
        <f aca="false">IF(D80="","",IFERROR(INDEX(식자재단가!$F$4:$F$203,MATCH(D80,식자재단가!$C$4:$C$203,0)),""))</f>
        <v/>
      </c>
      <c r="H80" s="50"/>
      <c r="I80" s="82" t="str">
        <f aca="false">IF(OR(F80="",H80=""),"",F80*H80)</f>
        <v/>
      </c>
      <c r="J80" s="83" t="str">
        <f aca="false">IF(D80="","",IFERROR(INDEX(식자재단가!$M$4:$M$203,MATCH(D80,식자재단가!$C$4:$C$203,0)),"과세"))</f>
        <v/>
      </c>
      <c r="K80" s="28" t="str">
        <f aca="false">IF(I80="","",IF(J80="과세",ROUND(I80*0.1,0),0))</f>
        <v/>
      </c>
      <c r="L80" s="28" t="str">
        <f aca="false">IF(I80="","",I80+K80)</f>
        <v/>
      </c>
      <c r="M80" s="10"/>
      <c r="N80" s="80"/>
      <c r="O80" s="80"/>
      <c r="P80" s="59" t="str">
        <f aca="false">IF(E80="","",IFERROR(INDEX(기본설정!$H$4:$H$14,MATCH(E80,기본설정!$G$4:$G$14,0)),""))</f>
        <v/>
      </c>
    </row>
    <row r="81" customFormat="false" ht="15" hidden="false" customHeight="false" outlineLevel="0" collapsed="false">
      <c r="A81" s="73"/>
      <c r="B81" s="10"/>
      <c r="C81" s="80"/>
      <c r="D81" s="80"/>
      <c r="E81" s="81" t="str">
        <f aca="false">IF(D81="","",IFERROR(INDEX(식자재단가!$B$4:$B$203,MATCH(D81,식자재단가!$C$4:$C$203,0)),""))</f>
        <v/>
      </c>
      <c r="F81" s="76"/>
      <c r="G81" s="59" t="str">
        <f aca="false">IF(D81="","",IFERROR(INDEX(식자재단가!$F$4:$F$203,MATCH(D81,식자재단가!$C$4:$C$203,0)),""))</f>
        <v/>
      </c>
      <c r="H81" s="50"/>
      <c r="I81" s="82" t="str">
        <f aca="false">IF(OR(F81="",H81=""),"",F81*H81)</f>
        <v/>
      </c>
      <c r="J81" s="83" t="str">
        <f aca="false">IF(D81="","",IFERROR(INDEX(식자재단가!$M$4:$M$203,MATCH(D81,식자재단가!$C$4:$C$203,0)),"과세"))</f>
        <v/>
      </c>
      <c r="K81" s="28" t="str">
        <f aca="false">IF(I81="","",IF(J81="과세",ROUND(I81*0.1,0),0))</f>
        <v/>
      </c>
      <c r="L81" s="28" t="str">
        <f aca="false">IF(I81="","",I81+K81)</f>
        <v/>
      </c>
      <c r="M81" s="10"/>
      <c r="N81" s="80"/>
      <c r="O81" s="80"/>
      <c r="P81" s="59" t="str">
        <f aca="false">IF(E81="","",IFERROR(INDEX(기본설정!$H$4:$H$14,MATCH(E81,기본설정!$G$4:$G$14,0)),""))</f>
        <v/>
      </c>
    </row>
    <row r="82" customFormat="false" ht="15" hidden="false" customHeight="false" outlineLevel="0" collapsed="false">
      <c r="A82" s="73"/>
      <c r="B82" s="10"/>
      <c r="C82" s="80"/>
      <c r="D82" s="80"/>
      <c r="E82" s="81" t="str">
        <f aca="false">IF(D82="","",IFERROR(INDEX(식자재단가!$B$4:$B$203,MATCH(D82,식자재단가!$C$4:$C$203,0)),""))</f>
        <v/>
      </c>
      <c r="F82" s="76"/>
      <c r="G82" s="59" t="str">
        <f aca="false">IF(D82="","",IFERROR(INDEX(식자재단가!$F$4:$F$203,MATCH(D82,식자재단가!$C$4:$C$203,0)),""))</f>
        <v/>
      </c>
      <c r="H82" s="50"/>
      <c r="I82" s="82" t="str">
        <f aca="false">IF(OR(F82="",H82=""),"",F82*H82)</f>
        <v/>
      </c>
      <c r="J82" s="83" t="str">
        <f aca="false">IF(D82="","",IFERROR(INDEX(식자재단가!$M$4:$M$203,MATCH(D82,식자재단가!$C$4:$C$203,0)),"과세"))</f>
        <v/>
      </c>
      <c r="K82" s="28" t="str">
        <f aca="false">IF(I82="","",IF(J82="과세",ROUND(I82*0.1,0),0))</f>
        <v/>
      </c>
      <c r="L82" s="28" t="str">
        <f aca="false">IF(I82="","",I82+K82)</f>
        <v/>
      </c>
      <c r="M82" s="10"/>
      <c r="N82" s="80"/>
      <c r="O82" s="80"/>
      <c r="P82" s="59" t="str">
        <f aca="false">IF(E82="","",IFERROR(INDEX(기본설정!$H$4:$H$14,MATCH(E82,기본설정!$G$4:$G$14,0)),""))</f>
        <v/>
      </c>
    </row>
    <row r="83" customFormat="false" ht="15" hidden="false" customHeight="false" outlineLevel="0" collapsed="false">
      <c r="A83" s="73"/>
      <c r="B83" s="10"/>
      <c r="C83" s="80"/>
      <c r="D83" s="80"/>
      <c r="E83" s="81" t="str">
        <f aca="false">IF(D83="","",IFERROR(INDEX(식자재단가!$B$4:$B$203,MATCH(D83,식자재단가!$C$4:$C$203,0)),""))</f>
        <v/>
      </c>
      <c r="F83" s="76"/>
      <c r="G83" s="59" t="str">
        <f aca="false">IF(D83="","",IFERROR(INDEX(식자재단가!$F$4:$F$203,MATCH(D83,식자재단가!$C$4:$C$203,0)),""))</f>
        <v/>
      </c>
      <c r="H83" s="50"/>
      <c r="I83" s="82" t="str">
        <f aca="false">IF(OR(F83="",H83=""),"",F83*H83)</f>
        <v/>
      </c>
      <c r="J83" s="83" t="str">
        <f aca="false">IF(D83="","",IFERROR(INDEX(식자재단가!$M$4:$M$203,MATCH(D83,식자재단가!$C$4:$C$203,0)),"과세"))</f>
        <v/>
      </c>
      <c r="K83" s="28" t="str">
        <f aca="false">IF(I83="","",IF(J83="과세",ROUND(I83*0.1,0),0))</f>
        <v/>
      </c>
      <c r="L83" s="28" t="str">
        <f aca="false">IF(I83="","",I83+K83)</f>
        <v/>
      </c>
      <c r="M83" s="10"/>
      <c r="N83" s="80"/>
      <c r="O83" s="80"/>
      <c r="P83" s="59" t="str">
        <f aca="false">IF(E83="","",IFERROR(INDEX(기본설정!$H$4:$H$14,MATCH(E83,기본설정!$G$4:$G$14,0)),""))</f>
        <v/>
      </c>
    </row>
    <row r="84" customFormat="false" ht="15" hidden="false" customHeight="false" outlineLevel="0" collapsed="false">
      <c r="A84" s="73"/>
      <c r="B84" s="10"/>
      <c r="C84" s="80"/>
      <c r="D84" s="80"/>
      <c r="E84" s="81" t="str">
        <f aca="false">IF(D84="","",IFERROR(INDEX(식자재단가!$B$4:$B$203,MATCH(D84,식자재단가!$C$4:$C$203,0)),""))</f>
        <v/>
      </c>
      <c r="F84" s="76"/>
      <c r="G84" s="59" t="str">
        <f aca="false">IF(D84="","",IFERROR(INDEX(식자재단가!$F$4:$F$203,MATCH(D84,식자재단가!$C$4:$C$203,0)),""))</f>
        <v/>
      </c>
      <c r="H84" s="50"/>
      <c r="I84" s="82" t="str">
        <f aca="false">IF(OR(F84="",H84=""),"",F84*H84)</f>
        <v/>
      </c>
      <c r="J84" s="83" t="str">
        <f aca="false">IF(D84="","",IFERROR(INDEX(식자재단가!$M$4:$M$203,MATCH(D84,식자재단가!$C$4:$C$203,0)),"과세"))</f>
        <v/>
      </c>
      <c r="K84" s="28" t="str">
        <f aca="false">IF(I84="","",IF(J84="과세",ROUND(I84*0.1,0),0))</f>
        <v/>
      </c>
      <c r="L84" s="28" t="str">
        <f aca="false">IF(I84="","",I84+K84)</f>
        <v/>
      </c>
      <c r="M84" s="10"/>
      <c r="N84" s="80"/>
      <c r="O84" s="80"/>
      <c r="P84" s="59" t="str">
        <f aca="false">IF(E84="","",IFERROR(INDEX(기본설정!$H$4:$H$14,MATCH(E84,기본설정!$G$4:$G$14,0)),""))</f>
        <v/>
      </c>
    </row>
    <row r="85" customFormat="false" ht="15" hidden="false" customHeight="false" outlineLevel="0" collapsed="false">
      <c r="A85" s="73"/>
      <c r="B85" s="10"/>
      <c r="C85" s="80"/>
      <c r="D85" s="80"/>
      <c r="E85" s="81" t="str">
        <f aca="false">IF(D85="","",IFERROR(INDEX(식자재단가!$B$4:$B$203,MATCH(D85,식자재단가!$C$4:$C$203,0)),""))</f>
        <v/>
      </c>
      <c r="F85" s="76"/>
      <c r="G85" s="59" t="str">
        <f aca="false">IF(D85="","",IFERROR(INDEX(식자재단가!$F$4:$F$203,MATCH(D85,식자재단가!$C$4:$C$203,0)),""))</f>
        <v/>
      </c>
      <c r="H85" s="50"/>
      <c r="I85" s="82" t="str">
        <f aca="false">IF(OR(F85="",H85=""),"",F85*H85)</f>
        <v/>
      </c>
      <c r="J85" s="83" t="str">
        <f aca="false">IF(D85="","",IFERROR(INDEX(식자재단가!$M$4:$M$203,MATCH(D85,식자재단가!$C$4:$C$203,0)),"과세"))</f>
        <v/>
      </c>
      <c r="K85" s="28" t="str">
        <f aca="false">IF(I85="","",IF(J85="과세",ROUND(I85*0.1,0),0))</f>
        <v/>
      </c>
      <c r="L85" s="28" t="str">
        <f aca="false">IF(I85="","",I85+K85)</f>
        <v/>
      </c>
      <c r="M85" s="10"/>
      <c r="N85" s="80"/>
      <c r="O85" s="80"/>
      <c r="P85" s="59" t="str">
        <f aca="false">IF(E85="","",IFERROR(INDEX(기본설정!$H$4:$H$14,MATCH(E85,기본설정!$G$4:$G$14,0)),""))</f>
        <v/>
      </c>
    </row>
    <row r="86" customFormat="false" ht="15" hidden="false" customHeight="false" outlineLevel="0" collapsed="false">
      <c r="A86" s="73"/>
      <c r="B86" s="10"/>
      <c r="C86" s="80"/>
      <c r="D86" s="80"/>
      <c r="E86" s="81" t="str">
        <f aca="false">IF(D86="","",IFERROR(INDEX(식자재단가!$B$4:$B$203,MATCH(D86,식자재단가!$C$4:$C$203,0)),""))</f>
        <v/>
      </c>
      <c r="F86" s="76"/>
      <c r="G86" s="59" t="str">
        <f aca="false">IF(D86="","",IFERROR(INDEX(식자재단가!$F$4:$F$203,MATCH(D86,식자재단가!$C$4:$C$203,0)),""))</f>
        <v/>
      </c>
      <c r="H86" s="50"/>
      <c r="I86" s="82" t="str">
        <f aca="false">IF(OR(F86="",H86=""),"",F86*H86)</f>
        <v/>
      </c>
      <c r="J86" s="83" t="str">
        <f aca="false">IF(D86="","",IFERROR(INDEX(식자재단가!$M$4:$M$203,MATCH(D86,식자재단가!$C$4:$C$203,0)),"과세"))</f>
        <v/>
      </c>
      <c r="K86" s="28" t="str">
        <f aca="false">IF(I86="","",IF(J86="과세",ROUND(I86*0.1,0),0))</f>
        <v/>
      </c>
      <c r="L86" s="28" t="str">
        <f aca="false">IF(I86="","",I86+K86)</f>
        <v/>
      </c>
      <c r="M86" s="10"/>
      <c r="N86" s="80"/>
      <c r="O86" s="80"/>
      <c r="P86" s="59" t="str">
        <f aca="false">IF(E86="","",IFERROR(INDEX(기본설정!$H$4:$H$14,MATCH(E86,기본설정!$G$4:$G$14,0)),""))</f>
        <v/>
      </c>
    </row>
    <row r="87" customFormat="false" ht="15" hidden="false" customHeight="false" outlineLevel="0" collapsed="false">
      <c r="A87" s="73"/>
      <c r="B87" s="10"/>
      <c r="C87" s="80"/>
      <c r="D87" s="80"/>
      <c r="E87" s="81" t="str">
        <f aca="false">IF(D87="","",IFERROR(INDEX(식자재단가!$B$4:$B$203,MATCH(D87,식자재단가!$C$4:$C$203,0)),""))</f>
        <v/>
      </c>
      <c r="F87" s="76"/>
      <c r="G87" s="59" t="str">
        <f aca="false">IF(D87="","",IFERROR(INDEX(식자재단가!$F$4:$F$203,MATCH(D87,식자재단가!$C$4:$C$203,0)),""))</f>
        <v/>
      </c>
      <c r="H87" s="50"/>
      <c r="I87" s="82" t="str">
        <f aca="false">IF(OR(F87="",H87=""),"",F87*H87)</f>
        <v/>
      </c>
      <c r="J87" s="83" t="str">
        <f aca="false">IF(D87="","",IFERROR(INDEX(식자재단가!$M$4:$M$203,MATCH(D87,식자재단가!$C$4:$C$203,0)),"과세"))</f>
        <v/>
      </c>
      <c r="K87" s="28" t="str">
        <f aca="false">IF(I87="","",IF(J87="과세",ROUND(I87*0.1,0),0))</f>
        <v/>
      </c>
      <c r="L87" s="28" t="str">
        <f aca="false">IF(I87="","",I87+K87)</f>
        <v/>
      </c>
      <c r="M87" s="10"/>
      <c r="N87" s="80"/>
      <c r="O87" s="80"/>
      <c r="P87" s="59" t="str">
        <f aca="false">IF(E87="","",IFERROR(INDEX(기본설정!$H$4:$H$14,MATCH(E87,기본설정!$G$4:$G$14,0)),""))</f>
        <v/>
      </c>
    </row>
    <row r="88" customFormat="false" ht="15" hidden="false" customHeight="false" outlineLevel="0" collapsed="false">
      <c r="A88" s="73"/>
      <c r="B88" s="10"/>
      <c r="C88" s="80"/>
      <c r="D88" s="80"/>
      <c r="E88" s="81" t="str">
        <f aca="false">IF(D88="","",IFERROR(INDEX(식자재단가!$B$4:$B$203,MATCH(D88,식자재단가!$C$4:$C$203,0)),""))</f>
        <v/>
      </c>
      <c r="F88" s="76"/>
      <c r="G88" s="59" t="str">
        <f aca="false">IF(D88="","",IFERROR(INDEX(식자재단가!$F$4:$F$203,MATCH(D88,식자재단가!$C$4:$C$203,0)),""))</f>
        <v/>
      </c>
      <c r="H88" s="50"/>
      <c r="I88" s="82" t="str">
        <f aca="false">IF(OR(F88="",H88=""),"",F88*H88)</f>
        <v/>
      </c>
      <c r="J88" s="83" t="str">
        <f aca="false">IF(D88="","",IFERROR(INDEX(식자재단가!$M$4:$M$203,MATCH(D88,식자재단가!$C$4:$C$203,0)),"과세"))</f>
        <v/>
      </c>
      <c r="K88" s="28" t="str">
        <f aca="false">IF(I88="","",IF(J88="과세",ROUND(I88*0.1,0),0))</f>
        <v/>
      </c>
      <c r="L88" s="28" t="str">
        <f aca="false">IF(I88="","",I88+K88)</f>
        <v/>
      </c>
      <c r="M88" s="10"/>
      <c r="N88" s="80"/>
      <c r="O88" s="80"/>
      <c r="P88" s="59" t="str">
        <f aca="false">IF(E88="","",IFERROR(INDEX(기본설정!$H$4:$H$14,MATCH(E88,기본설정!$G$4:$G$14,0)),""))</f>
        <v/>
      </c>
    </row>
    <row r="89" customFormat="false" ht="15" hidden="false" customHeight="false" outlineLevel="0" collapsed="false">
      <c r="A89" s="73"/>
      <c r="B89" s="10"/>
      <c r="C89" s="80"/>
      <c r="D89" s="80"/>
      <c r="E89" s="81" t="str">
        <f aca="false">IF(D89="","",IFERROR(INDEX(식자재단가!$B$4:$B$203,MATCH(D89,식자재단가!$C$4:$C$203,0)),""))</f>
        <v/>
      </c>
      <c r="F89" s="76"/>
      <c r="G89" s="59" t="str">
        <f aca="false">IF(D89="","",IFERROR(INDEX(식자재단가!$F$4:$F$203,MATCH(D89,식자재단가!$C$4:$C$203,0)),""))</f>
        <v/>
      </c>
      <c r="H89" s="50"/>
      <c r="I89" s="82" t="str">
        <f aca="false">IF(OR(F89="",H89=""),"",F89*H89)</f>
        <v/>
      </c>
      <c r="J89" s="83" t="str">
        <f aca="false">IF(D89="","",IFERROR(INDEX(식자재단가!$M$4:$M$203,MATCH(D89,식자재단가!$C$4:$C$203,0)),"과세"))</f>
        <v/>
      </c>
      <c r="K89" s="28" t="str">
        <f aca="false">IF(I89="","",IF(J89="과세",ROUND(I89*0.1,0),0))</f>
        <v/>
      </c>
      <c r="L89" s="28" t="str">
        <f aca="false">IF(I89="","",I89+K89)</f>
        <v/>
      </c>
      <c r="M89" s="10"/>
      <c r="N89" s="80"/>
      <c r="O89" s="80"/>
      <c r="P89" s="59" t="str">
        <f aca="false">IF(E89="","",IFERROR(INDEX(기본설정!$H$4:$H$14,MATCH(E89,기본설정!$G$4:$G$14,0)),""))</f>
        <v/>
      </c>
    </row>
    <row r="90" customFormat="false" ht="15" hidden="false" customHeight="false" outlineLevel="0" collapsed="false">
      <c r="A90" s="73"/>
      <c r="B90" s="10"/>
      <c r="C90" s="80"/>
      <c r="D90" s="80"/>
      <c r="E90" s="81" t="str">
        <f aca="false">IF(D90="","",IFERROR(INDEX(식자재단가!$B$4:$B$203,MATCH(D90,식자재단가!$C$4:$C$203,0)),""))</f>
        <v/>
      </c>
      <c r="F90" s="76"/>
      <c r="G90" s="59" t="str">
        <f aca="false">IF(D90="","",IFERROR(INDEX(식자재단가!$F$4:$F$203,MATCH(D90,식자재단가!$C$4:$C$203,0)),""))</f>
        <v/>
      </c>
      <c r="H90" s="50"/>
      <c r="I90" s="82" t="str">
        <f aca="false">IF(OR(F90="",H90=""),"",F90*H90)</f>
        <v/>
      </c>
      <c r="J90" s="83" t="str">
        <f aca="false">IF(D90="","",IFERROR(INDEX(식자재단가!$M$4:$M$203,MATCH(D90,식자재단가!$C$4:$C$203,0)),"과세"))</f>
        <v/>
      </c>
      <c r="K90" s="28" t="str">
        <f aca="false">IF(I90="","",IF(J90="과세",ROUND(I90*0.1,0),0))</f>
        <v/>
      </c>
      <c r="L90" s="28" t="str">
        <f aca="false">IF(I90="","",I90+K90)</f>
        <v/>
      </c>
      <c r="M90" s="10"/>
      <c r="N90" s="80"/>
      <c r="O90" s="80"/>
      <c r="P90" s="59" t="str">
        <f aca="false">IF(E90="","",IFERROR(INDEX(기본설정!$H$4:$H$14,MATCH(E90,기본설정!$G$4:$G$14,0)),""))</f>
        <v/>
      </c>
    </row>
    <row r="91" customFormat="false" ht="15" hidden="false" customHeight="false" outlineLevel="0" collapsed="false">
      <c r="A91" s="73"/>
      <c r="B91" s="10"/>
      <c r="C91" s="80"/>
      <c r="D91" s="80"/>
      <c r="E91" s="81" t="str">
        <f aca="false">IF(D91="","",IFERROR(INDEX(식자재단가!$B$4:$B$203,MATCH(D91,식자재단가!$C$4:$C$203,0)),""))</f>
        <v/>
      </c>
      <c r="F91" s="76"/>
      <c r="G91" s="59" t="str">
        <f aca="false">IF(D91="","",IFERROR(INDEX(식자재단가!$F$4:$F$203,MATCH(D91,식자재단가!$C$4:$C$203,0)),""))</f>
        <v/>
      </c>
      <c r="H91" s="50"/>
      <c r="I91" s="82" t="str">
        <f aca="false">IF(OR(F91="",H91=""),"",F91*H91)</f>
        <v/>
      </c>
      <c r="J91" s="83" t="str">
        <f aca="false">IF(D91="","",IFERROR(INDEX(식자재단가!$M$4:$M$203,MATCH(D91,식자재단가!$C$4:$C$203,0)),"과세"))</f>
        <v/>
      </c>
      <c r="K91" s="28" t="str">
        <f aca="false">IF(I91="","",IF(J91="과세",ROUND(I91*0.1,0),0))</f>
        <v/>
      </c>
      <c r="L91" s="28" t="str">
        <f aca="false">IF(I91="","",I91+K91)</f>
        <v/>
      </c>
      <c r="M91" s="10"/>
      <c r="N91" s="80"/>
      <c r="O91" s="80"/>
      <c r="P91" s="59" t="str">
        <f aca="false">IF(E91="","",IFERROR(INDEX(기본설정!$H$4:$H$14,MATCH(E91,기본설정!$G$4:$G$14,0)),""))</f>
        <v/>
      </c>
    </row>
    <row r="92" customFormat="false" ht="15" hidden="false" customHeight="false" outlineLevel="0" collapsed="false">
      <c r="A92" s="73"/>
      <c r="B92" s="10"/>
      <c r="C92" s="80"/>
      <c r="D92" s="80"/>
      <c r="E92" s="81" t="str">
        <f aca="false">IF(D92="","",IFERROR(INDEX(식자재단가!$B$4:$B$203,MATCH(D92,식자재단가!$C$4:$C$203,0)),""))</f>
        <v/>
      </c>
      <c r="F92" s="76"/>
      <c r="G92" s="59" t="str">
        <f aca="false">IF(D92="","",IFERROR(INDEX(식자재단가!$F$4:$F$203,MATCH(D92,식자재단가!$C$4:$C$203,0)),""))</f>
        <v/>
      </c>
      <c r="H92" s="50"/>
      <c r="I92" s="82" t="str">
        <f aca="false">IF(OR(F92="",H92=""),"",F92*H92)</f>
        <v/>
      </c>
      <c r="J92" s="83" t="str">
        <f aca="false">IF(D92="","",IFERROR(INDEX(식자재단가!$M$4:$M$203,MATCH(D92,식자재단가!$C$4:$C$203,0)),"과세"))</f>
        <v/>
      </c>
      <c r="K92" s="28" t="str">
        <f aca="false">IF(I92="","",IF(J92="과세",ROUND(I92*0.1,0),0))</f>
        <v/>
      </c>
      <c r="L92" s="28" t="str">
        <f aca="false">IF(I92="","",I92+K92)</f>
        <v/>
      </c>
      <c r="M92" s="10"/>
      <c r="N92" s="80"/>
      <c r="O92" s="80"/>
      <c r="P92" s="59" t="str">
        <f aca="false">IF(E92="","",IFERROR(INDEX(기본설정!$H$4:$H$14,MATCH(E92,기본설정!$G$4:$G$14,0)),""))</f>
        <v/>
      </c>
    </row>
    <row r="93" customFormat="false" ht="15" hidden="false" customHeight="false" outlineLevel="0" collapsed="false">
      <c r="A93" s="73"/>
      <c r="B93" s="10"/>
      <c r="C93" s="80"/>
      <c r="D93" s="80"/>
      <c r="E93" s="81" t="str">
        <f aca="false">IF(D93="","",IFERROR(INDEX(식자재단가!$B$4:$B$203,MATCH(D93,식자재단가!$C$4:$C$203,0)),""))</f>
        <v/>
      </c>
      <c r="F93" s="76"/>
      <c r="G93" s="59" t="str">
        <f aca="false">IF(D93="","",IFERROR(INDEX(식자재단가!$F$4:$F$203,MATCH(D93,식자재단가!$C$4:$C$203,0)),""))</f>
        <v/>
      </c>
      <c r="H93" s="50"/>
      <c r="I93" s="82" t="str">
        <f aca="false">IF(OR(F93="",H93=""),"",F93*H93)</f>
        <v/>
      </c>
      <c r="J93" s="83" t="str">
        <f aca="false">IF(D93="","",IFERROR(INDEX(식자재단가!$M$4:$M$203,MATCH(D93,식자재단가!$C$4:$C$203,0)),"과세"))</f>
        <v/>
      </c>
      <c r="K93" s="28" t="str">
        <f aca="false">IF(I93="","",IF(J93="과세",ROUND(I93*0.1,0),0))</f>
        <v/>
      </c>
      <c r="L93" s="28" t="str">
        <f aca="false">IF(I93="","",I93+K93)</f>
        <v/>
      </c>
      <c r="M93" s="10"/>
      <c r="N93" s="80"/>
      <c r="O93" s="80"/>
      <c r="P93" s="59" t="str">
        <f aca="false">IF(E93="","",IFERROR(INDEX(기본설정!$H$4:$H$14,MATCH(E93,기본설정!$G$4:$G$14,0)),""))</f>
        <v/>
      </c>
    </row>
    <row r="94" customFormat="false" ht="15" hidden="false" customHeight="false" outlineLevel="0" collapsed="false">
      <c r="A94" s="73"/>
      <c r="B94" s="10"/>
      <c r="C94" s="80"/>
      <c r="D94" s="80"/>
      <c r="E94" s="81" t="str">
        <f aca="false">IF(D94="","",IFERROR(INDEX(식자재단가!$B$4:$B$203,MATCH(D94,식자재단가!$C$4:$C$203,0)),""))</f>
        <v/>
      </c>
      <c r="F94" s="76"/>
      <c r="G94" s="59" t="str">
        <f aca="false">IF(D94="","",IFERROR(INDEX(식자재단가!$F$4:$F$203,MATCH(D94,식자재단가!$C$4:$C$203,0)),""))</f>
        <v/>
      </c>
      <c r="H94" s="50"/>
      <c r="I94" s="82" t="str">
        <f aca="false">IF(OR(F94="",H94=""),"",F94*H94)</f>
        <v/>
      </c>
      <c r="J94" s="83" t="str">
        <f aca="false">IF(D94="","",IFERROR(INDEX(식자재단가!$M$4:$M$203,MATCH(D94,식자재단가!$C$4:$C$203,0)),"과세"))</f>
        <v/>
      </c>
      <c r="K94" s="28" t="str">
        <f aca="false">IF(I94="","",IF(J94="과세",ROUND(I94*0.1,0),0))</f>
        <v/>
      </c>
      <c r="L94" s="28" t="str">
        <f aca="false">IF(I94="","",I94+K94)</f>
        <v/>
      </c>
      <c r="M94" s="10"/>
      <c r="N94" s="80"/>
      <c r="O94" s="80"/>
      <c r="P94" s="59" t="str">
        <f aca="false">IF(E94="","",IFERROR(INDEX(기본설정!$H$4:$H$14,MATCH(E94,기본설정!$G$4:$G$14,0)),""))</f>
        <v/>
      </c>
    </row>
    <row r="95" customFormat="false" ht="15" hidden="false" customHeight="false" outlineLevel="0" collapsed="false">
      <c r="A95" s="73"/>
      <c r="B95" s="10"/>
      <c r="C95" s="80"/>
      <c r="D95" s="80"/>
      <c r="E95" s="81" t="str">
        <f aca="false">IF(D95="","",IFERROR(INDEX(식자재단가!$B$4:$B$203,MATCH(D95,식자재단가!$C$4:$C$203,0)),""))</f>
        <v/>
      </c>
      <c r="F95" s="76"/>
      <c r="G95" s="59" t="str">
        <f aca="false">IF(D95="","",IFERROR(INDEX(식자재단가!$F$4:$F$203,MATCH(D95,식자재단가!$C$4:$C$203,0)),""))</f>
        <v/>
      </c>
      <c r="H95" s="50"/>
      <c r="I95" s="82" t="str">
        <f aca="false">IF(OR(F95="",H95=""),"",F95*H95)</f>
        <v/>
      </c>
      <c r="J95" s="83" t="str">
        <f aca="false">IF(D95="","",IFERROR(INDEX(식자재단가!$M$4:$M$203,MATCH(D95,식자재단가!$C$4:$C$203,0)),"과세"))</f>
        <v/>
      </c>
      <c r="K95" s="28" t="str">
        <f aca="false">IF(I95="","",IF(J95="과세",ROUND(I95*0.1,0),0))</f>
        <v/>
      </c>
      <c r="L95" s="28" t="str">
        <f aca="false">IF(I95="","",I95+K95)</f>
        <v/>
      </c>
      <c r="M95" s="10"/>
      <c r="N95" s="80"/>
      <c r="O95" s="80"/>
      <c r="P95" s="59" t="str">
        <f aca="false">IF(E95="","",IFERROR(INDEX(기본설정!$H$4:$H$14,MATCH(E95,기본설정!$G$4:$G$14,0)),""))</f>
        <v/>
      </c>
    </row>
    <row r="96" customFormat="false" ht="15" hidden="false" customHeight="false" outlineLevel="0" collapsed="false">
      <c r="A96" s="73"/>
      <c r="B96" s="10"/>
      <c r="C96" s="80"/>
      <c r="D96" s="80"/>
      <c r="E96" s="81" t="str">
        <f aca="false">IF(D96="","",IFERROR(INDEX(식자재단가!$B$4:$B$203,MATCH(D96,식자재단가!$C$4:$C$203,0)),""))</f>
        <v/>
      </c>
      <c r="F96" s="76"/>
      <c r="G96" s="59" t="str">
        <f aca="false">IF(D96="","",IFERROR(INDEX(식자재단가!$F$4:$F$203,MATCH(D96,식자재단가!$C$4:$C$203,0)),""))</f>
        <v/>
      </c>
      <c r="H96" s="50"/>
      <c r="I96" s="82" t="str">
        <f aca="false">IF(OR(F96="",H96=""),"",F96*H96)</f>
        <v/>
      </c>
      <c r="J96" s="83" t="str">
        <f aca="false">IF(D96="","",IFERROR(INDEX(식자재단가!$M$4:$M$203,MATCH(D96,식자재단가!$C$4:$C$203,0)),"과세"))</f>
        <v/>
      </c>
      <c r="K96" s="28" t="str">
        <f aca="false">IF(I96="","",IF(J96="과세",ROUND(I96*0.1,0),0))</f>
        <v/>
      </c>
      <c r="L96" s="28" t="str">
        <f aca="false">IF(I96="","",I96+K96)</f>
        <v/>
      </c>
      <c r="M96" s="10"/>
      <c r="N96" s="80"/>
      <c r="O96" s="80"/>
      <c r="P96" s="59" t="str">
        <f aca="false">IF(E96="","",IFERROR(INDEX(기본설정!$H$4:$H$14,MATCH(E96,기본설정!$G$4:$G$14,0)),""))</f>
        <v/>
      </c>
    </row>
    <row r="97" customFormat="false" ht="15" hidden="false" customHeight="false" outlineLevel="0" collapsed="false">
      <c r="A97" s="73"/>
      <c r="B97" s="10"/>
      <c r="C97" s="80"/>
      <c r="D97" s="80"/>
      <c r="E97" s="81" t="str">
        <f aca="false">IF(D97="","",IFERROR(INDEX(식자재단가!$B$4:$B$203,MATCH(D97,식자재단가!$C$4:$C$203,0)),""))</f>
        <v/>
      </c>
      <c r="F97" s="76"/>
      <c r="G97" s="59" t="str">
        <f aca="false">IF(D97="","",IFERROR(INDEX(식자재단가!$F$4:$F$203,MATCH(D97,식자재단가!$C$4:$C$203,0)),""))</f>
        <v/>
      </c>
      <c r="H97" s="50"/>
      <c r="I97" s="82" t="str">
        <f aca="false">IF(OR(F97="",H97=""),"",F97*H97)</f>
        <v/>
      </c>
      <c r="J97" s="83" t="str">
        <f aca="false">IF(D97="","",IFERROR(INDEX(식자재단가!$M$4:$M$203,MATCH(D97,식자재단가!$C$4:$C$203,0)),"과세"))</f>
        <v/>
      </c>
      <c r="K97" s="28" t="str">
        <f aca="false">IF(I97="","",IF(J97="과세",ROUND(I97*0.1,0),0))</f>
        <v/>
      </c>
      <c r="L97" s="28" t="str">
        <f aca="false">IF(I97="","",I97+K97)</f>
        <v/>
      </c>
      <c r="M97" s="10"/>
      <c r="N97" s="80"/>
      <c r="O97" s="80"/>
      <c r="P97" s="59" t="str">
        <f aca="false">IF(E97="","",IFERROR(INDEX(기본설정!$H$4:$H$14,MATCH(E97,기본설정!$G$4:$G$14,0)),""))</f>
        <v/>
      </c>
    </row>
    <row r="98" customFormat="false" ht="15" hidden="false" customHeight="false" outlineLevel="0" collapsed="false">
      <c r="A98" s="73"/>
      <c r="B98" s="10"/>
      <c r="C98" s="80"/>
      <c r="D98" s="80"/>
      <c r="E98" s="81" t="str">
        <f aca="false">IF(D98="","",IFERROR(INDEX(식자재단가!$B$4:$B$203,MATCH(D98,식자재단가!$C$4:$C$203,0)),""))</f>
        <v/>
      </c>
      <c r="F98" s="76"/>
      <c r="G98" s="59" t="str">
        <f aca="false">IF(D98="","",IFERROR(INDEX(식자재단가!$F$4:$F$203,MATCH(D98,식자재단가!$C$4:$C$203,0)),""))</f>
        <v/>
      </c>
      <c r="H98" s="50"/>
      <c r="I98" s="82" t="str">
        <f aca="false">IF(OR(F98="",H98=""),"",F98*H98)</f>
        <v/>
      </c>
      <c r="J98" s="83" t="str">
        <f aca="false">IF(D98="","",IFERROR(INDEX(식자재단가!$M$4:$M$203,MATCH(D98,식자재단가!$C$4:$C$203,0)),"과세"))</f>
        <v/>
      </c>
      <c r="K98" s="28" t="str">
        <f aca="false">IF(I98="","",IF(J98="과세",ROUND(I98*0.1,0),0))</f>
        <v/>
      </c>
      <c r="L98" s="28" t="str">
        <f aca="false">IF(I98="","",I98+K98)</f>
        <v/>
      </c>
      <c r="M98" s="10"/>
      <c r="N98" s="80"/>
      <c r="O98" s="80"/>
      <c r="P98" s="59" t="str">
        <f aca="false">IF(E98="","",IFERROR(INDEX(기본설정!$H$4:$H$14,MATCH(E98,기본설정!$G$4:$G$14,0)),""))</f>
        <v/>
      </c>
    </row>
    <row r="99" customFormat="false" ht="15" hidden="false" customHeight="false" outlineLevel="0" collapsed="false">
      <c r="A99" s="73"/>
      <c r="B99" s="10"/>
      <c r="C99" s="80"/>
      <c r="D99" s="80"/>
      <c r="E99" s="81" t="str">
        <f aca="false">IF(D99="","",IFERROR(INDEX(식자재단가!$B$4:$B$203,MATCH(D99,식자재단가!$C$4:$C$203,0)),""))</f>
        <v/>
      </c>
      <c r="F99" s="76"/>
      <c r="G99" s="59" t="str">
        <f aca="false">IF(D99="","",IFERROR(INDEX(식자재단가!$F$4:$F$203,MATCH(D99,식자재단가!$C$4:$C$203,0)),""))</f>
        <v/>
      </c>
      <c r="H99" s="50"/>
      <c r="I99" s="82" t="str">
        <f aca="false">IF(OR(F99="",H99=""),"",F99*H99)</f>
        <v/>
      </c>
      <c r="J99" s="83" t="str">
        <f aca="false">IF(D99="","",IFERROR(INDEX(식자재단가!$M$4:$M$203,MATCH(D99,식자재단가!$C$4:$C$203,0)),"과세"))</f>
        <v/>
      </c>
      <c r="K99" s="28" t="str">
        <f aca="false">IF(I99="","",IF(J99="과세",ROUND(I99*0.1,0),0))</f>
        <v/>
      </c>
      <c r="L99" s="28" t="str">
        <f aca="false">IF(I99="","",I99+K99)</f>
        <v/>
      </c>
      <c r="M99" s="10"/>
      <c r="N99" s="80"/>
      <c r="O99" s="80"/>
      <c r="P99" s="59" t="str">
        <f aca="false">IF(E99="","",IFERROR(INDEX(기본설정!$H$4:$H$14,MATCH(E99,기본설정!$G$4:$G$14,0)),""))</f>
        <v/>
      </c>
    </row>
    <row r="100" customFormat="false" ht="15" hidden="false" customHeight="false" outlineLevel="0" collapsed="false">
      <c r="A100" s="73"/>
      <c r="B100" s="10"/>
      <c r="C100" s="80"/>
      <c r="D100" s="80"/>
      <c r="E100" s="81" t="str">
        <f aca="false">IF(D100="","",IFERROR(INDEX(식자재단가!$B$4:$B$203,MATCH(D100,식자재단가!$C$4:$C$203,0)),""))</f>
        <v/>
      </c>
      <c r="F100" s="76"/>
      <c r="G100" s="59" t="str">
        <f aca="false">IF(D100="","",IFERROR(INDEX(식자재단가!$F$4:$F$203,MATCH(D100,식자재단가!$C$4:$C$203,0)),""))</f>
        <v/>
      </c>
      <c r="H100" s="50"/>
      <c r="I100" s="82" t="str">
        <f aca="false">IF(OR(F100="",H100=""),"",F100*H100)</f>
        <v/>
      </c>
      <c r="J100" s="83" t="str">
        <f aca="false">IF(D100="","",IFERROR(INDEX(식자재단가!$M$4:$M$203,MATCH(D100,식자재단가!$C$4:$C$203,0)),"과세"))</f>
        <v/>
      </c>
      <c r="K100" s="28" t="str">
        <f aca="false">IF(I100="","",IF(J100="과세",ROUND(I100*0.1,0),0))</f>
        <v/>
      </c>
      <c r="L100" s="28" t="str">
        <f aca="false">IF(I100="","",I100+K100)</f>
        <v/>
      </c>
      <c r="M100" s="10"/>
      <c r="N100" s="80"/>
      <c r="O100" s="80"/>
      <c r="P100" s="59" t="str">
        <f aca="false">IF(E100="","",IFERROR(INDEX(기본설정!$H$4:$H$14,MATCH(E100,기본설정!$G$4:$G$14,0)),""))</f>
        <v/>
      </c>
    </row>
    <row r="101" customFormat="false" ht="15" hidden="false" customHeight="false" outlineLevel="0" collapsed="false">
      <c r="A101" s="73"/>
      <c r="B101" s="10"/>
      <c r="C101" s="80"/>
      <c r="D101" s="80"/>
      <c r="E101" s="81" t="str">
        <f aca="false">IF(D101="","",IFERROR(INDEX(식자재단가!$B$4:$B$203,MATCH(D101,식자재단가!$C$4:$C$203,0)),""))</f>
        <v/>
      </c>
      <c r="F101" s="76"/>
      <c r="G101" s="59" t="str">
        <f aca="false">IF(D101="","",IFERROR(INDEX(식자재단가!$F$4:$F$203,MATCH(D101,식자재단가!$C$4:$C$203,0)),""))</f>
        <v/>
      </c>
      <c r="H101" s="50"/>
      <c r="I101" s="82" t="str">
        <f aca="false">IF(OR(F101="",H101=""),"",F101*H101)</f>
        <v/>
      </c>
      <c r="J101" s="83" t="str">
        <f aca="false">IF(D101="","",IFERROR(INDEX(식자재단가!$M$4:$M$203,MATCH(D101,식자재단가!$C$4:$C$203,0)),"과세"))</f>
        <v/>
      </c>
      <c r="K101" s="28" t="str">
        <f aca="false">IF(I101="","",IF(J101="과세",ROUND(I101*0.1,0),0))</f>
        <v/>
      </c>
      <c r="L101" s="28" t="str">
        <f aca="false">IF(I101="","",I101+K101)</f>
        <v/>
      </c>
      <c r="M101" s="10"/>
      <c r="N101" s="80"/>
      <c r="O101" s="80"/>
      <c r="P101" s="59" t="str">
        <f aca="false">IF(E101="","",IFERROR(INDEX(기본설정!$H$4:$H$14,MATCH(E101,기본설정!$G$4:$G$14,0)),""))</f>
        <v/>
      </c>
    </row>
    <row r="102" customFormat="false" ht="15" hidden="false" customHeight="false" outlineLevel="0" collapsed="false">
      <c r="A102" s="73"/>
      <c r="B102" s="10"/>
      <c r="C102" s="80"/>
      <c r="D102" s="80"/>
      <c r="E102" s="81" t="str">
        <f aca="false">IF(D102="","",IFERROR(INDEX(식자재단가!$B$4:$B$203,MATCH(D102,식자재단가!$C$4:$C$203,0)),""))</f>
        <v/>
      </c>
      <c r="F102" s="76"/>
      <c r="G102" s="59" t="str">
        <f aca="false">IF(D102="","",IFERROR(INDEX(식자재단가!$F$4:$F$203,MATCH(D102,식자재단가!$C$4:$C$203,0)),""))</f>
        <v/>
      </c>
      <c r="H102" s="50"/>
      <c r="I102" s="82" t="str">
        <f aca="false">IF(OR(F102="",H102=""),"",F102*H102)</f>
        <v/>
      </c>
      <c r="J102" s="83" t="str">
        <f aca="false">IF(D102="","",IFERROR(INDEX(식자재단가!$M$4:$M$203,MATCH(D102,식자재단가!$C$4:$C$203,0)),"과세"))</f>
        <v/>
      </c>
      <c r="K102" s="28" t="str">
        <f aca="false">IF(I102="","",IF(J102="과세",ROUND(I102*0.1,0),0))</f>
        <v/>
      </c>
      <c r="L102" s="28" t="str">
        <f aca="false">IF(I102="","",I102+K102)</f>
        <v/>
      </c>
      <c r="M102" s="10"/>
      <c r="N102" s="80"/>
      <c r="O102" s="80"/>
      <c r="P102" s="59" t="str">
        <f aca="false">IF(E102="","",IFERROR(INDEX(기본설정!$H$4:$H$14,MATCH(E102,기본설정!$G$4:$G$14,0)),""))</f>
        <v/>
      </c>
    </row>
    <row r="103" customFormat="false" ht="15" hidden="false" customHeight="false" outlineLevel="0" collapsed="false">
      <c r="A103" s="73"/>
      <c r="B103" s="10"/>
      <c r="C103" s="80"/>
      <c r="D103" s="80"/>
      <c r="E103" s="81" t="str">
        <f aca="false">IF(D103="","",IFERROR(INDEX(식자재단가!$B$4:$B$203,MATCH(D103,식자재단가!$C$4:$C$203,0)),""))</f>
        <v/>
      </c>
      <c r="F103" s="76"/>
      <c r="G103" s="59" t="str">
        <f aca="false">IF(D103="","",IFERROR(INDEX(식자재단가!$F$4:$F$203,MATCH(D103,식자재단가!$C$4:$C$203,0)),""))</f>
        <v/>
      </c>
      <c r="H103" s="50"/>
      <c r="I103" s="82" t="str">
        <f aca="false">IF(OR(F103="",H103=""),"",F103*H103)</f>
        <v/>
      </c>
      <c r="J103" s="83" t="str">
        <f aca="false">IF(D103="","",IFERROR(INDEX(식자재단가!$M$4:$M$203,MATCH(D103,식자재단가!$C$4:$C$203,0)),"과세"))</f>
        <v/>
      </c>
      <c r="K103" s="28" t="str">
        <f aca="false">IF(I103="","",IF(J103="과세",ROUND(I103*0.1,0),0))</f>
        <v/>
      </c>
      <c r="L103" s="28" t="str">
        <f aca="false">IF(I103="","",I103+K103)</f>
        <v/>
      </c>
      <c r="M103" s="10"/>
      <c r="N103" s="80"/>
      <c r="O103" s="80"/>
      <c r="P103" s="59" t="str">
        <f aca="false">IF(E103="","",IFERROR(INDEX(기본설정!$H$4:$H$14,MATCH(E103,기본설정!$G$4:$G$14,0)),""))</f>
        <v/>
      </c>
    </row>
    <row r="104" customFormat="false" ht="15" hidden="false" customHeight="false" outlineLevel="0" collapsed="false">
      <c r="A104" s="73"/>
      <c r="B104" s="10"/>
      <c r="C104" s="80"/>
      <c r="D104" s="80"/>
      <c r="E104" s="81" t="str">
        <f aca="false">IF(D104="","",IFERROR(INDEX(식자재단가!$B$4:$B$203,MATCH(D104,식자재단가!$C$4:$C$203,0)),""))</f>
        <v/>
      </c>
      <c r="F104" s="76"/>
      <c r="G104" s="59" t="str">
        <f aca="false">IF(D104="","",IFERROR(INDEX(식자재단가!$F$4:$F$203,MATCH(D104,식자재단가!$C$4:$C$203,0)),""))</f>
        <v/>
      </c>
      <c r="H104" s="50"/>
      <c r="I104" s="82" t="str">
        <f aca="false">IF(OR(F104="",H104=""),"",F104*H104)</f>
        <v/>
      </c>
      <c r="J104" s="83" t="str">
        <f aca="false">IF(D104="","",IFERROR(INDEX(식자재단가!$M$4:$M$203,MATCH(D104,식자재단가!$C$4:$C$203,0)),"과세"))</f>
        <v/>
      </c>
      <c r="K104" s="28" t="str">
        <f aca="false">IF(I104="","",IF(J104="과세",ROUND(I104*0.1,0),0))</f>
        <v/>
      </c>
      <c r="L104" s="28" t="str">
        <f aca="false">IF(I104="","",I104+K104)</f>
        <v/>
      </c>
      <c r="M104" s="10"/>
      <c r="N104" s="80"/>
      <c r="O104" s="80"/>
      <c r="P104" s="59" t="str">
        <f aca="false">IF(E104="","",IFERROR(INDEX(기본설정!$H$4:$H$14,MATCH(E104,기본설정!$G$4:$G$14,0)),""))</f>
        <v/>
      </c>
    </row>
    <row r="105" customFormat="false" ht="15" hidden="false" customHeight="false" outlineLevel="0" collapsed="false">
      <c r="A105" s="73"/>
      <c r="B105" s="10"/>
      <c r="C105" s="80"/>
      <c r="D105" s="80"/>
      <c r="E105" s="81" t="str">
        <f aca="false">IF(D105="","",IFERROR(INDEX(식자재단가!$B$4:$B$203,MATCH(D105,식자재단가!$C$4:$C$203,0)),""))</f>
        <v/>
      </c>
      <c r="F105" s="76"/>
      <c r="G105" s="59" t="str">
        <f aca="false">IF(D105="","",IFERROR(INDEX(식자재단가!$F$4:$F$203,MATCH(D105,식자재단가!$C$4:$C$203,0)),""))</f>
        <v/>
      </c>
      <c r="H105" s="50"/>
      <c r="I105" s="82" t="str">
        <f aca="false">IF(OR(F105="",H105=""),"",F105*H105)</f>
        <v/>
      </c>
      <c r="J105" s="83" t="str">
        <f aca="false">IF(D105="","",IFERROR(INDEX(식자재단가!$M$4:$M$203,MATCH(D105,식자재단가!$C$4:$C$203,0)),"과세"))</f>
        <v/>
      </c>
      <c r="K105" s="28" t="str">
        <f aca="false">IF(I105="","",IF(J105="과세",ROUND(I105*0.1,0),0))</f>
        <v/>
      </c>
      <c r="L105" s="28" t="str">
        <f aca="false">IF(I105="","",I105+K105)</f>
        <v/>
      </c>
      <c r="M105" s="10"/>
      <c r="N105" s="80"/>
      <c r="O105" s="80"/>
      <c r="P105" s="59" t="str">
        <f aca="false">IF(E105="","",IFERROR(INDEX(기본설정!$H$4:$H$14,MATCH(E105,기본설정!$G$4:$G$14,0)),""))</f>
        <v/>
      </c>
    </row>
    <row r="106" customFormat="false" ht="15" hidden="false" customHeight="false" outlineLevel="0" collapsed="false">
      <c r="A106" s="73"/>
      <c r="B106" s="10"/>
      <c r="C106" s="80"/>
      <c r="D106" s="80"/>
      <c r="E106" s="81" t="str">
        <f aca="false">IF(D106="","",IFERROR(INDEX(식자재단가!$B$4:$B$203,MATCH(D106,식자재단가!$C$4:$C$203,0)),""))</f>
        <v/>
      </c>
      <c r="F106" s="76"/>
      <c r="G106" s="59" t="str">
        <f aca="false">IF(D106="","",IFERROR(INDEX(식자재단가!$F$4:$F$203,MATCH(D106,식자재단가!$C$4:$C$203,0)),""))</f>
        <v/>
      </c>
      <c r="H106" s="50"/>
      <c r="I106" s="82" t="str">
        <f aca="false">IF(OR(F106="",H106=""),"",F106*H106)</f>
        <v/>
      </c>
      <c r="J106" s="83" t="str">
        <f aca="false">IF(D106="","",IFERROR(INDEX(식자재단가!$M$4:$M$203,MATCH(D106,식자재단가!$C$4:$C$203,0)),"과세"))</f>
        <v/>
      </c>
      <c r="K106" s="28" t="str">
        <f aca="false">IF(I106="","",IF(J106="과세",ROUND(I106*0.1,0),0))</f>
        <v/>
      </c>
      <c r="L106" s="28" t="str">
        <f aca="false">IF(I106="","",I106+K106)</f>
        <v/>
      </c>
      <c r="M106" s="10"/>
      <c r="N106" s="80"/>
      <c r="O106" s="80"/>
      <c r="P106" s="59" t="str">
        <f aca="false">IF(E106="","",IFERROR(INDEX(기본설정!$H$4:$H$14,MATCH(E106,기본설정!$G$4:$G$14,0)),""))</f>
        <v/>
      </c>
    </row>
    <row r="107" customFormat="false" ht="15" hidden="false" customHeight="false" outlineLevel="0" collapsed="false">
      <c r="A107" s="73"/>
      <c r="B107" s="10"/>
      <c r="C107" s="80"/>
      <c r="D107" s="80"/>
      <c r="E107" s="81" t="str">
        <f aca="false">IF(D107="","",IFERROR(INDEX(식자재단가!$B$4:$B$203,MATCH(D107,식자재단가!$C$4:$C$203,0)),""))</f>
        <v/>
      </c>
      <c r="F107" s="76"/>
      <c r="G107" s="59" t="str">
        <f aca="false">IF(D107="","",IFERROR(INDEX(식자재단가!$F$4:$F$203,MATCH(D107,식자재단가!$C$4:$C$203,0)),""))</f>
        <v/>
      </c>
      <c r="H107" s="50"/>
      <c r="I107" s="82" t="str">
        <f aca="false">IF(OR(F107="",H107=""),"",F107*H107)</f>
        <v/>
      </c>
      <c r="J107" s="83" t="str">
        <f aca="false">IF(D107="","",IFERROR(INDEX(식자재단가!$M$4:$M$203,MATCH(D107,식자재단가!$C$4:$C$203,0)),"과세"))</f>
        <v/>
      </c>
      <c r="K107" s="28" t="str">
        <f aca="false">IF(I107="","",IF(J107="과세",ROUND(I107*0.1,0),0))</f>
        <v/>
      </c>
      <c r="L107" s="28" t="str">
        <f aca="false">IF(I107="","",I107+K107)</f>
        <v/>
      </c>
      <c r="M107" s="10"/>
      <c r="N107" s="80"/>
      <c r="O107" s="80"/>
      <c r="P107" s="59" t="str">
        <f aca="false">IF(E107="","",IFERROR(INDEX(기본설정!$H$4:$H$14,MATCH(E107,기본설정!$G$4:$G$14,0)),""))</f>
        <v/>
      </c>
    </row>
    <row r="108" customFormat="false" ht="15" hidden="false" customHeight="false" outlineLevel="0" collapsed="false">
      <c r="A108" s="73"/>
      <c r="B108" s="10"/>
      <c r="C108" s="80"/>
      <c r="D108" s="80"/>
      <c r="E108" s="81" t="str">
        <f aca="false">IF(D108="","",IFERROR(INDEX(식자재단가!$B$4:$B$203,MATCH(D108,식자재단가!$C$4:$C$203,0)),""))</f>
        <v/>
      </c>
      <c r="F108" s="76"/>
      <c r="G108" s="59" t="str">
        <f aca="false">IF(D108="","",IFERROR(INDEX(식자재단가!$F$4:$F$203,MATCH(D108,식자재단가!$C$4:$C$203,0)),""))</f>
        <v/>
      </c>
      <c r="H108" s="50"/>
      <c r="I108" s="82" t="str">
        <f aca="false">IF(OR(F108="",H108=""),"",F108*H108)</f>
        <v/>
      </c>
      <c r="J108" s="83" t="str">
        <f aca="false">IF(D108="","",IFERROR(INDEX(식자재단가!$M$4:$M$203,MATCH(D108,식자재단가!$C$4:$C$203,0)),"과세"))</f>
        <v/>
      </c>
      <c r="K108" s="28" t="str">
        <f aca="false">IF(I108="","",IF(J108="과세",ROUND(I108*0.1,0),0))</f>
        <v/>
      </c>
      <c r="L108" s="28" t="str">
        <f aca="false">IF(I108="","",I108+K108)</f>
        <v/>
      </c>
      <c r="M108" s="10"/>
      <c r="N108" s="80"/>
      <c r="O108" s="80"/>
      <c r="P108" s="59" t="str">
        <f aca="false">IF(E108="","",IFERROR(INDEX(기본설정!$H$4:$H$14,MATCH(E108,기본설정!$G$4:$G$14,0)),""))</f>
        <v/>
      </c>
    </row>
    <row r="109" customFormat="false" ht="15" hidden="false" customHeight="false" outlineLevel="0" collapsed="false">
      <c r="A109" s="73"/>
      <c r="B109" s="10"/>
      <c r="C109" s="80"/>
      <c r="D109" s="80"/>
      <c r="E109" s="81" t="str">
        <f aca="false">IF(D109="","",IFERROR(INDEX(식자재단가!$B$4:$B$203,MATCH(D109,식자재단가!$C$4:$C$203,0)),""))</f>
        <v/>
      </c>
      <c r="F109" s="76"/>
      <c r="G109" s="59" t="str">
        <f aca="false">IF(D109="","",IFERROR(INDEX(식자재단가!$F$4:$F$203,MATCH(D109,식자재단가!$C$4:$C$203,0)),""))</f>
        <v/>
      </c>
      <c r="H109" s="50"/>
      <c r="I109" s="82" t="str">
        <f aca="false">IF(OR(F109="",H109=""),"",F109*H109)</f>
        <v/>
      </c>
      <c r="J109" s="83" t="str">
        <f aca="false">IF(D109="","",IFERROR(INDEX(식자재단가!$M$4:$M$203,MATCH(D109,식자재단가!$C$4:$C$203,0)),"과세"))</f>
        <v/>
      </c>
      <c r="K109" s="28" t="str">
        <f aca="false">IF(I109="","",IF(J109="과세",ROUND(I109*0.1,0),0))</f>
        <v/>
      </c>
      <c r="L109" s="28" t="str">
        <f aca="false">IF(I109="","",I109+K109)</f>
        <v/>
      </c>
      <c r="M109" s="10"/>
      <c r="N109" s="80"/>
      <c r="O109" s="80"/>
      <c r="P109" s="59" t="str">
        <f aca="false">IF(E109="","",IFERROR(INDEX(기본설정!$H$4:$H$14,MATCH(E109,기본설정!$G$4:$G$14,0)),""))</f>
        <v/>
      </c>
    </row>
    <row r="110" customFormat="false" ht="15" hidden="false" customHeight="false" outlineLevel="0" collapsed="false">
      <c r="A110" s="73"/>
      <c r="B110" s="10"/>
      <c r="C110" s="80"/>
      <c r="D110" s="80"/>
      <c r="E110" s="81" t="str">
        <f aca="false">IF(D110="","",IFERROR(INDEX(식자재단가!$B$4:$B$203,MATCH(D110,식자재단가!$C$4:$C$203,0)),""))</f>
        <v/>
      </c>
      <c r="F110" s="76"/>
      <c r="G110" s="59" t="str">
        <f aca="false">IF(D110="","",IFERROR(INDEX(식자재단가!$F$4:$F$203,MATCH(D110,식자재단가!$C$4:$C$203,0)),""))</f>
        <v/>
      </c>
      <c r="H110" s="50"/>
      <c r="I110" s="82" t="str">
        <f aca="false">IF(OR(F110="",H110=""),"",F110*H110)</f>
        <v/>
      </c>
      <c r="J110" s="83" t="str">
        <f aca="false">IF(D110="","",IFERROR(INDEX(식자재단가!$M$4:$M$203,MATCH(D110,식자재단가!$C$4:$C$203,0)),"과세"))</f>
        <v/>
      </c>
      <c r="K110" s="28" t="str">
        <f aca="false">IF(I110="","",IF(J110="과세",ROUND(I110*0.1,0),0))</f>
        <v/>
      </c>
      <c r="L110" s="28" t="str">
        <f aca="false">IF(I110="","",I110+K110)</f>
        <v/>
      </c>
      <c r="M110" s="10"/>
      <c r="N110" s="80"/>
      <c r="O110" s="80"/>
      <c r="P110" s="59" t="str">
        <f aca="false">IF(E110="","",IFERROR(INDEX(기본설정!$H$4:$H$14,MATCH(E110,기본설정!$G$4:$G$14,0)),""))</f>
        <v/>
      </c>
    </row>
    <row r="111" customFormat="false" ht="15" hidden="false" customHeight="false" outlineLevel="0" collapsed="false">
      <c r="A111" s="73"/>
      <c r="B111" s="10"/>
      <c r="C111" s="80"/>
      <c r="D111" s="80"/>
      <c r="E111" s="81" t="str">
        <f aca="false">IF(D111="","",IFERROR(INDEX(식자재단가!$B$4:$B$203,MATCH(D111,식자재단가!$C$4:$C$203,0)),""))</f>
        <v/>
      </c>
      <c r="F111" s="76"/>
      <c r="G111" s="59" t="str">
        <f aca="false">IF(D111="","",IFERROR(INDEX(식자재단가!$F$4:$F$203,MATCH(D111,식자재단가!$C$4:$C$203,0)),""))</f>
        <v/>
      </c>
      <c r="H111" s="50"/>
      <c r="I111" s="82" t="str">
        <f aca="false">IF(OR(F111="",H111=""),"",F111*H111)</f>
        <v/>
      </c>
      <c r="J111" s="83" t="str">
        <f aca="false">IF(D111="","",IFERROR(INDEX(식자재단가!$M$4:$M$203,MATCH(D111,식자재단가!$C$4:$C$203,0)),"과세"))</f>
        <v/>
      </c>
      <c r="K111" s="28" t="str">
        <f aca="false">IF(I111="","",IF(J111="과세",ROUND(I111*0.1,0),0))</f>
        <v/>
      </c>
      <c r="L111" s="28" t="str">
        <f aca="false">IF(I111="","",I111+K111)</f>
        <v/>
      </c>
      <c r="M111" s="10"/>
      <c r="N111" s="80"/>
      <c r="O111" s="80"/>
      <c r="P111" s="59" t="str">
        <f aca="false">IF(E111="","",IFERROR(INDEX(기본설정!$H$4:$H$14,MATCH(E111,기본설정!$G$4:$G$14,0)),""))</f>
        <v/>
      </c>
    </row>
    <row r="112" customFormat="false" ht="15" hidden="false" customHeight="false" outlineLevel="0" collapsed="false">
      <c r="A112" s="73"/>
      <c r="B112" s="10"/>
      <c r="C112" s="80"/>
      <c r="D112" s="80"/>
      <c r="E112" s="81" t="str">
        <f aca="false">IF(D112="","",IFERROR(INDEX(식자재단가!$B$4:$B$203,MATCH(D112,식자재단가!$C$4:$C$203,0)),""))</f>
        <v/>
      </c>
      <c r="F112" s="76"/>
      <c r="G112" s="59" t="str">
        <f aca="false">IF(D112="","",IFERROR(INDEX(식자재단가!$F$4:$F$203,MATCH(D112,식자재단가!$C$4:$C$203,0)),""))</f>
        <v/>
      </c>
      <c r="H112" s="50"/>
      <c r="I112" s="82" t="str">
        <f aca="false">IF(OR(F112="",H112=""),"",F112*H112)</f>
        <v/>
      </c>
      <c r="J112" s="83" t="str">
        <f aca="false">IF(D112="","",IFERROR(INDEX(식자재단가!$M$4:$M$203,MATCH(D112,식자재단가!$C$4:$C$203,0)),"과세"))</f>
        <v/>
      </c>
      <c r="K112" s="28" t="str">
        <f aca="false">IF(I112="","",IF(J112="과세",ROUND(I112*0.1,0),0))</f>
        <v/>
      </c>
      <c r="L112" s="28" t="str">
        <f aca="false">IF(I112="","",I112+K112)</f>
        <v/>
      </c>
      <c r="M112" s="10"/>
      <c r="N112" s="80"/>
      <c r="O112" s="80"/>
      <c r="P112" s="59" t="str">
        <f aca="false">IF(E112="","",IFERROR(INDEX(기본설정!$H$4:$H$14,MATCH(E112,기본설정!$G$4:$G$14,0)),""))</f>
        <v/>
      </c>
    </row>
    <row r="113" customFormat="false" ht="15" hidden="false" customHeight="false" outlineLevel="0" collapsed="false">
      <c r="A113" s="73"/>
      <c r="B113" s="10"/>
      <c r="C113" s="80"/>
      <c r="D113" s="80"/>
      <c r="E113" s="81" t="str">
        <f aca="false">IF(D113="","",IFERROR(INDEX(식자재단가!$B$4:$B$203,MATCH(D113,식자재단가!$C$4:$C$203,0)),""))</f>
        <v/>
      </c>
      <c r="F113" s="76"/>
      <c r="G113" s="59" t="str">
        <f aca="false">IF(D113="","",IFERROR(INDEX(식자재단가!$F$4:$F$203,MATCH(D113,식자재단가!$C$4:$C$203,0)),""))</f>
        <v/>
      </c>
      <c r="H113" s="50"/>
      <c r="I113" s="82" t="str">
        <f aca="false">IF(OR(F113="",H113=""),"",F113*H113)</f>
        <v/>
      </c>
      <c r="J113" s="83" t="str">
        <f aca="false">IF(D113="","",IFERROR(INDEX(식자재단가!$M$4:$M$203,MATCH(D113,식자재단가!$C$4:$C$203,0)),"과세"))</f>
        <v/>
      </c>
      <c r="K113" s="28" t="str">
        <f aca="false">IF(I113="","",IF(J113="과세",ROUND(I113*0.1,0),0))</f>
        <v/>
      </c>
      <c r="L113" s="28" t="str">
        <f aca="false">IF(I113="","",I113+K113)</f>
        <v/>
      </c>
      <c r="M113" s="10"/>
      <c r="N113" s="80"/>
      <c r="O113" s="80"/>
      <c r="P113" s="59" t="str">
        <f aca="false">IF(E113="","",IFERROR(INDEX(기본설정!$H$4:$H$14,MATCH(E113,기본설정!$G$4:$G$14,0)),""))</f>
        <v/>
      </c>
    </row>
    <row r="114" customFormat="false" ht="15" hidden="false" customHeight="false" outlineLevel="0" collapsed="false">
      <c r="A114" s="73"/>
      <c r="B114" s="10"/>
      <c r="C114" s="80"/>
      <c r="D114" s="80"/>
      <c r="E114" s="81" t="str">
        <f aca="false">IF(D114="","",IFERROR(INDEX(식자재단가!$B$4:$B$203,MATCH(D114,식자재단가!$C$4:$C$203,0)),""))</f>
        <v/>
      </c>
      <c r="F114" s="76"/>
      <c r="G114" s="59" t="str">
        <f aca="false">IF(D114="","",IFERROR(INDEX(식자재단가!$F$4:$F$203,MATCH(D114,식자재단가!$C$4:$C$203,0)),""))</f>
        <v/>
      </c>
      <c r="H114" s="50"/>
      <c r="I114" s="82" t="str">
        <f aca="false">IF(OR(F114="",H114=""),"",F114*H114)</f>
        <v/>
      </c>
      <c r="J114" s="83" t="str">
        <f aca="false">IF(D114="","",IFERROR(INDEX(식자재단가!$M$4:$M$203,MATCH(D114,식자재단가!$C$4:$C$203,0)),"과세"))</f>
        <v/>
      </c>
      <c r="K114" s="28" t="str">
        <f aca="false">IF(I114="","",IF(J114="과세",ROUND(I114*0.1,0),0))</f>
        <v/>
      </c>
      <c r="L114" s="28" t="str">
        <f aca="false">IF(I114="","",I114+K114)</f>
        <v/>
      </c>
      <c r="M114" s="10"/>
      <c r="N114" s="80"/>
      <c r="O114" s="80"/>
      <c r="P114" s="59" t="str">
        <f aca="false">IF(E114="","",IFERROR(INDEX(기본설정!$H$4:$H$14,MATCH(E114,기본설정!$G$4:$G$14,0)),""))</f>
        <v/>
      </c>
    </row>
    <row r="115" customFormat="false" ht="15" hidden="false" customHeight="false" outlineLevel="0" collapsed="false">
      <c r="A115" s="73"/>
      <c r="B115" s="10"/>
      <c r="C115" s="80"/>
      <c r="D115" s="80"/>
      <c r="E115" s="81" t="str">
        <f aca="false">IF(D115="","",IFERROR(INDEX(식자재단가!$B$4:$B$203,MATCH(D115,식자재단가!$C$4:$C$203,0)),""))</f>
        <v/>
      </c>
      <c r="F115" s="76"/>
      <c r="G115" s="59" t="str">
        <f aca="false">IF(D115="","",IFERROR(INDEX(식자재단가!$F$4:$F$203,MATCH(D115,식자재단가!$C$4:$C$203,0)),""))</f>
        <v/>
      </c>
      <c r="H115" s="50"/>
      <c r="I115" s="82" t="str">
        <f aca="false">IF(OR(F115="",H115=""),"",F115*H115)</f>
        <v/>
      </c>
      <c r="J115" s="83" t="str">
        <f aca="false">IF(D115="","",IFERROR(INDEX(식자재단가!$M$4:$M$203,MATCH(D115,식자재단가!$C$4:$C$203,0)),"과세"))</f>
        <v/>
      </c>
      <c r="K115" s="28" t="str">
        <f aca="false">IF(I115="","",IF(J115="과세",ROUND(I115*0.1,0),0))</f>
        <v/>
      </c>
      <c r="L115" s="28" t="str">
        <f aca="false">IF(I115="","",I115+K115)</f>
        <v/>
      </c>
      <c r="M115" s="10"/>
      <c r="N115" s="80"/>
      <c r="O115" s="80"/>
      <c r="P115" s="59" t="str">
        <f aca="false">IF(E115="","",IFERROR(INDEX(기본설정!$H$4:$H$14,MATCH(E115,기본설정!$G$4:$G$14,0)),""))</f>
        <v/>
      </c>
    </row>
    <row r="116" customFormat="false" ht="15" hidden="false" customHeight="false" outlineLevel="0" collapsed="false">
      <c r="A116" s="73"/>
      <c r="B116" s="10"/>
      <c r="C116" s="80"/>
      <c r="D116" s="80"/>
      <c r="E116" s="81" t="str">
        <f aca="false">IF(D116="","",IFERROR(INDEX(식자재단가!$B$4:$B$203,MATCH(D116,식자재단가!$C$4:$C$203,0)),""))</f>
        <v/>
      </c>
      <c r="F116" s="76"/>
      <c r="G116" s="59" t="str">
        <f aca="false">IF(D116="","",IFERROR(INDEX(식자재단가!$F$4:$F$203,MATCH(D116,식자재단가!$C$4:$C$203,0)),""))</f>
        <v/>
      </c>
      <c r="H116" s="50"/>
      <c r="I116" s="82" t="str">
        <f aca="false">IF(OR(F116="",H116=""),"",F116*H116)</f>
        <v/>
      </c>
      <c r="J116" s="83" t="str">
        <f aca="false">IF(D116="","",IFERROR(INDEX(식자재단가!$M$4:$M$203,MATCH(D116,식자재단가!$C$4:$C$203,0)),"과세"))</f>
        <v/>
      </c>
      <c r="K116" s="28" t="str">
        <f aca="false">IF(I116="","",IF(J116="과세",ROUND(I116*0.1,0),0))</f>
        <v/>
      </c>
      <c r="L116" s="28" t="str">
        <f aca="false">IF(I116="","",I116+K116)</f>
        <v/>
      </c>
      <c r="M116" s="10"/>
      <c r="N116" s="80"/>
      <c r="O116" s="80"/>
      <c r="P116" s="59" t="str">
        <f aca="false">IF(E116="","",IFERROR(INDEX(기본설정!$H$4:$H$14,MATCH(E116,기본설정!$G$4:$G$14,0)),""))</f>
        <v/>
      </c>
    </row>
    <row r="117" customFormat="false" ht="15" hidden="false" customHeight="false" outlineLevel="0" collapsed="false">
      <c r="A117" s="73"/>
      <c r="B117" s="10"/>
      <c r="C117" s="80"/>
      <c r="D117" s="80"/>
      <c r="E117" s="81" t="str">
        <f aca="false">IF(D117="","",IFERROR(INDEX(식자재단가!$B$4:$B$203,MATCH(D117,식자재단가!$C$4:$C$203,0)),""))</f>
        <v/>
      </c>
      <c r="F117" s="76"/>
      <c r="G117" s="59" t="str">
        <f aca="false">IF(D117="","",IFERROR(INDEX(식자재단가!$F$4:$F$203,MATCH(D117,식자재단가!$C$4:$C$203,0)),""))</f>
        <v/>
      </c>
      <c r="H117" s="50"/>
      <c r="I117" s="82" t="str">
        <f aca="false">IF(OR(F117="",H117=""),"",F117*H117)</f>
        <v/>
      </c>
      <c r="J117" s="83" t="str">
        <f aca="false">IF(D117="","",IFERROR(INDEX(식자재단가!$M$4:$M$203,MATCH(D117,식자재단가!$C$4:$C$203,0)),"과세"))</f>
        <v/>
      </c>
      <c r="K117" s="28" t="str">
        <f aca="false">IF(I117="","",IF(J117="과세",ROUND(I117*0.1,0),0))</f>
        <v/>
      </c>
      <c r="L117" s="28" t="str">
        <f aca="false">IF(I117="","",I117+K117)</f>
        <v/>
      </c>
      <c r="M117" s="10"/>
      <c r="N117" s="80"/>
      <c r="O117" s="80"/>
      <c r="P117" s="59" t="str">
        <f aca="false">IF(E117="","",IFERROR(INDEX(기본설정!$H$4:$H$14,MATCH(E117,기본설정!$G$4:$G$14,0)),""))</f>
        <v/>
      </c>
    </row>
    <row r="118" customFormat="false" ht="15" hidden="false" customHeight="false" outlineLevel="0" collapsed="false">
      <c r="A118" s="73"/>
      <c r="B118" s="10"/>
      <c r="C118" s="80"/>
      <c r="D118" s="80"/>
      <c r="E118" s="81" t="str">
        <f aca="false">IF(D118="","",IFERROR(INDEX(식자재단가!$B$4:$B$203,MATCH(D118,식자재단가!$C$4:$C$203,0)),""))</f>
        <v/>
      </c>
      <c r="F118" s="76"/>
      <c r="G118" s="59" t="str">
        <f aca="false">IF(D118="","",IFERROR(INDEX(식자재단가!$F$4:$F$203,MATCH(D118,식자재단가!$C$4:$C$203,0)),""))</f>
        <v/>
      </c>
      <c r="H118" s="50"/>
      <c r="I118" s="82" t="str">
        <f aca="false">IF(OR(F118="",H118=""),"",F118*H118)</f>
        <v/>
      </c>
      <c r="J118" s="83" t="str">
        <f aca="false">IF(D118="","",IFERROR(INDEX(식자재단가!$M$4:$M$203,MATCH(D118,식자재단가!$C$4:$C$203,0)),"과세"))</f>
        <v/>
      </c>
      <c r="K118" s="28" t="str">
        <f aca="false">IF(I118="","",IF(J118="과세",ROUND(I118*0.1,0),0))</f>
        <v/>
      </c>
      <c r="L118" s="28" t="str">
        <f aca="false">IF(I118="","",I118+K118)</f>
        <v/>
      </c>
      <c r="M118" s="10"/>
      <c r="N118" s="80"/>
      <c r="O118" s="80"/>
      <c r="P118" s="59" t="str">
        <f aca="false">IF(E118="","",IFERROR(INDEX(기본설정!$H$4:$H$14,MATCH(E118,기본설정!$G$4:$G$14,0)),""))</f>
        <v/>
      </c>
    </row>
    <row r="119" customFormat="false" ht="15" hidden="false" customHeight="false" outlineLevel="0" collapsed="false">
      <c r="A119" s="73"/>
      <c r="B119" s="10"/>
      <c r="C119" s="80"/>
      <c r="D119" s="80"/>
      <c r="E119" s="81" t="str">
        <f aca="false">IF(D119="","",IFERROR(INDEX(식자재단가!$B$4:$B$203,MATCH(D119,식자재단가!$C$4:$C$203,0)),""))</f>
        <v/>
      </c>
      <c r="F119" s="76"/>
      <c r="G119" s="59" t="str">
        <f aca="false">IF(D119="","",IFERROR(INDEX(식자재단가!$F$4:$F$203,MATCH(D119,식자재단가!$C$4:$C$203,0)),""))</f>
        <v/>
      </c>
      <c r="H119" s="50"/>
      <c r="I119" s="82" t="str">
        <f aca="false">IF(OR(F119="",H119=""),"",F119*H119)</f>
        <v/>
      </c>
      <c r="J119" s="83" t="str">
        <f aca="false">IF(D119="","",IFERROR(INDEX(식자재단가!$M$4:$M$203,MATCH(D119,식자재단가!$C$4:$C$203,0)),"과세"))</f>
        <v/>
      </c>
      <c r="K119" s="28" t="str">
        <f aca="false">IF(I119="","",IF(J119="과세",ROUND(I119*0.1,0),0))</f>
        <v/>
      </c>
      <c r="L119" s="28" t="str">
        <f aca="false">IF(I119="","",I119+K119)</f>
        <v/>
      </c>
      <c r="M119" s="10"/>
      <c r="N119" s="80"/>
      <c r="O119" s="80"/>
      <c r="P119" s="59" t="str">
        <f aca="false">IF(E119="","",IFERROR(INDEX(기본설정!$H$4:$H$14,MATCH(E119,기본설정!$G$4:$G$14,0)),""))</f>
        <v/>
      </c>
    </row>
    <row r="120" customFormat="false" ht="15" hidden="false" customHeight="false" outlineLevel="0" collapsed="false">
      <c r="A120" s="73"/>
      <c r="B120" s="10"/>
      <c r="C120" s="80"/>
      <c r="D120" s="80"/>
      <c r="E120" s="81" t="str">
        <f aca="false">IF(D120="","",IFERROR(INDEX(식자재단가!$B$4:$B$203,MATCH(D120,식자재단가!$C$4:$C$203,0)),""))</f>
        <v/>
      </c>
      <c r="F120" s="76"/>
      <c r="G120" s="59" t="str">
        <f aca="false">IF(D120="","",IFERROR(INDEX(식자재단가!$F$4:$F$203,MATCH(D120,식자재단가!$C$4:$C$203,0)),""))</f>
        <v/>
      </c>
      <c r="H120" s="50"/>
      <c r="I120" s="82" t="str">
        <f aca="false">IF(OR(F120="",H120=""),"",F120*H120)</f>
        <v/>
      </c>
      <c r="J120" s="83" t="str">
        <f aca="false">IF(D120="","",IFERROR(INDEX(식자재단가!$M$4:$M$203,MATCH(D120,식자재단가!$C$4:$C$203,0)),"과세"))</f>
        <v/>
      </c>
      <c r="K120" s="28" t="str">
        <f aca="false">IF(I120="","",IF(J120="과세",ROUND(I120*0.1,0),0))</f>
        <v/>
      </c>
      <c r="L120" s="28" t="str">
        <f aca="false">IF(I120="","",I120+K120)</f>
        <v/>
      </c>
      <c r="M120" s="10"/>
      <c r="N120" s="80"/>
      <c r="O120" s="80"/>
      <c r="P120" s="59" t="str">
        <f aca="false">IF(E120="","",IFERROR(INDEX(기본설정!$H$4:$H$14,MATCH(E120,기본설정!$G$4:$G$14,0)),""))</f>
        <v/>
      </c>
    </row>
    <row r="121" customFormat="false" ht="15" hidden="false" customHeight="false" outlineLevel="0" collapsed="false">
      <c r="A121" s="73"/>
      <c r="B121" s="10"/>
      <c r="C121" s="80"/>
      <c r="D121" s="80"/>
      <c r="E121" s="81" t="str">
        <f aca="false">IF(D121="","",IFERROR(INDEX(식자재단가!$B$4:$B$203,MATCH(D121,식자재단가!$C$4:$C$203,0)),""))</f>
        <v/>
      </c>
      <c r="F121" s="76"/>
      <c r="G121" s="59" t="str">
        <f aca="false">IF(D121="","",IFERROR(INDEX(식자재단가!$F$4:$F$203,MATCH(D121,식자재단가!$C$4:$C$203,0)),""))</f>
        <v/>
      </c>
      <c r="H121" s="50"/>
      <c r="I121" s="82" t="str">
        <f aca="false">IF(OR(F121="",H121=""),"",F121*H121)</f>
        <v/>
      </c>
      <c r="J121" s="83" t="str">
        <f aca="false">IF(D121="","",IFERROR(INDEX(식자재단가!$M$4:$M$203,MATCH(D121,식자재단가!$C$4:$C$203,0)),"과세"))</f>
        <v/>
      </c>
      <c r="K121" s="28" t="str">
        <f aca="false">IF(I121="","",IF(J121="과세",ROUND(I121*0.1,0),0))</f>
        <v/>
      </c>
      <c r="L121" s="28" t="str">
        <f aca="false">IF(I121="","",I121+K121)</f>
        <v/>
      </c>
      <c r="M121" s="10"/>
      <c r="N121" s="80"/>
      <c r="O121" s="80"/>
      <c r="P121" s="59" t="str">
        <f aca="false">IF(E121="","",IFERROR(INDEX(기본설정!$H$4:$H$14,MATCH(E121,기본설정!$G$4:$G$14,0)),""))</f>
        <v/>
      </c>
    </row>
    <row r="122" customFormat="false" ht="15" hidden="false" customHeight="false" outlineLevel="0" collapsed="false">
      <c r="A122" s="73"/>
      <c r="B122" s="10"/>
      <c r="C122" s="80"/>
      <c r="D122" s="80"/>
      <c r="E122" s="81" t="str">
        <f aca="false">IF(D122="","",IFERROR(INDEX(식자재단가!$B$4:$B$203,MATCH(D122,식자재단가!$C$4:$C$203,0)),""))</f>
        <v/>
      </c>
      <c r="F122" s="76"/>
      <c r="G122" s="59" t="str">
        <f aca="false">IF(D122="","",IFERROR(INDEX(식자재단가!$F$4:$F$203,MATCH(D122,식자재단가!$C$4:$C$203,0)),""))</f>
        <v/>
      </c>
      <c r="H122" s="50"/>
      <c r="I122" s="82" t="str">
        <f aca="false">IF(OR(F122="",H122=""),"",F122*H122)</f>
        <v/>
      </c>
      <c r="J122" s="83" t="str">
        <f aca="false">IF(D122="","",IFERROR(INDEX(식자재단가!$M$4:$M$203,MATCH(D122,식자재단가!$C$4:$C$203,0)),"과세"))</f>
        <v/>
      </c>
      <c r="K122" s="28" t="str">
        <f aca="false">IF(I122="","",IF(J122="과세",ROUND(I122*0.1,0),0))</f>
        <v/>
      </c>
      <c r="L122" s="28" t="str">
        <f aca="false">IF(I122="","",I122+K122)</f>
        <v/>
      </c>
      <c r="M122" s="10"/>
      <c r="N122" s="80"/>
      <c r="O122" s="80"/>
      <c r="P122" s="59" t="str">
        <f aca="false">IF(E122="","",IFERROR(INDEX(기본설정!$H$4:$H$14,MATCH(E122,기본설정!$G$4:$G$14,0)),""))</f>
        <v/>
      </c>
    </row>
    <row r="123" customFormat="false" ht="15" hidden="false" customHeight="false" outlineLevel="0" collapsed="false">
      <c r="A123" s="73"/>
      <c r="B123" s="10"/>
      <c r="C123" s="80"/>
      <c r="D123" s="80"/>
      <c r="E123" s="81" t="str">
        <f aca="false">IF(D123="","",IFERROR(INDEX(식자재단가!$B$4:$B$203,MATCH(D123,식자재단가!$C$4:$C$203,0)),""))</f>
        <v/>
      </c>
      <c r="F123" s="76"/>
      <c r="G123" s="59" t="str">
        <f aca="false">IF(D123="","",IFERROR(INDEX(식자재단가!$F$4:$F$203,MATCH(D123,식자재단가!$C$4:$C$203,0)),""))</f>
        <v/>
      </c>
      <c r="H123" s="50"/>
      <c r="I123" s="82" t="str">
        <f aca="false">IF(OR(F123="",H123=""),"",F123*H123)</f>
        <v/>
      </c>
      <c r="J123" s="83" t="str">
        <f aca="false">IF(D123="","",IFERROR(INDEX(식자재단가!$M$4:$M$203,MATCH(D123,식자재단가!$C$4:$C$203,0)),"과세"))</f>
        <v/>
      </c>
      <c r="K123" s="28" t="str">
        <f aca="false">IF(I123="","",IF(J123="과세",ROUND(I123*0.1,0),0))</f>
        <v/>
      </c>
      <c r="L123" s="28" t="str">
        <f aca="false">IF(I123="","",I123+K123)</f>
        <v/>
      </c>
      <c r="M123" s="10"/>
      <c r="N123" s="80"/>
      <c r="O123" s="80"/>
      <c r="P123" s="59" t="str">
        <f aca="false">IF(E123="","",IFERROR(INDEX(기본설정!$H$4:$H$14,MATCH(E123,기본설정!$G$4:$G$14,0)),""))</f>
        <v/>
      </c>
    </row>
    <row r="124" customFormat="false" ht="15" hidden="false" customHeight="false" outlineLevel="0" collapsed="false">
      <c r="A124" s="73"/>
      <c r="B124" s="10"/>
      <c r="C124" s="80"/>
      <c r="D124" s="80"/>
      <c r="E124" s="81" t="str">
        <f aca="false">IF(D124="","",IFERROR(INDEX(식자재단가!$B$4:$B$203,MATCH(D124,식자재단가!$C$4:$C$203,0)),""))</f>
        <v/>
      </c>
      <c r="F124" s="76"/>
      <c r="G124" s="59" t="str">
        <f aca="false">IF(D124="","",IFERROR(INDEX(식자재단가!$F$4:$F$203,MATCH(D124,식자재단가!$C$4:$C$203,0)),""))</f>
        <v/>
      </c>
      <c r="H124" s="50"/>
      <c r="I124" s="82" t="str">
        <f aca="false">IF(OR(F124="",H124=""),"",F124*H124)</f>
        <v/>
      </c>
      <c r="J124" s="83" t="str">
        <f aca="false">IF(D124="","",IFERROR(INDEX(식자재단가!$M$4:$M$203,MATCH(D124,식자재단가!$C$4:$C$203,0)),"과세"))</f>
        <v/>
      </c>
      <c r="K124" s="28" t="str">
        <f aca="false">IF(I124="","",IF(J124="과세",ROUND(I124*0.1,0),0))</f>
        <v/>
      </c>
      <c r="L124" s="28" t="str">
        <f aca="false">IF(I124="","",I124+K124)</f>
        <v/>
      </c>
      <c r="M124" s="10"/>
      <c r="N124" s="80"/>
      <c r="O124" s="80"/>
      <c r="P124" s="59" t="str">
        <f aca="false">IF(E124="","",IFERROR(INDEX(기본설정!$H$4:$H$14,MATCH(E124,기본설정!$G$4:$G$14,0)),""))</f>
        <v/>
      </c>
    </row>
    <row r="125" customFormat="false" ht="15" hidden="false" customHeight="false" outlineLevel="0" collapsed="false">
      <c r="A125" s="73"/>
      <c r="B125" s="10"/>
      <c r="C125" s="80"/>
      <c r="D125" s="80"/>
      <c r="E125" s="81" t="str">
        <f aca="false">IF(D125="","",IFERROR(INDEX(식자재단가!$B$4:$B$203,MATCH(D125,식자재단가!$C$4:$C$203,0)),""))</f>
        <v/>
      </c>
      <c r="F125" s="76"/>
      <c r="G125" s="59" t="str">
        <f aca="false">IF(D125="","",IFERROR(INDEX(식자재단가!$F$4:$F$203,MATCH(D125,식자재단가!$C$4:$C$203,0)),""))</f>
        <v/>
      </c>
      <c r="H125" s="50"/>
      <c r="I125" s="82" t="str">
        <f aca="false">IF(OR(F125="",H125=""),"",F125*H125)</f>
        <v/>
      </c>
      <c r="J125" s="83" t="str">
        <f aca="false">IF(D125="","",IFERROR(INDEX(식자재단가!$M$4:$M$203,MATCH(D125,식자재단가!$C$4:$C$203,0)),"과세"))</f>
        <v/>
      </c>
      <c r="K125" s="28" t="str">
        <f aca="false">IF(I125="","",IF(J125="과세",ROUND(I125*0.1,0),0))</f>
        <v/>
      </c>
      <c r="L125" s="28" t="str">
        <f aca="false">IF(I125="","",I125+K125)</f>
        <v/>
      </c>
      <c r="M125" s="10"/>
      <c r="N125" s="80"/>
      <c r="O125" s="80"/>
      <c r="P125" s="59" t="str">
        <f aca="false">IF(E125="","",IFERROR(INDEX(기본설정!$H$4:$H$14,MATCH(E125,기본설정!$G$4:$G$14,0)),""))</f>
        <v/>
      </c>
    </row>
    <row r="126" customFormat="false" ht="15" hidden="false" customHeight="false" outlineLevel="0" collapsed="false">
      <c r="A126" s="73"/>
      <c r="B126" s="10"/>
      <c r="C126" s="80"/>
      <c r="D126" s="80"/>
      <c r="E126" s="81" t="str">
        <f aca="false">IF(D126="","",IFERROR(INDEX(식자재단가!$B$4:$B$203,MATCH(D126,식자재단가!$C$4:$C$203,0)),""))</f>
        <v/>
      </c>
      <c r="F126" s="76"/>
      <c r="G126" s="59" t="str">
        <f aca="false">IF(D126="","",IFERROR(INDEX(식자재단가!$F$4:$F$203,MATCH(D126,식자재단가!$C$4:$C$203,0)),""))</f>
        <v/>
      </c>
      <c r="H126" s="50"/>
      <c r="I126" s="82" t="str">
        <f aca="false">IF(OR(F126="",H126=""),"",F126*H126)</f>
        <v/>
      </c>
      <c r="J126" s="83" t="str">
        <f aca="false">IF(D126="","",IFERROR(INDEX(식자재단가!$M$4:$M$203,MATCH(D126,식자재단가!$C$4:$C$203,0)),"과세"))</f>
        <v/>
      </c>
      <c r="K126" s="28" t="str">
        <f aca="false">IF(I126="","",IF(J126="과세",ROUND(I126*0.1,0),0))</f>
        <v/>
      </c>
      <c r="L126" s="28" t="str">
        <f aca="false">IF(I126="","",I126+K126)</f>
        <v/>
      </c>
      <c r="M126" s="10"/>
      <c r="N126" s="80"/>
      <c r="O126" s="80"/>
      <c r="P126" s="59" t="str">
        <f aca="false">IF(E126="","",IFERROR(INDEX(기본설정!$H$4:$H$14,MATCH(E126,기본설정!$G$4:$G$14,0)),""))</f>
        <v/>
      </c>
    </row>
    <row r="127" customFormat="false" ht="15" hidden="false" customHeight="false" outlineLevel="0" collapsed="false">
      <c r="A127" s="73"/>
      <c r="B127" s="10"/>
      <c r="C127" s="80"/>
      <c r="D127" s="80"/>
      <c r="E127" s="81" t="str">
        <f aca="false">IF(D127="","",IFERROR(INDEX(식자재단가!$B$4:$B$203,MATCH(D127,식자재단가!$C$4:$C$203,0)),""))</f>
        <v/>
      </c>
      <c r="F127" s="76"/>
      <c r="G127" s="59" t="str">
        <f aca="false">IF(D127="","",IFERROR(INDEX(식자재단가!$F$4:$F$203,MATCH(D127,식자재단가!$C$4:$C$203,0)),""))</f>
        <v/>
      </c>
      <c r="H127" s="50"/>
      <c r="I127" s="82" t="str">
        <f aca="false">IF(OR(F127="",H127=""),"",F127*H127)</f>
        <v/>
      </c>
      <c r="J127" s="83" t="str">
        <f aca="false">IF(D127="","",IFERROR(INDEX(식자재단가!$M$4:$M$203,MATCH(D127,식자재단가!$C$4:$C$203,0)),"과세"))</f>
        <v/>
      </c>
      <c r="K127" s="28" t="str">
        <f aca="false">IF(I127="","",IF(J127="과세",ROUND(I127*0.1,0),0))</f>
        <v/>
      </c>
      <c r="L127" s="28" t="str">
        <f aca="false">IF(I127="","",I127+K127)</f>
        <v/>
      </c>
      <c r="M127" s="10"/>
      <c r="N127" s="80"/>
      <c r="O127" s="80"/>
      <c r="P127" s="59" t="str">
        <f aca="false">IF(E127="","",IFERROR(INDEX(기본설정!$H$4:$H$14,MATCH(E127,기본설정!$G$4:$G$14,0)),""))</f>
        <v/>
      </c>
    </row>
    <row r="128" customFormat="false" ht="15" hidden="false" customHeight="false" outlineLevel="0" collapsed="false">
      <c r="A128" s="73"/>
      <c r="B128" s="10"/>
      <c r="C128" s="80"/>
      <c r="D128" s="80"/>
      <c r="E128" s="81" t="str">
        <f aca="false">IF(D128="","",IFERROR(INDEX(식자재단가!$B$4:$B$203,MATCH(D128,식자재단가!$C$4:$C$203,0)),""))</f>
        <v/>
      </c>
      <c r="F128" s="76"/>
      <c r="G128" s="59" t="str">
        <f aca="false">IF(D128="","",IFERROR(INDEX(식자재단가!$F$4:$F$203,MATCH(D128,식자재단가!$C$4:$C$203,0)),""))</f>
        <v/>
      </c>
      <c r="H128" s="50"/>
      <c r="I128" s="82" t="str">
        <f aca="false">IF(OR(F128="",H128=""),"",F128*H128)</f>
        <v/>
      </c>
      <c r="J128" s="83" t="str">
        <f aca="false">IF(D128="","",IFERROR(INDEX(식자재단가!$M$4:$M$203,MATCH(D128,식자재단가!$C$4:$C$203,0)),"과세"))</f>
        <v/>
      </c>
      <c r="K128" s="28" t="str">
        <f aca="false">IF(I128="","",IF(J128="과세",ROUND(I128*0.1,0),0))</f>
        <v/>
      </c>
      <c r="L128" s="28" t="str">
        <f aca="false">IF(I128="","",I128+K128)</f>
        <v/>
      </c>
      <c r="M128" s="10"/>
      <c r="N128" s="80"/>
      <c r="O128" s="80"/>
      <c r="P128" s="59" t="str">
        <f aca="false">IF(E128="","",IFERROR(INDEX(기본설정!$H$4:$H$14,MATCH(E128,기본설정!$G$4:$G$14,0)),""))</f>
        <v/>
      </c>
    </row>
    <row r="129" customFormat="false" ht="15" hidden="false" customHeight="false" outlineLevel="0" collapsed="false">
      <c r="A129" s="73"/>
      <c r="B129" s="10"/>
      <c r="C129" s="80"/>
      <c r="D129" s="80"/>
      <c r="E129" s="81" t="str">
        <f aca="false">IF(D129="","",IFERROR(INDEX(식자재단가!$B$4:$B$203,MATCH(D129,식자재단가!$C$4:$C$203,0)),""))</f>
        <v/>
      </c>
      <c r="F129" s="76"/>
      <c r="G129" s="59" t="str">
        <f aca="false">IF(D129="","",IFERROR(INDEX(식자재단가!$F$4:$F$203,MATCH(D129,식자재단가!$C$4:$C$203,0)),""))</f>
        <v/>
      </c>
      <c r="H129" s="50"/>
      <c r="I129" s="82" t="str">
        <f aca="false">IF(OR(F129="",H129=""),"",F129*H129)</f>
        <v/>
      </c>
      <c r="J129" s="83" t="str">
        <f aca="false">IF(D129="","",IFERROR(INDEX(식자재단가!$M$4:$M$203,MATCH(D129,식자재단가!$C$4:$C$203,0)),"과세"))</f>
        <v/>
      </c>
      <c r="K129" s="28" t="str">
        <f aca="false">IF(I129="","",IF(J129="과세",ROUND(I129*0.1,0),0))</f>
        <v/>
      </c>
      <c r="L129" s="28" t="str">
        <f aca="false">IF(I129="","",I129+K129)</f>
        <v/>
      </c>
      <c r="M129" s="10"/>
      <c r="N129" s="80"/>
      <c r="O129" s="80"/>
      <c r="P129" s="59" t="str">
        <f aca="false">IF(E129="","",IFERROR(INDEX(기본설정!$H$4:$H$14,MATCH(E129,기본설정!$G$4:$G$14,0)),""))</f>
        <v/>
      </c>
    </row>
    <row r="130" customFormat="false" ht="15" hidden="false" customHeight="false" outlineLevel="0" collapsed="false">
      <c r="A130" s="73"/>
      <c r="B130" s="10"/>
      <c r="C130" s="80"/>
      <c r="D130" s="80"/>
      <c r="E130" s="81" t="str">
        <f aca="false">IF(D130="","",IFERROR(INDEX(식자재단가!$B$4:$B$203,MATCH(D130,식자재단가!$C$4:$C$203,0)),""))</f>
        <v/>
      </c>
      <c r="F130" s="76"/>
      <c r="G130" s="59" t="str">
        <f aca="false">IF(D130="","",IFERROR(INDEX(식자재단가!$F$4:$F$203,MATCH(D130,식자재단가!$C$4:$C$203,0)),""))</f>
        <v/>
      </c>
      <c r="H130" s="50"/>
      <c r="I130" s="82" t="str">
        <f aca="false">IF(OR(F130="",H130=""),"",F130*H130)</f>
        <v/>
      </c>
      <c r="J130" s="83" t="str">
        <f aca="false">IF(D130="","",IFERROR(INDEX(식자재단가!$M$4:$M$203,MATCH(D130,식자재단가!$C$4:$C$203,0)),"과세"))</f>
        <v/>
      </c>
      <c r="K130" s="28" t="str">
        <f aca="false">IF(I130="","",IF(J130="과세",ROUND(I130*0.1,0),0))</f>
        <v/>
      </c>
      <c r="L130" s="28" t="str">
        <f aca="false">IF(I130="","",I130+K130)</f>
        <v/>
      </c>
      <c r="M130" s="10"/>
      <c r="N130" s="80"/>
      <c r="O130" s="80"/>
      <c r="P130" s="59" t="str">
        <f aca="false">IF(E130="","",IFERROR(INDEX(기본설정!$H$4:$H$14,MATCH(E130,기본설정!$G$4:$G$14,0)),""))</f>
        <v/>
      </c>
    </row>
    <row r="131" customFormat="false" ht="15" hidden="false" customHeight="false" outlineLevel="0" collapsed="false">
      <c r="A131" s="73"/>
      <c r="B131" s="10"/>
      <c r="C131" s="80"/>
      <c r="D131" s="80"/>
      <c r="E131" s="81" t="str">
        <f aca="false">IF(D131="","",IFERROR(INDEX(식자재단가!$B$4:$B$203,MATCH(D131,식자재단가!$C$4:$C$203,0)),""))</f>
        <v/>
      </c>
      <c r="F131" s="76"/>
      <c r="G131" s="59" t="str">
        <f aca="false">IF(D131="","",IFERROR(INDEX(식자재단가!$F$4:$F$203,MATCH(D131,식자재단가!$C$4:$C$203,0)),""))</f>
        <v/>
      </c>
      <c r="H131" s="50"/>
      <c r="I131" s="82" t="str">
        <f aca="false">IF(OR(F131="",H131=""),"",F131*H131)</f>
        <v/>
      </c>
      <c r="J131" s="83" t="str">
        <f aca="false">IF(D131="","",IFERROR(INDEX(식자재단가!$M$4:$M$203,MATCH(D131,식자재단가!$C$4:$C$203,0)),"과세"))</f>
        <v/>
      </c>
      <c r="K131" s="28" t="str">
        <f aca="false">IF(I131="","",IF(J131="과세",ROUND(I131*0.1,0),0))</f>
        <v/>
      </c>
      <c r="L131" s="28" t="str">
        <f aca="false">IF(I131="","",I131+K131)</f>
        <v/>
      </c>
      <c r="M131" s="10"/>
      <c r="N131" s="80"/>
      <c r="O131" s="80"/>
      <c r="P131" s="59" t="str">
        <f aca="false">IF(E131="","",IFERROR(INDEX(기본설정!$H$4:$H$14,MATCH(E131,기본설정!$G$4:$G$14,0)),""))</f>
        <v/>
      </c>
    </row>
    <row r="132" customFormat="false" ht="15" hidden="false" customHeight="false" outlineLevel="0" collapsed="false">
      <c r="A132" s="73"/>
      <c r="B132" s="10"/>
      <c r="C132" s="80"/>
      <c r="D132" s="80"/>
      <c r="E132" s="81" t="str">
        <f aca="false">IF(D132="","",IFERROR(INDEX(식자재단가!$B$4:$B$203,MATCH(D132,식자재단가!$C$4:$C$203,0)),""))</f>
        <v/>
      </c>
      <c r="F132" s="76"/>
      <c r="G132" s="59" t="str">
        <f aca="false">IF(D132="","",IFERROR(INDEX(식자재단가!$F$4:$F$203,MATCH(D132,식자재단가!$C$4:$C$203,0)),""))</f>
        <v/>
      </c>
      <c r="H132" s="50"/>
      <c r="I132" s="82" t="str">
        <f aca="false">IF(OR(F132="",H132=""),"",F132*H132)</f>
        <v/>
      </c>
      <c r="J132" s="83" t="str">
        <f aca="false">IF(D132="","",IFERROR(INDEX(식자재단가!$M$4:$M$203,MATCH(D132,식자재단가!$C$4:$C$203,0)),"과세"))</f>
        <v/>
      </c>
      <c r="K132" s="28" t="str">
        <f aca="false">IF(I132="","",IF(J132="과세",ROUND(I132*0.1,0),0))</f>
        <v/>
      </c>
      <c r="L132" s="28" t="str">
        <f aca="false">IF(I132="","",I132+K132)</f>
        <v/>
      </c>
      <c r="M132" s="10"/>
      <c r="N132" s="80"/>
      <c r="O132" s="80"/>
      <c r="P132" s="59" t="str">
        <f aca="false">IF(E132="","",IFERROR(INDEX(기본설정!$H$4:$H$14,MATCH(E132,기본설정!$G$4:$G$14,0)),""))</f>
        <v/>
      </c>
    </row>
    <row r="133" customFormat="false" ht="15" hidden="false" customHeight="false" outlineLevel="0" collapsed="false">
      <c r="A133" s="73"/>
      <c r="B133" s="10"/>
      <c r="C133" s="80"/>
      <c r="D133" s="80"/>
      <c r="E133" s="81" t="str">
        <f aca="false">IF(D133="","",IFERROR(INDEX(식자재단가!$B$4:$B$203,MATCH(D133,식자재단가!$C$4:$C$203,0)),""))</f>
        <v/>
      </c>
      <c r="F133" s="76"/>
      <c r="G133" s="59" t="str">
        <f aca="false">IF(D133="","",IFERROR(INDEX(식자재단가!$F$4:$F$203,MATCH(D133,식자재단가!$C$4:$C$203,0)),""))</f>
        <v/>
      </c>
      <c r="H133" s="50"/>
      <c r="I133" s="82" t="str">
        <f aca="false">IF(OR(F133="",H133=""),"",F133*H133)</f>
        <v/>
      </c>
      <c r="J133" s="83" t="str">
        <f aca="false">IF(D133="","",IFERROR(INDEX(식자재단가!$M$4:$M$203,MATCH(D133,식자재단가!$C$4:$C$203,0)),"과세"))</f>
        <v/>
      </c>
      <c r="K133" s="28" t="str">
        <f aca="false">IF(I133="","",IF(J133="과세",ROUND(I133*0.1,0),0))</f>
        <v/>
      </c>
      <c r="L133" s="28" t="str">
        <f aca="false">IF(I133="","",I133+K133)</f>
        <v/>
      </c>
      <c r="M133" s="10"/>
      <c r="N133" s="80"/>
      <c r="O133" s="80"/>
      <c r="P133" s="59" t="str">
        <f aca="false">IF(E133="","",IFERROR(INDEX(기본설정!$H$4:$H$14,MATCH(E133,기본설정!$G$4:$G$14,0)),""))</f>
        <v/>
      </c>
    </row>
    <row r="134" customFormat="false" ht="15" hidden="false" customHeight="false" outlineLevel="0" collapsed="false">
      <c r="A134" s="73"/>
      <c r="B134" s="10"/>
      <c r="C134" s="80"/>
      <c r="D134" s="80"/>
      <c r="E134" s="81" t="str">
        <f aca="false">IF(D134="","",IFERROR(INDEX(식자재단가!$B$4:$B$203,MATCH(D134,식자재단가!$C$4:$C$203,0)),""))</f>
        <v/>
      </c>
      <c r="F134" s="76"/>
      <c r="G134" s="59" t="str">
        <f aca="false">IF(D134="","",IFERROR(INDEX(식자재단가!$F$4:$F$203,MATCH(D134,식자재단가!$C$4:$C$203,0)),""))</f>
        <v/>
      </c>
      <c r="H134" s="50"/>
      <c r="I134" s="82" t="str">
        <f aca="false">IF(OR(F134="",H134=""),"",F134*H134)</f>
        <v/>
      </c>
      <c r="J134" s="83" t="str">
        <f aca="false">IF(D134="","",IFERROR(INDEX(식자재단가!$M$4:$M$203,MATCH(D134,식자재단가!$C$4:$C$203,0)),"과세"))</f>
        <v/>
      </c>
      <c r="K134" s="28" t="str">
        <f aca="false">IF(I134="","",IF(J134="과세",ROUND(I134*0.1,0),0))</f>
        <v/>
      </c>
      <c r="L134" s="28" t="str">
        <f aca="false">IF(I134="","",I134+K134)</f>
        <v/>
      </c>
      <c r="M134" s="10"/>
      <c r="N134" s="80"/>
      <c r="O134" s="80"/>
      <c r="P134" s="59" t="str">
        <f aca="false">IF(E134="","",IFERROR(INDEX(기본설정!$H$4:$H$14,MATCH(E134,기본설정!$G$4:$G$14,0)),""))</f>
        <v/>
      </c>
    </row>
    <row r="135" customFormat="false" ht="15" hidden="false" customHeight="false" outlineLevel="0" collapsed="false">
      <c r="A135" s="73"/>
      <c r="B135" s="10"/>
      <c r="C135" s="80"/>
      <c r="D135" s="80"/>
      <c r="E135" s="81" t="str">
        <f aca="false">IF(D135="","",IFERROR(INDEX(식자재단가!$B$4:$B$203,MATCH(D135,식자재단가!$C$4:$C$203,0)),""))</f>
        <v/>
      </c>
      <c r="F135" s="76"/>
      <c r="G135" s="59" t="str">
        <f aca="false">IF(D135="","",IFERROR(INDEX(식자재단가!$F$4:$F$203,MATCH(D135,식자재단가!$C$4:$C$203,0)),""))</f>
        <v/>
      </c>
      <c r="H135" s="50"/>
      <c r="I135" s="82" t="str">
        <f aca="false">IF(OR(F135="",H135=""),"",F135*H135)</f>
        <v/>
      </c>
      <c r="J135" s="83" t="str">
        <f aca="false">IF(D135="","",IFERROR(INDEX(식자재단가!$M$4:$M$203,MATCH(D135,식자재단가!$C$4:$C$203,0)),"과세"))</f>
        <v/>
      </c>
      <c r="K135" s="28" t="str">
        <f aca="false">IF(I135="","",IF(J135="과세",ROUND(I135*0.1,0),0))</f>
        <v/>
      </c>
      <c r="L135" s="28" t="str">
        <f aca="false">IF(I135="","",I135+K135)</f>
        <v/>
      </c>
      <c r="M135" s="10"/>
      <c r="N135" s="80"/>
      <c r="O135" s="80"/>
      <c r="P135" s="59" t="str">
        <f aca="false">IF(E135="","",IFERROR(INDEX(기본설정!$H$4:$H$14,MATCH(E135,기본설정!$G$4:$G$14,0)),""))</f>
        <v/>
      </c>
    </row>
    <row r="136" customFormat="false" ht="15" hidden="false" customHeight="false" outlineLevel="0" collapsed="false">
      <c r="A136" s="73"/>
      <c r="B136" s="10"/>
      <c r="C136" s="80"/>
      <c r="D136" s="80"/>
      <c r="E136" s="81" t="str">
        <f aca="false">IF(D136="","",IFERROR(INDEX(식자재단가!$B$4:$B$203,MATCH(D136,식자재단가!$C$4:$C$203,0)),""))</f>
        <v/>
      </c>
      <c r="F136" s="76"/>
      <c r="G136" s="59" t="str">
        <f aca="false">IF(D136="","",IFERROR(INDEX(식자재단가!$F$4:$F$203,MATCH(D136,식자재단가!$C$4:$C$203,0)),""))</f>
        <v/>
      </c>
      <c r="H136" s="50"/>
      <c r="I136" s="82" t="str">
        <f aca="false">IF(OR(F136="",H136=""),"",F136*H136)</f>
        <v/>
      </c>
      <c r="J136" s="83" t="str">
        <f aca="false">IF(D136="","",IFERROR(INDEX(식자재단가!$M$4:$M$203,MATCH(D136,식자재단가!$C$4:$C$203,0)),"과세"))</f>
        <v/>
      </c>
      <c r="K136" s="28" t="str">
        <f aca="false">IF(I136="","",IF(J136="과세",ROUND(I136*0.1,0),0))</f>
        <v/>
      </c>
      <c r="L136" s="28" t="str">
        <f aca="false">IF(I136="","",I136+K136)</f>
        <v/>
      </c>
      <c r="M136" s="10"/>
      <c r="N136" s="80"/>
      <c r="O136" s="80"/>
      <c r="P136" s="59" t="str">
        <f aca="false">IF(E136="","",IFERROR(INDEX(기본설정!$H$4:$H$14,MATCH(E136,기본설정!$G$4:$G$14,0)),""))</f>
        <v/>
      </c>
    </row>
    <row r="137" customFormat="false" ht="15" hidden="false" customHeight="false" outlineLevel="0" collapsed="false">
      <c r="A137" s="73"/>
      <c r="B137" s="10"/>
      <c r="C137" s="80"/>
      <c r="D137" s="80"/>
      <c r="E137" s="81" t="str">
        <f aca="false">IF(D137="","",IFERROR(INDEX(식자재단가!$B$4:$B$203,MATCH(D137,식자재단가!$C$4:$C$203,0)),""))</f>
        <v/>
      </c>
      <c r="F137" s="76"/>
      <c r="G137" s="59" t="str">
        <f aca="false">IF(D137="","",IFERROR(INDEX(식자재단가!$F$4:$F$203,MATCH(D137,식자재단가!$C$4:$C$203,0)),""))</f>
        <v/>
      </c>
      <c r="H137" s="50"/>
      <c r="I137" s="82" t="str">
        <f aca="false">IF(OR(F137="",H137=""),"",F137*H137)</f>
        <v/>
      </c>
      <c r="J137" s="83" t="str">
        <f aca="false">IF(D137="","",IFERROR(INDEX(식자재단가!$M$4:$M$203,MATCH(D137,식자재단가!$C$4:$C$203,0)),"과세"))</f>
        <v/>
      </c>
      <c r="K137" s="28" t="str">
        <f aca="false">IF(I137="","",IF(J137="과세",ROUND(I137*0.1,0),0))</f>
        <v/>
      </c>
      <c r="L137" s="28" t="str">
        <f aca="false">IF(I137="","",I137+K137)</f>
        <v/>
      </c>
      <c r="M137" s="10"/>
      <c r="N137" s="80"/>
      <c r="O137" s="80"/>
      <c r="P137" s="59" t="str">
        <f aca="false">IF(E137="","",IFERROR(INDEX(기본설정!$H$4:$H$14,MATCH(E137,기본설정!$G$4:$G$14,0)),""))</f>
        <v/>
      </c>
    </row>
    <row r="138" customFormat="false" ht="15" hidden="false" customHeight="false" outlineLevel="0" collapsed="false">
      <c r="A138" s="73"/>
      <c r="B138" s="10"/>
      <c r="C138" s="80"/>
      <c r="D138" s="80"/>
      <c r="E138" s="81" t="str">
        <f aca="false">IF(D138="","",IFERROR(INDEX(식자재단가!$B$4:$B$203,MATCH(D138,식자재단가!$C$4:$C$203,0)),""))</f>
        <v/>
      </c>
      <c r="F138" s="76"/>
      <c r="G138" s="59" t="str">
        <f aca="false">IF(D138="","",IFERROR(INDEX(식자재단가!$F$4:$F$203,MATCH(D138,식자재단가!$C$4:$C$203,0)),""))</f>
        <v/>
      </c>
      <c r="H138" s="50"/>
      <c r="I138" s="82" t="str">
        <f aca="false">IF(OR(F138="",H138=""),"",F138*H138)</f>
        <v/>
      </c>
      <c r="J138" s="83" t="str">
        <f aca="false">IF(D138="","",IFERROR(INDEX(식자재단가!$M$4:$M$203,MATCH(D138,식자재단가!$C$4:$C$203,0)),"과세"))</f>
        <v/>
      </c>
      <c r="K138" s="28" t="str">
        <f aca="false">IF(I138="","",IF(J138="과세",ROUND(I138*0.1,0),0))</f>
        <v/>
      </c>
      <c r="L138" s="28" t="str">
        <f aca="false">IF(I138="","",I138+K138)</f>
        <v/>
      </c>
      <c r="M138" s="10"/>
      <c r="N138" s="80"/>
      <c r="O138" s="80"/>
      <c r="P138" s="59" t="str">
        <f aca="false">IF(E138="","",IFERROR(INDEX(기본설정!$H$4:$H$14,MATCH(E138,기본설정!$G$4:$G$14,0)),""))</f>
        <v/>
      </c>
    </row>
    <row r="139" customFormat="false" ht="15" hidden="false" customHeight="false" outlineLevel="0" collapsed="false">
      <c r="A139" s="73"/>
      <c r="B139" s="10"/>
      <c r="C139" s="80"/>
      <c r="D139" s="80"/>
      <c r="E139" s="81" t="str">
        <f aca="false">IF(D139="","",IFERROR(INDEX(식자재단가!$B$4:$B$203,MATCH(D139,식자재단가!$C$4:$C$203,0)),""))</f>
        <v/>
      </c>
      <c r="F139" s="76"/>
      <c r="G139" s="59" t="str">
        <f aca="false">IF(D139="","",IFERROR(INDEX(식자재단가!$F$4:$F$203,MATCH(D139,식자재단가!$C$4:$C$203,0)),""))</f>
        <v/>
      </c>
      <c r="H139" s="50"/>
      <c r="I139" s="82" t="str">
        <f aca="false">IF(OR(F139="",H139=""),"",F139*H139)</f>
        <v/>
      </c>
      <c r="J139" s="83" t="str">
        <f aca="false">IF(D139="","",IFERROR(INDEX(식자재단가!$M$4:$M$203,MATCH(D139,식자재단가!$C$4:$C$203,0)),"과세"))</f>
        <v/>
      </c>
      <c r="K139" s="28" t="str">
        <f aca="false">IF(I139="","",IF(J139="과세",ROUND(I139*0.1,0),0))</f>
        <v/>
      </c>
      <c r="L139" s="28" t="str">
        <f aca="false">IF(I139="","",I139+K139)</f>
        <v/>
      </c>
      <c r="M139" s="10"/>
      <c r="N139" s="80"/>
      <c r="O139" s="80"/>
      <c r="P139" s="59" t="str">
        <f aca="false">IF(E139="","",IFERROR(INDEX(기본설정!$H$4:$H$14,MATCH(E139,기본설정!$G$4:$G$14,0)),""))</f>
        <v/>
      </c>
    </row>
    <row r="140" customFormat="false" ht="15" hidden="false" customHeight="false" outlineLevel="0" collapsed="false">
      <c r="A140" s="73"/>
      <c r="B140" s="10"/>
      <c r="C140" s="80"/>
      <c r="D140" s="80"/>
      <c r="E140" s="81" t="str">
        <f aca="false">IF(D140="","",IFERROR(INDEX(식자재단가!$B$4:$B$203,MATCH(D140,식자재단가!$C$4:$C$203,0)),""))</f>
        <v/>
      </c>
      <c r="F140" s="76"/>
      <c r="G140" s="59" t="str">
        <f aca="false">IF(D140="","",IFERROR(INDEX(식자재단가!$F$4:$F$203,MATCH(D140,식자재단가!$C$4:$C$203,0)),""))</f>
        <v/>
      </c>
      <c r="H140" s="50"/>
      <c r="I140" s="82" t="str">
        <f aca="false">IF(OR(F140="",H140=""),"",F140*H140)</f>
        <v/>
      </c>
      <c r="J140" s="83" t="str">
        <f aca="false">IF(D140="","",IFERROR(INDEX(식자재단가!$M$4:$M$203,MATCH(D140,식자재단가!$C$4:$C$203,0)),"과세"))</f>
        <v/>
      </c>
      <c r="K140" s="28" t="str">
        <f aca="false">IF(I140="","",IF(J140="과세",ROUND(I140*0.1,0),0))</f>
        <v/>
      </c>
      <c r="L140" s="28" t="str">
        <f aca="false">IF(I140="","",I140+K140)</f>
        <v/>
      </c>
      <c r="M140" s="10"/>
      <c r="N140" s="80"/>
      <c r="O140" s="80"/>
      <c r="P140" s="59" t="str">
        <f aca="false">IF(E140="","",IFERROR(INDEX(기본설정!$H$4:$H$14,MATCH(E140,기본설정!$G$4:$G$14,0)),""))</f>
        <v/>
      </c>
    </row>
    <row r="141" customFormat="false" ht="15" hidden="false" customHeight="false" outlineLevel="0" collapsed="false">
      <c r="A141" s="73"/>
      <c r="B141" s="10"/>
      <c r="C141" s="80"/>
      <c r="D141" s="80"/>
      <c r="E141" s="81" t="str">
        <f aca="false">IF(D141="","",IFERROR(INDEX(식자재단가!$B$4:$B$203,MATCH(D141,식자재단가!$C$4:$C$203,0)),""))</f>
        <v/>
      </c>
      <c r="F141" s="76"/>
      <c r="G141" s="59" t="str">
        <f aca="false">IF(D141="","",IFERROR(INDEX(식자재단가!$F$4:$F$203,MATCH(D141,식자재단가!$C$4:$C$203,0)),""))</f>
        <v/>
      </c>
      <c r="H141" s="50"/>
      <c r="I141" s="82" t="str">
        <f aca="false">IF(OR(F141="",H141=""),"",F141*H141)</f>
        <v/>
      </c>
      <c r="J141" s="83" t="str">
        <f aca="false">IF(D141="","",IFERROR(INDEX(식자재단가!$M$4:$M$203,MATCH(D141,식자재단가!$C$4:$C$203,0)),"과세"))</f>
        <v/>
      </c>
      <c r="K141" s="28" t="str">
        <f aca="false">IF(I141="","",IF(J141="과세",ROUND(I141*0.1,0),0))</f>
        <v/>
      </c>
      <c r="L141" s="28" t="str">
        <f aca="false">IF(I141="","",I141+K141)</f>
        <v/>
      </c>
      <c r="M141" s="10"/>
      <c r="N141" s="80"/>
      <c r="O141" s="80"/>
      <c r="P141" s="59" t="str">
        <f aca="false">IF(E141="","",IFERROR(INDEX(기본설정!$H$4:$H$14,MATCH(E141,기본설정!$G$4:$G$14,0)),""))</f>
        <v/>
      </c>
    </row>
    <row r="142" customFormat="false" ht="15" hidden="false" customHeight="false" outlineLevel="0" collapsed="false">
      <c r="A142" s="73"/>
      <c r="B142" s="10"/>
      <c r="C142" s="80"/>
      <c r="D142" s="80"/>
      <c r="E142" s="81" t="str">
        <f aca="false">IF(D142="","",IFERROR(INDEX(식자재단가!$B$4:$B$203,MATCH(D142,식자재단가!$C$4:$C$203,0)),""))</f>
        <v/>
      </c>
      <c r="F142" s="76"/>
      <c r="G142" s="59" t="str">
        <f aca="false">IF(D142="","",IFERROR(INDEX(식자재단가!$F$4:$F$203,MATCH(D142,식자재단가!$C$4:$C$203,0)),""))</f>
        <v/>
      </c>
      <c r="H142" s="50"/>
      <c r="I142" s="82" t="str">
        <f aca="false">IF(OR(F142="",H142=""),"",F142*H142)</f>
        <v/>
      </c>
      <c r="J142" s="83" t="str">
        <f aca="false">IF(D142="","",IFERROR(INDEX(식자재단가!$M$4:$M$203,MATCH(D142,식자재단가!$C$4:$C$203,0)),"과세"))</f>
        <v/>
      </c>
      <c r="K142" s="28" t="str">
        <f aca="false">IF(I142="","",IF(J142="과세",ROUND(I142*0.1,0),0))</f>
        <v/>
      </c>
      <c r="L142" s="28" t="str">
        <f aca="false">IF(I142="","",I142+K142)</f>
        <v/>
      </c>
      <c r="M142" s="10"/>
      <c r="N142" s="80"/>
      <c r="O142" s="80"/>
      <c r="P142" s="59" t="str">
        <f aca="false">IF(E142="","",IFERROR(INDEX(기본설정!$H$4:$H$14,MATCH(E142,기본설정!$G$4:$G$14,0)),""))</f>
        <v/>
      </c>
    </row>
    <row r="143" customFormat="false" ht="15" hidden="false" customHeight="false" outlineLevel="0" collapsed="false">
      <c r="A143" s="73"/>
      <c r="B143" s="10"/>
      <c r="C143" s="80"/>
      <c r="D143" s="80"/>
      <c r="E143" s="81" t="str">
        <f aca="false">IF(D143="","",IFERROR(INDEX(식자재단가!$B$4:$B$203,MATCH(D143,식자재단가!$C$4:$C$203,0)),""))</f>
        <v/>
      </c>
      <c r="F143" s="76"/>
      <c r="G143" s="59" t="str">
        <f aca="false">IF(D143="","",IFERROR(INDEX(식자재단가!$F$4:$F$203,MATCH(D143,식자재단가!$C$4:$C$203,0)),""))</f>
        <v/>
      </c>
      <c r="H143" s="50"/>
      <c r="I143" s="82" t="str">
        <f aca="false">IF(OR(F143="",H143=""),"",F143*H143)</f>
        <v/>
      </c>
      <c r="J143" s="83" t="str">
        <f aca="false">IF(D143="","",IFERROR(INDEX(식자재단가!$M$4:$M$203,MATCH(D143,식자재단가!$C$4:$C$203,0)),"과세"))</f>
        <v/>
      </c>
      <c r="K143" s="28" t="str">
        <f aca="false">IF(I143="","",IF(J143="과세",ROUND(I143*0.1,0),0))</f>
        <v/>
      </c>
      <c r="L143" s="28" t="str">
        <f aca="false">IF(I143="","",I143+K143)</f>
        <v/>
      </c>
      <c r="M143" s="10"/>
      <c r="N143" s="80"/>
      <c r="O143" s="80"/>
      <c r="P143" s="59" t="str">
        <f aca="false">IF(E143="","",IFERROR(INDEX(기본설정!$H$4:$H$14,MATCH(E143,기본설정!$G$4:$G$14,0)),""))</f>
        <v/>
      </c>
    </row>
    <row r="144" customFormat="false" ht="15" hidden="false" customHeight="false" outlineLevel="0" collapsed="false">
      <c r="A144" s="73"/>
      <c r="B144" s="10"/>
      <c r="C144" s="80"/>
      <c r="D144" s="80"/>
      <c r="E144" s="81" t="str">
        <f aca="false">IF(D144="","",IFERROR(INDEX(식자재단가!$B$4:$B$203,MATCH(D144,식자재단가!$C$4:$C$203,0)),""))</f>
        <v/>
      </c>
      <c r="F144" s="76"/>
      <c r="G144" s="59" t="str">
        <f aca="false">IF(D144="","",IFERROR(INDEX(식자재단가!$F$4:$F$203,MATCH(D144,식자재단가!$C$4:$C$203,0)),""))</f>
        <v/>
      </c>
      <c r="H144" s="50"/>
      <c r="I144" s="82" t="str">
        <f aca="false">IF(OR(F144="",H144=""),"",F144*H144)</f>
        <v/>
      </c>
      <c r="J144" s="83" t="str">
        <f aca="false">IF(D144="","",IFERROR(INDEX(식자재단가!$M$4:$M$203,MATCH(D144,식자재단가!$C$4:$C$203,0)),"과세"))</f>
        <v/>
      </c>
      <c r="K144" s="28" t="str">
        <f aca="false">IF(I144="","",IF(J144="과세",ROUND(I144*0.1,0),0))</f>
        <v/>
      </c>
      <c r="L144" s="28" t="str">
        <f aca="false">IF(I144="","",I144+K144)</f>
        <v/>
      </c>
      <c r="M144" s="10"/>
      <c r="N144" s="80"/>
      <c r="O144" s="80"/>
      <c r="P144" s="59" t="str">
        <f aca="false">IF(E144="","",IFERROR(INDEX(기본설정!$H$4:$H$14,MATCH(E144,기본설정!$G$4:$G$14,0)),""))</f>
        <v/>
      </c>
    </row>
    <row r="145" customFormat="false" ht="15" hidden="false" customHeight="false" outlineLevel="0" collapsed="false">
      <c r="A145" s="73"/>
      <c r="B145" s="10"/>
      <c r="C145" s="80"/>
      <c r="D145" s="80"/>
      <c r="E145" s="81" t="str">
        <f aca="false">IF(D145="","",IFERROR(INDEX(식자재단가!$B$4:$B$203,MATCH(D145,식자재단가!$C$4:$C$203,0)),""))</f>
        <v/>
      </c>
      <c r="F145" s="76"/>
      <c r="G145" s="59" t="str">
        <f aca="false">IF(D145="","",IFERROR(INDEX(식자재단가!$F$4:$F$203,MATCH(D145,식자재단가!$C$4:$C$203,0)),""))</f>
        <v/>
      </c>
      <c r="H145" s="50"/>
      <c r="I145" s="82" t="str">
        <f aca="false">IF(OR(F145="",H145=""),"",F145*H145)</f>
        <v/>
      </c>
      <c r="J145" s="83" t="str">
        <f aca="false">IF(D145="","",IFERROR(INDEX(식자재단가!$M$4:$M$203,MATCH(D145,식자재단가!$C$4:$C$203,0)),"과세"))</f>
        <v/>
      </c>
      <c r="K145" s="28" t="str">
        <f aca="false">IF(I145="","",IF(J145="과세",ROUND(I145*0.1,0),0))</f>
        <v/>
      </c>
      <c r="L145" s="28" t="str">
        <f aca="false">IF(I145="","",I145+K145)</f>
        <v/>
      </c>
      <c r="M145" s="10"/>
      <c r="N145" s="80"/>
      <c r="O145" s="80"/>
      <c r="P145" s="59" t="str">
        <f aca="false">IF(E145="","",IFERROR(INDEX(기본설정!$H$4:$H$14,MATCH(E145,기본설정!$G$4:$G$14,0)),""))</f>
        <v/>
      </c>
    </row>
    <row r="146" customFormat="false" ht="15" hidden="false" customHeight="false" outlineLevel="0" collapsed="false">
      <c r="A146" s="73"/>
      <c r="B146" s="10"/>
      <c r="C146" s="80"/>
      <c r="D146" s="80"/>
      <c r="E146" s="81" t="str">
        <f aca="false">IF(D146="","",IFERROR(INDEX(식자재단가!$B$4:$B$203,MATCH(D146,식자재단가!$C$4:$C$203,0)),""))</f>
        <v/>
      </c>
      <c r="F146" s="76"/>
      <c r="G146" s="59" t="str">
        <f aca="false">IF(D146="","",IFERROR(INDEX(식자재단가!$F$4:$F$203,MATCH(D146,식자재단가!$C$4:$C$203,0)),""))</f>
        <v/>
      </c>
      <c r="H146" s="50"/>
      <c r="I146" s="82" t="str">
        <f aca="false">IF(OR(F146="",H146=""),"",F146*H146)</f>
        <v/>
      </c>
      <c r="J146" s="83" t="str">
        <f aca="false">IF(D146="","",IFERROR(INDEX(식자재단가!$M$4:$M$203,MATCH(D146,식자재단가!$C$4:$C$203,0)),"과세"))</f>
        <v/>
      </c>
      <c r="K146" s="28" t="str">
        <f aca="false">IF(I146="","",IF(J146="과세",ROUND(I146*0.1,0),0))</f>
        <v/>
      </c>
      <c r="L146" s="28" t="str">
        <f aca="false">IF(I146="","",I146+K146)</f>
        <v/>
      </c>
      <c r="M146" s="10"/>
      <c r="N146" s="80"/>
      <c r="O146" s="80"/>
      <c r="P146" s="59" t="str">
        <f aca="false">IF(E146="","",IFERROR(INDEX(기본설정!$H$4:$H$14,MATCH(E146,기본설정!$G$4:$G$14,0)),""))</f>
        <v/>
      </c>
    </row>
    <row r="147" customFormat="false" ht="15" hidden="false" customHeight="false" outlineLevel="0" collapsed="false">
      <c r="A147" s="73"/>
      <c r="B147" s="10"/>
      <c r="C147" s="80"/>
      <c r="D147" s="80"/>
      <c r="E147" s="81" t="str">
        <f aca="false">IF(D147="","",IFERROR(INDEX(식자재단가!$B$4:$B$203,MATCH(D147,식자재단가!$C$4:$C$203,0)),""))</f>
        <v/>
      </c>
      <c r="F147" s="76"/>
      <c r="G147" s="59" t="str">
        <f aca="false">IF(D147="","",IFERROR(INDEX(식자재단가!$F$4:$F$203,MATCH(D147,식자재단가!$C$4:$C$203,0)),""))</f>
        <v/>
      </c>
      <c r="H147" s="50"/>
      <c r="I147" s="82" t="str">
        <f aca="false">IF(OR(F147="",H147=""),"",F147*H147)</f>
        <v/>
      </c>
      <c r="J147" s="83" t="str">
        <f aca="false">IF(D147="","",IFERROR(INDEX(식자재단가!$M$4:$M$203,MATCH(D147,식자재단가!$C$4:$C$203,0)),"과세"))</f>
        <v/>
      </c>
      <c r="K147" s="28" t="str">
        <f aca="false">IF(I147="","",IF(J147="과세",ROUND(I147*0.1,0),0))</f>
        <v/>
      </c>
      <c r="L147" s="28" t="str">
        <f aca="false">IF(I147="","",I147+K147)</f>
        <v/>
      </c>
      <c r="M147" s="10"/>
      <c r="N147" s="80"/>
      <c r="O147" s="80"/>
      <c r="P147" s="59" t="str">
        <f aca="false">IF(E147="","",IFERROR(INDEX(기본설정!$H$4:$H$14,MATCH(E147,기본설정!$G$4:$G$14,0)),""))</f>
        <v/>
      </c>
    </row>
    <row r="148" customFormat="false" ht="15" hidden="false" customHeight="false" outlineLevel="0" collapsed="false">
      <c r="A148" s="73"/>
      <c r="B148" s="10"/>
      <c r="C148" s="80"/>
      <c r="D148" s="80"/>
      <c r="E148" s="81" t="str">
        <f aca="false">IF(D148="","",IFERROR(INDEX(식자재단가!$B$4:$B$203,MATCH(D148,식자재단가!$C$4:$C$203,0)),""))</f>
        <v/>
      </c>
      <c r="F148" s="76"/>
      <c r="G148" s="59" t="str">
        <f aca="false">IF(D148="","",IFERROR(INDEX(식자재단가!$F$4:$F$203,MATCH(D148,식자재단가!$C$4:$C$203,0)),""))</f>
        <v/>
      </c>
      <c r="H148" s="50"/>
      <c r="I148" s="82" t="str">
        <f aca="false">IF(OR(F148="",H148=""),"",F148*H148)</f>
        <v/>
      </c>
      <c r="J148" s="83" t="str">
        <f aca="false">IF(D148="","",IFERROR(INDEX(식자재단가!$M$4:$M$203,MATCH(D148,식자재단가!$C$4:$C$203,0)),"과세"))</f>
        <v/>
      </c>
      <c r="K148" s="28" t="str">
        <f aca="false">IF(I148="","",IF(J148="과세",ROUND(I148*0.1,0),0))</f>
        <v/>
      </c>
      <c r="L148" s="28" t="str">
        <f aca="false">IF(I148="","",I148+K148)</f>
        <v/>
      </c>
      <c r="M148" s="10"/>
      <c r="N148" s="80"/>
      <c r="O148" s="80"/>
      <c r="P148" s="59" t="str">
        <f aca="false">IF(E148="","",IFERROR(INDEX(기본설정!$H$4:$H$14,MATCH(E148,기본설정!$G$4:$G$14,0)),""))</f>
        <v/>
      </c>
    </row>
    <row r="149" customFormat="false" ht="15" hidden="false" customHeight="false" outlineLevel="0" collapsed="false">
      <c r="A149" s="73"/>
      <c r="B149" s="10"/>
      <c r="C149" s="80"/>
      <c r="D149" s="80"/>
      <c r="E149" s="81" t="str">
        <f aca="false">IF(D149="","",IFERROR(INDEX(식자재단가!$B$4:$B$203,MATCH(D149,식자재단가!$C$4:$C$203,0)),""))</f>
        <v/>
      </c>
      <c r="F149" s="76"/>
      <c r="G149" s="59" t="str">
        <f aca="false">IF(D149="","",IFERROR(INDEX(식자재단가!$F$4:$F$203,MATCH(D149,식자재단가!$C$4:$C$203,0)),""))</f>
        <v/>
      </c>
      <c r="H149" s="50"/>
      <c r="I149" s="82" t="str">
        <f aca="false">IF(OR(F149="",H149=""),"",F149*H149)</f>
        <v/>
      </c>
      <c r="J149" s="83" t="str">
        <f aca="false">IF(D149="","",IFERROR(INDEX(식자재단가!$M$4:$M$203,MATCH(D149,식자재단가!$C$4:$C$203,0)),"과세"))</f>
        <v/>
      </c>
      <c r="K149" s="28" t="str">
        <f aca="false">IF(I149="","",IF(J149="과세",ROUND(I149*0.1,0),0))</f>
        <v/>
      </c>
      <c r="L149" s="28" t="str">
        <f aca="false">IF(I149="","",I149+K149)</f>
        <v/>
      </c>
      <c r="M149" s="10"/>
      <c r="N149" s="80"/>
      <c r="O149" s="80"/>
      <c r="P149" s="59" t="str">
        <f aca="false">IF(E149="","",IFERROR(INDEX(기본설정!$H$4:$H$14,MATCH(E149,기본설정!$G$4:$G$14,0)),""))</f>
        <v/>
      </c>
    </row>
    <row r="150" customFormat="false" ht="15" hidden="false" customHeight="false" outlineLevel="0" collapsed="false">
      <c r="A150" s="73"/>
      <c r="B150" s="10"/>
      <c r="C150" s="80"/>
      <c r="D150" s="80"/>
      <c r="E150" s="81" t="str">
        <f aca="false">IF(D150="","",IFERROR(INDEX(식자재단가!$B$4:$B$203,MATCH(D150,식자재단가!$C$4:$C$203,0)),""))</f>
        <v/>
      </c>
      <c r="F150" s="76"/>
      <c r="G150" s="59" t="str">
        <f aca="false">IF(D150="","",IFERROR(INDEX(식자재단가!$F$4:$F$203,MATCH(D150,식자재단가!$C$4:$C$203,0)),""))</f>
        <v/>
      </c>
      <c r="H150" s="50"/>
      <c r="I150" s="82" t="str">
        <f aca="false">IF(OR(F150="",H150=""),"",F150*H150)</f>
        <v/>
      </c>
      <c r="J150" s="83" t="str">
        <f aca="false">IF(D150="","",IFERROR(INDEX(식자재단가!$M$4:$M$203,MATCH(D150,식자재단가!$C$4:$C$203,0)),"과세"))</f>
        <v/>
      </c>
      <c r="K150" s="28" t="str">
        <f aca="false">IF(I150="","",IF(J150="과세",ROUND(I150*0.1,0),0))</f>
        <v/>
      </c>
      <c r="L150" s="28" t="str">
        <f aca="false">IF(I150="","",I150+K150)</f>
        <v/>
      </c>
      <c r="M150" s="10"/>
      <c r="N150" s="80"/>
      <c r="O150" s="80"/>
      <c r="P150" s="59" t="str">
        <f aca="false">IF(E150="","",IFERROR(INDEX(기본설정!$H$4:$H$14,MATCH(E150,기본설정!$G$4:$G$14,0)),""))</f>
        <v/>
      </c>
    </row>
    <row r="151" customFormat="false" ht="15" hidden="false" customHeight="false" outlineLevel="0" collapsed="false">
      <c r="A151" s="73"/>
      <c r="B151" s="10"/>
      <c r="C151" s="80"/>
      <c r="D151" s="80"/>
      <c r="E151" s="81" t="str">
        <f aca="false">IF(D151="","",IFERROR(INDEX(식자재단가!$B$4:$B$203,MATCH(D151,식자재단가!$C$4:$C$203,0)),""))</f>
        <v/>
      </c>
      <c r="F151" s="76"/>
      <c r="G151" s="59" t="str">
        <f aca="false">IF(D151="","",IFERROR(INDEX(식자재단가!$F$4:$F$203,MATCH(D151,식자재단가!$C$4:$C$203,0)),""))</f>
        <v/>
      </c>
      <c r="H151" s="50"/>
      <c r="I151" s="82" t="str">
        <f aca="false">IF(OR(F151="",H151=""),"",F151*H151)</f>
        <v/>
      </c>
      <c r="J151" s="83" t="str">
        <f aca="false">IF(D151="","",IFERROR(INDEX(식자재단가!$M$4:$M$203,MATCH(D151,식자재단가!$C$4:$C$203,0)),"과세"))</f>
        <v/>
      </c>
      <c r="K151" s="28" t="str">
        <f aca="false">IF(I151="","",IF(J151="과세",ROUND(I151*0.1,0),0))</f>
        <v/>
      </c>
      <c r="L151" s="28" t="str">
        <f aca="false">IF(I151="","",I151+K151)</f>
        <v/>
      </c>
      <c r="M151" s="10"/>
      <c r="N151" s="80"/>
      <c r="O151" s="80"/>
      <c r="P151" s="59" t="str">
        <f aca="false">IF(E151="","",IFERROR(INDEX(기본설정!$H$4:$H$14,MATCH(E151,기본설정!$G$4:$G$14,0)),""))</f>
        <v/>
      </c>
    </row>
    <row r="152" customFormat="false" ht="15" hidden="false" customHeight="false" outlineLevel="0" collapsed="false">
      <c r="A152" s="73"/>
      <c r="B152" s="10"/>
      <c r="C152" s="80"/>
      <c r="D152" s="80"/>
      <c r="E152" s="81" t="str">
        <f aca="false">IF(D152="","",IFERROR(INDEX(식자재단가!$B$4:$B$203,MATCH(D152,식자재단가!$C$4:$C$203,0)),""))</f>
        <v/>
      </c>
      <c r="F152" s="76"/>
      <c r="G152" s="59" t="str">
        <f aca="false">IF(D152="","",IFERROR(INDEX(식자재단가!$F$4:$F$203,MATCH(D152,식자재단가!$C$4:$C$203,0)),""))</f>
        <v/>
      </c>
      <c r="H152" s="50"/>
      <c r="I152" s="82" t="str">
        <f aca="false">IF(OR(F152="",H152=""),"",F152*H152)</f>
        <v/>
      </c>
      <c r="J152" s="83" t="str">
        <f aca="false">IF(D152="","",IFERROR(INDEX(식자재단가!$M$4:$M$203,MATCH(D152,식자재단가!$C$4:$C$203,0)),"과세"))</f>
        <v/>
      </c>
      <c r="K152" s="28" t="str">
        <f aca="false">IF(I152="","",IF(J152="과세",ROUND(I152*0.1,0),0))</f>
        <v/>
      </c>
      <c r="L152" s="28" t="str">
        <f aca="false">IF(I152="","",I152+K152)</f>
        <v/>
      </c>
      <c r="M152" s="10"/>
      <c r="N152" s="80"/>
      <c r="O152" s="80"/>
      <c r="P152" s="59" t="str">
        <f aca="false">IF(E152="","",IFERROR(INDEX(기본설정!$H$4:$H$14,MATCH(E152,기본설정!$G$4:$G$14,0)),""))</f>
        <v/>
      </c>
    </row>
    <row r="153" customFormat="false" ht="15" hidden="false" customHeight="false" outlineLevel="0" collapsed="false">
      <c r="A153" s="73"/>
      <c r="B153" s="10"/>
      <c r="C153" s="80"/>
      <c r="D153" s="80"/>
      <c r="E153" s="81" t="str">
        <f aca="false">IF(D153="","",IFERROR(INDEX(식자재단가!$B$4:$B$203,MATCH(D153,식자재단가!$C$4:$C$203,0)),""))</f>
        <v/>
      </c>
      <c r="F153" s="76"/>
      <c r="G153" s="59" t="str">
        <f aca="false">IF(D153="","",IFERROR(INDEX(식자재단가!$F$4:$F$203,MATCH(D153,식자재단가!$C$4:$C$203,0)),""))</f>
        <v/>
      </c>
      <c r="H153" s="50"/>
      <c r="I153" s="82" t="str">
        <f aca="false">IF(OR(F153="",H153=""),"",F153*H153)</f>
        <v/>
      </c>
      <c r="J153" s="83" t="str">
        <f aca="false">IF(D153="","",IFERROR(INDEX(식자재단가!$M$4:$M$203,MATCH(D153,식자재단가!$C$4:$C$203,0)),"과세"))</f>
        <v/>
      </c>
      <c r="K153" s="28" t="str">
        <f aca="false">IF(I153="","",IF(J153="과세",ROUND(I153*0.1,0),0))</f>
        <v/>
      </c>
      <c r="L153" s="28" t="str">
        <f aca="false">IF(I153="","",I153+K153)</f>
        <v/>
      </c>
      <c r="M153" s="10"/>
      <c r="N153" s="80"/>
      <c r="O153" s="80"/>
      <c r="P153" s="59" t="str">
        <f aca="false">IF(E153="","",IFERROR(INDEX(기본설정!$H$4:$H$14,MATCH(E153,기본설정!$G$4:$G$14,0)),""))</f>
        <v/>
      </c>
    </row>
    <row r="154" customFormat="false" ht="15" hidden="false" customHeight="false" outlineLevel="0" collapsed="false">
      <c r="A154" s="73"/>
      <c r="B154" s="10"/>
      <c r="C154" s="80"/>
      <c r="D154" s="80"/>
      <c r="E154" s="81" t="str">
        <f aca="false">IF(D154="","",IFERROR(INDEX(식자재단가!$B$4:$B$203,MATCH(D154,식자재단가!$C$4:$C$203,0)),""))</f>
        <v/>
      </c>
      <c r="F154" s="76"/>
      <c r="G154" s="59" t="str">
        <f aca="false">IF(D154="","",IFERROR(INDEX(식자재단가!$F$4:$F$203,MATCH(D154,식자재단가!$C$4:$C$203,0)),""))</f>
        <v/>
      </c>
      <c r="H154" s="50"/>
      <c r="I154" s="82" t="str">
        <f aca="false">IF(OR(F154="",H154=""),"",F154*H154)</f>
        <v/>
      </c>
      <c r="J154" s="83" t="str">
        <f aca="false">IF(D154="","",IFERROR(INDEX(식자재단가!$M$4:$M$203,MATCH(D154,식자재단가!$C$4:$C$203,0)),"과세"))</f>
        <v/>
      </c>
      <c r="K154" s="28" t="str">
        <f aca="false">IF(I154="","",IF(J154="과세",ROUND(I154*0.1,0),0))</f>
        <v/>
      </c>
      <c r="L154" s="28" t="str">
        <f aca="false">IF(I154="","",I154+K154)</f>
        <v/>
      </c>
      <c r="M154" s="10"/>
      <c r="N154" s="80"/>
      <c r="O154" s="80"/>
      <c r="P154" s="59" t="str">
        <f aca="false">IF(E154="","",IFERROR(INDEX(기본설정!$H$4:$H$14,MATCH(E154,기본설정!$G$4:$G$14,0)),""))</f>
        <v/>
      </c>
    </row>
    <row r="155" customFormat="false" ht="15" hidden="false" customHeight="false" outlineLevel="0" collapsed="false">
      <c r="A155" s="73"/>
      <c r="B155" s="10"/>
      <c r="C155" s="80"/>
      <c r="D155" s="80"/>
      <c r="E155" s="81" t="str">
        <f aca="false">IF(D155="","",IFERROR(INDEX(식자재단가!$B$4:$B$203,MATCH(D155,식자재단가!$C$4:$C$203,0)),""))</f>
        <v/>
      </c>
      <c r="F155" s="76"/>
      <c r="G155" s="59" t="str">
        <f aca="false">IF(D155="","",IFERROR(INDEX(식자재단가!$F$4:$F$203,MATCH(D155,식자재단가!$C$4:$C$203,0)),""))</f>
        <v/>
      </c>
      <c r="H155" s="50"/>
      <c r="I155" s="82" t="str">
        <f aca="false">IF(OR(F155="",H155=""),"",F155*H155)</f>
        <v/>
      </c>
      <c r="J155" s="83" t="str">
        <f aca="false">IF(D155="","",IFERROR(INDEX(식자재단가!$M$4:$M$203,MATCH(D155,식자재단가!$C$4:$C$203,0)),"과세"))</f>
        <v/>
      </c>
      <c r="K155" s="28" t="str">
        <f aca="false">IF(I155="","",IF(J155="과세",ROUND(I155*0.1,0),0))</f>
        <v/>
      </c>
      <c r="L155" s="28" t="str">
        <f aca="false">IF(I155="","",I155+K155)</f>
        <v/>
      </c>
      <c r="M155" s="10"/>
      <c r="N155" s="80"/>
      <c r="O155" s="80"/>
      <c r="P155" s="59" t="str">
        <f aca="false">IF(E155="","",IFERROR(INDEX(기본설정!$H$4:$H$14,MATCH(E155,기본설정!$G$4:$G$14,0)),""))</f>
        <v/>
      </c>
    </row>
    <row r="156" customFormat="false" ht="15" hidden="false" customHeight="false" outlineLevel="0" collapsed="false">
      <c r="A156" s="73"/>
      <c r="B156" s="10"/>
      <c r="C156" s="80"/>
      <c r="D156" s="80"/>
      <c r="E156" s="81" t="str">
        <f aca="false">IF(D156="","",IFERROR(INDEX(식자재단가!$B$4:$B$203,MATCH(D156,식자재단가!$C$4:$C$203,0)),""))</f>
        <v/>
      </c>
      <c r="F156" s="76"/>
      <c r="G156" s="59" t="str">
        <f aca="false">IF(D156="","",IFERROR(INDEX(식자재단가!$F$4:$F$203,MATCH(D156,식자재단가!$C$4:$C$203,0)),""))</f>
        <v/>
      </c>
      <c r="H156" s="50"/>
      <c r="I156" s="82" t="str">
        <f aca="false">IF(OR(F156="",H156=""),"",F156*H156)</f>
        <v/>
      </c>
      <c r="J156" s="83" t="str">
        <f aca="false">IF(D156="","",IFERROR(INDEX(식자재단가!$M$4:$M$203,MATCH(D156,식자재단가!$C$4:$C$203,0)),"과세"))</f>
        <v/>
      </c>
      <c r="K156" s="28" t="str">
        <f aca="false">IF(I156="","",IF(J156="과세",ROUND(I156*0.1,0),0))</f>
        <v/>
      </c>
      <c r="L156" s="28" t="str">
        <f aca="false">IF(I156="","",I156+K156)</f>
        <v/>
      </c>
      <c r="M156" s="10"/>
      <c r="N156" s="80"/>
      <c r="O156" s="80"/>
      <c r="P156" s="59" t="str">
        <f aca="false">IF(E156="","",IFERROR(INDEX(기본설정!$H$4:$H$14,MATCH(E156,기본설정!$G$4:$G$14,0)),""))</f>
        <v/>
      </c>
    </row>
    <row r="157" customFormat="false" ht="15" hidden="false" customHeight="false" outlineLevel="0" collapsed="false">
      <c r="A157" s="73"/>
      <c r="B157" s="10"/>
      <c r="C157" s="80"/>
      <c r="D157" s="80"/>
      <c r="E157" s="81" t="str">
        <f aca="false">IF(D157="","",IFERROR(INDEX(식자재단가!$B$4:$B$203,MATCH(D157,식자재단가!$C$4:$C$203,0)),""))</f>
        <v/>
      </c>
      <c r="F157" s="76"/>
      <c r="G157" s="59" t="str">
        <f aca="false">IF(D157="","",IFERROR(INDEX(식자재단가!$F$4:$F$203,MATCH(D157,식자재단가!$C$4:$C$203,0)),""))</f>
        <v/>
      </c>
      <c r="H157" s="50"/>
      <c r="I157" s="82" t="str">
        <f aca="false">IF(OR(F157="",H157=""),"",F157*H157)</f>
        <v/>
      </c>
      <c r="J157" s="83" t="str">
        <f aca="false">IF(D157="","",IFERROR(INDEX(식자재단가!$M$4:$M$203,MATCH(D157,식자재단가!$C$4:$C$203,0)),"과세"))</f>
        <v/>
      </c>
      <c r="K157" s="28" t="str">
        <f aca="false">IF(I157="","",IF(J157="과세",ROUND(I157*0.1,0),0))</f>
        <v/>
      </c>
      <c r="L157" s="28" t="str">
        <f aca="false">IF(I157="","",I157+K157)</f>
        <v/>
      </c>
      <c r="M157" s="10"/>
      <c r="N157" s="80"/>
      <c r="O157" s="80"/>
      <c r="P157" s="59" t="str">
        <f aca="false">IF(E157="","",IFERROR(INDEX(기본설정!$H$4:$H$14,MATCH(E157,기본설정!$G$4:$G$14,0)),""))</f>
        <v/>
      </c>
    </row>
    <row r="158" customFormat="false" ht="15" hidden="false" customHeight="false" outlineLevel="0" collapsed="false">
      <c r="A158" s="73"/>
      <c r="B158" s="10"/>
      <c r="C158" s="80"/>
      <c r="D158" s="80"/>
      <c r="E158" s="81" t="str">
        <f aca="false">IF(D158="","",IFERROR(INDEX(식자재단가!$B$4:$B$203,MATCH(D158,식자재단가!$C$4:$C$203,0)),""))</f>
        <v/>
      </c>
      <c r="F158" s="76"/>
      <c r="G158" s="59" t="str">
        <f aca="false">IF(D158="","",IFERROR(INDEX(식자재단가!$F$4:$F$203,MATCH(D158,식자재단가!$C$4:$C$203,0)),""))</f>
        <v/>
      </c>
      <c r="H158" s="50"/>
      <c r="I158" s="82" t="str">
        <f aca="false">IF(OR(F158="",H158=""),"",F158*H158)</f>
        <v/>
      </c>
      <c r="J158" s="83" t="str">
        <f aca="false">IF(D158="","",IFERROR(INDEX(식자재단가!$M$4:$M$203,MATCH(D158,식자재단가!$C$4:$C$203,0)),"과세"))</f>
        <v/>
      </c>
      <c r="K158" s="28" t="str">
        <f aca="false">IF(I158="","",IF(J158="과세",ROUND(I158*0.1,0),0))</f>
        <v/>
      </c>
      <c r="L158" s="28" t="str">
        <f aca="false">IF(I158="","",I158+K158)</f>
        <v/>
      </c>
      <c r="M158" s="10"/>
      <c r="N158" s="80"/>
      <c r="O158" s="80"/>
      <c r="P158" s="59" t="str">
        <f aca="false">IF(E158="","",IFERROR(INDEX(기본설정!$H$4:$H$14,MATCH(E158,기본설정!$G$4:$G$14,0)),""))</f>
        <v/>
      </c>
    </row>
    <row r="159" customFormat="false" ht="15" hidden="false" customHeight="false" outlineLevel="0" collapsed="false">
      <c r="A159" s="73"/>
      <c r="B159" s="10"/>
      <c r="C159" s="80"/>
      <c r="D159" s="80"/>
      <c r="E159" s="81" t="str">
        <f aca="false">IF(D159="","",IFERROR(INDEX(식자재단가!$B$4:$B$203,MATCH(D159,식자재단가!$C$4:$C$203,0)),""))</f>
        <v/>
      </c>
      <c r="F159" s="76"/>
      <c r="G159" s="59" t="str">
        <f aca="false">IF(D159="","",IFERROR(INDEX(식자재단가!$F$4:$F$203,MATCH(D159,식자재단가!$C$4:$C$203,0)),""))</f>
        <v/>
      </c>
      <c r="H159" s="50"/>
      <c r="I159" s="82" t="str">
        <f aca="false">IF(OR(F159="",H159=""),"",F159*H159)</f>
        <v/>
      </c>
      <c r="J159" s="83" t="str">
        <f aca="false">IF(D159="","",IFERROR(INDEX(식자재단가!$M$4:$M$203,MATCH(D159,식자재단가!$C$4:$C$203,0)),"과세"))</f>
        <v/>
      </c>
      <c r="K159" s="28" t="str">
        <f aca="false">IF(I159="","",IF(J159="과세",ROUND(I159*0.1,0),0))</f>
        <v/>
      </c>
      <c r="L159" s="28" t="str">
        <f aca="false">IF(I159="","",I159+K159)</f>
        <v/>
      </c>
      <c r="M159" s="10"/>
      <c r="N159" s="80"/>
      <c r="O159" s="80"/>
      <c r="P159" s="59" t="str">
        <f aca="false">IF(E159="","",IFERROR(INDEX(기본설정!$H$4:$H$14,MATCH(E159,기본설정!$G$4:$G$14,0)),""))</f>
        <v/>
      </c>
    </row>
    <row r="160" customFormat="false" ht="15" hidden="false" customHeight="false" outlineLevel="0" collapsed="false">
      <c r="A160" s="73"/>
      <c r="B160" s="10"/>
      <c r="C160" s="80"/>
      <c r="D160" s="80"/>
      <c r="E160" s="81" t="str">
        <f aca="false">IF(D160="","",IFERROR(INDEX(식자재단가!$B$4:$B$203,MATCH(D160,식자재단가!$C$4:$C$203,0)),""))</f>
        <v/>
      </c>
      <c r="F160" s="76"/>
      <c r="G160" s="59" t="str">
        <f aca="false">IF(D160="","",IFERROR(INDEX(식자재단가!$F$4:$F$203,MATCH(D160,식자재단가!$C$4:$C$203,0)),""))</f>
        <v/>
      </c>
      <c r="H160" s="50"/>
      <c r="I160" s="82" t="str">
        <f aca="false">IF(OR(F160="",H160=""),"",F160*H160)</f>
        <v/>
      </c>
      <c r="J160" s="83" t="str">
        <f aca="false">IF(D160="","",IFERROR(INDEX(식자재단가!$M$4:$M$203,MATCH(D160,식자재단가!$C$4:$C$203,0)),"과세"))</f>
        <v/>
      </c>
      <c r="K160" s="28" t="str">
        <f aca="false">IF(I160="","",IF(J160="과세",ROUND(I160*0.1,0),0))</f>
        <v/>
      </c>
      <c r="L160" s="28" t="str">
        <f aca="false">IF(I160="","",I160+K160)</f>
        <v/>
      </c>
      <c r="M160" s="10"/>
      <c r="N160" s="80"/>
      <c r="O160" s="80"/>
      <c r="P160" s="59" t="str">
        <f aca="false">IF(E160="","",IFERROR(INDEX(기본설정!$H$4:$H$14,MATCH(E160,기본설정!$G$4:$G$14,0)),""))</f>
        <v/>
      </c>
    </row>
    <row r="161" customFormat="false" ht="15" hidden="false" customHeight="false" outlineLevel="0" collapsed="false">
      <c r="A161" s="73"/>
      <c r="B161" s="10"/>
      <c r="C161" s="80"/>
      <c r="D161" s="80"/>
      <c r="E161" s="81" t="str">
        <f aca="false">IF(D161="","",IFERROR(INDEX(식자재단가!$B$4:$B$203,MATCH(D161,식자재단가!$C$4:$C$203,0)),""))</f>
        <v/>
      </c>
      <c r="F161" s="76"/>
      <c r="G161" s="59" t="str">
        <f aca="false">IF(D161="","",IFERROR(INDEX(식자재단가!$F$4:$F$203,MATCH(D161,식자재단가!$C$4:$C$203,0)),""))</f>
        <v/>
      </c>
      <c r="H161" s="50"/>
      <c r="I161" s="82" t="str">
        <f aca="false">IF(OR(F161="",H161=""),"",F161*H161)</f>
        <v/>
      </c>
      <c r="J161" s="83" t="str">
        <f aca="false">IF(D161="","",IFERROR(INDEX(식자재단가!$M$4:$M$203,MATCH(D161,식자재단가!$C$4:$C$203,0)),"과세"))</f>
        <v/>
      </c>
      <c r="K161" s="28" t="str">
        <f aca="false">IF(I161="","",IF(J161="과세",ROUND(I161*0.1,0),0))</f>
        <v/>
      </c>
      <c r="L161" s="28" t="str">
        <f aca="false">IF(I161="","",I161+K161)</f>
        <v/>
      </c>
      <c r="M161" s="10"/>
      <c r="N161" s="80"/>
      <c r="O161" s="80"/>
      <c r="P161" s="59" t="str">
        <f aca="false">IF(E161="","",IFERROR(INDEX(기본설정!$H$4:$H$14,MATCH(E161,기본설정!$G$4:$G$14,0)),""))</f>
        <v/>
      </c>
    </row>
    <row r="162" customFormat="false" ht="15" hidden="false" customHeight="false" outlineLevel="0" collapsed="false">
      <c r="A162" s="73"/>
      <c r="B162" s="10"/>
      <c r="C162" s="80"/>
      <c r="D162" s="80"/>
      <c r="E162" s="81" t="str">
        <f aca="false">IF(D162="","",IFERROR(INDEX(식자재단가!$B$4:$B$203,MATCH(D162,식자재단가!$C$4:$C$203,0)),""))</f>
        <v/>
      </c>
      <c r="F162" s="76"/>
      <c r="G162" s="59" t="str">
        <f aca="false">IF(D162="","",IFERROR(INDEX(식자재단가!$F$4:$F$203,MATCH(D162,식자재단가!$C$4:$C$203,0)),""))</f>
        <v/>
      </c>
      <c r="H162" s="50"/>
      <c r="I162" s="82" t="str">
        <f aca="false">IF(OR(F162="",H162=""),"",F162*H162)</f>
        <v/>
      </c>
      <c r="J162" s="83" t="str">
        <f aca="false">IF(D162="","",IFERROR(INDEX(식자재단가!$M$4:$M$203,MATCH(D162,식자재단가!$C$4:$C$203,0)),"과세"))</f>
        <v/>
      </c>
      <c r="K162" s="28" t="str">
        <f aca="false">IF(I162="","",IF(J162="과세",ROUND(I162*0.1,0),0))</f>
        <v/>
      </c>
      <c r="L162" s="28" t="str">
        <f aca="false">IF(I162="","",I162+K162)</f>
        <v/>
      </c>
      <c r="M162" s="10"/>
      <c r="N162" s="80"/>
      <c r="O162" s="80"/>
      <c r="P162" s="59" t="str">
        <f aca="false">IF(E162="","",IFERROR(INDEX(기본설정!$H$4:$H$14,MATCH(E162,기본설정!$G$4:$G$14,0)),""))</f>
        <v/>
      </c>
    </row>
    <row r="163" customFormat="false" ht="15" hidden="false" customHeight="false" outlineLevel="0" collapsed="false">
      <c r="A163" s="73"/>
      <c r="B163" s="10"/>
      <c r="C163" s="80"/>
      <c r="D163" s="80"/>
      <c r="E163" s="81" t="str">
        <f aca="false">IF(D163="","",IFERROR(INDEX(식자재단가!$B$4:$B$203,MATCH(D163,식자재단가!$C$4:$C$203,0)),""))</f>
        <v/>
      </c>
      <c r="F163" s="76"/>
      <c r="G163" s="59" t="str">
        <f aca="false">IF(D163="","",IFERROR(INDEX(식자재단가!$F$4:$F$203,MATCH(D163,식자재단가!$C$4:$C$203,0)),""))</f>
        <v/>
      </c>
      <c r="H163" s="50"/>
      <c r="I163" s="82" t="str">
        <f aca="false">IF(OR(F163="",H163=""),"",F163*H163)</f>
        <v/>
      </c>
      <c r="J163" s="83" t="str">
        <f aca="false">IF(D163="","",IFERROR(INDEX(식자재단가!$M$4:$M$203,MATCH(D163,식자재단가!$C$4:$C$203,0)),"과세"))</f>
        <v/>
      </c>
      <c r="K163" s="28" t="str">
        <f aca="false">IF(I163="","",IF(J163="과세",ROUND(I163*0.1,0),0))</f>
        <v/>
      </c>
      <c r="L163" s="28" t="str">
        <f aca="false">IF(I163="","",I163+K163)</f>
        <v/>
      </c>
      <c r="M163" s="10"/>
      <c r="N163" s="80"/>
      <c r="O163" s="80"/>
      <c r="P163" s="59" t="str">
        <f aca="false">IF(E163="","",IFERROR(INDEX(기본설정!$H$4:$H$14,MATCH(E163,기본설정!$G$4:$G$14,0)),""))</f>
        <v/>
      </c>
    </row>
    <row r="164" customFormat="false" ht="15" hidden="false" customHeight="false" outlineLevel="0" collapsed="false">
      <c r="A164" s="73"/>
      <c r="B164" s="10"/>
      <c r="C164" s="80"/>
      <c r="D164" s="80"/>
      <c r="E164" s="81" t="str">
        <f aca="false">IF(D164="","",IFERROR(INDEX(식자재단가!$B$4:$B$203,MATCH(D164,식자재단가!$C$4:$C$203,0)),""))</f>
        <v/>
      </c>
      <c r="F164" s="76"/>
      <c r="G164" s="59" t="str">
        <f aca="false">IF(D164="","",IFERROR(INDEX(식자재단가!$F$4:$F$203,MATCH(D164,식자재단가!$C$4:$C$203,0)),""))</f>
        <v/>
      </c>
      <c r="H164" s="50"/>
      <c r="I164" s="82" t="str">
        <f aca="false">IF(OR(F164="",H164=""),"",F164*H164)</f>
        <v/>
      </c>
      <c r="J164" s="83" t="str">
        <f aca="false">IF(D164="","",IFERROR(INDEX(식자재단가!$M$4:$M$203,MATCH(D164,식자재단가!$C$4:$C$203,0)),"과세"))</f>
        <v/>
      </c>
      <c r="K164" s="28" t="str">
        <f aca="false">IF(I164="","",IF(J164="과세",ROUND(I164*0.1,0),0))</f>
        <v/>
      </c>
      <c r="L164" s="28" t="str">
        <f aca="false">IF(I164="","",I164+K164)</f>
        <v/>
      </c>
      <c r="M164" s="10"/>
      <c r="N164" s="80"/>
      <c r="O164" s="80"/>
      <c r="P164" s="59" t="str">
        <f aca="false">IF(E164="","",IFERROR(INDEX(기본설정!$H$4:$H$14,MATCH(E164,기본설정!$G$4:$G$14,0)),""))</f>
        <v/>
      </c>
    </row>
    <row r="165" customFormat="false" ht="15" hidden="false" customHeight="false" outlineLevel="0" collapsed="false">
      <c r="A165" s="73"/>
      <c r="B165" s="10"/>
      <c r="C165" s="80"/>
      <c r="D165" s="80"/>
      <c r="E165" s="81" t="str">
        <f aca="false">IF(D165="","",IFERROR(INDEX(식자재단가!$B$4:$B$203,MATCH(D165,식자재단가!$C$4:$C$203,0)),""))</f>
        <v/>
      </c>
      <c r="F165" s="76"/>
      <c r="G165" s="59" t="str">
        <f aca="false">IF(D165="","",IFERROR(INDEX(식자재단가!$F$4:$F$203,MATCH(D165,식자재단가!$C$4:$C$203,0)),""))</f>
        <v/>
      </c>
      <c r="H165" s="50"/>
      <c r="I165" s="82" t="str">
        <f aca="false">IF(OR(F165="",H165=""),"",F165*H165)</f>
        <v/>
      </c>
      <c r="J165" s="83" t="str">
        <f aca="false">IF(D165="","",IFERROR(INDEX(식자재단가!$M$4:$M$203,MATCH(D165,식자재단가!$C$4:$C$203,0)),"과세"))</f>
        <v/>
      </c>
      <c r="K165" s="28" t="str">
        <f aca="false">IF(I165="","",IF(J165="과세",ROUND(I165*0.1,0),0))</f>
        <v/>
      </c>
      <c r="L165" s="28" t="str">
        <f aca="false">IF(I165="","",I165+K165)</f>
        <v/>
      </c>
      <c r="M165" s="10"/>
      <c r="N165" s="80"/>
      <c r="O165" s="80"/>
      <c r="P165" s="59" t="str">
        <f aca="false">IF(E165="","",IFERROR(INDEX(기본설정!$H$4:$H$14,MATCH(E165,기본설정!$G$4:$G$14,0)),""))</f>
        <v/>
      </c>
    </row>
    <row r="166" customFormat="false" ht="15" hidden="false" customHeight="false" outlineLevel="0" collapsed="false">
      <c r="A166" s="73"/>
      <c r="B166" s="10"/>
      <c r="C166" s="80"/>
      <c r="D166" s="80"/>
      <c r="E166" s="81" t="str">
        <f aca="false">IF(D166="","",IFERROR(INDEX(식자재단가!$B$4:$B$203,MATCH(D166,식자재단가!$C$4:$C$203,0)),""))</f>
        <v/>
      </c>
      <c r="F166" s="76"/>
      <c r="G166" s="59" t="str">
        <f aca="false">IF(D166="","",IFERROR(INDEX(식자재단가!$F$4:$F$203,MATCH(D166,식자재단가!$C$4:$C$203,0)),""))</f>
        <v/>
      </c>
      <c r="H166" s="50"/>
      <c r="I166" s="82" t="str">
        <f aca="false">IF(OR(F166="",H166=""),"",F166*H166)</f>
        <v/>
      </c>
      <c r="J166" s="83" t="str">
        <f aca="false">IF(D166="","",IFERROR(INDEX(식자재단가!$M$4:$M$203,MATCH(D166,식자재단가!$C$4:$C$203,0)),"과세"))</f>
        <v/>
      </c>
      <c r="K166" s="28" t="str">
        <f aca="false">IF(I166="","",IF(J166="과세",ROUND(I166*0.1,0),0))</f>
        <v/>
      </c>
      <c r="L166" s="28" t="str">
        <f aca="false">IF(I166="","",I166+K166)</f>
        <v/>
      </c>
      <c r="M166" s="10"/>
      <c r="N166" s="80"/>
      <c r="O166" s="80"/>
      <c r="P166" s="59" t="str">
        <f aca="false">IF(E166="","",IFERROR(INDEX(기본설정!$H$4:$H$14,MATCH(E166,기본설정!$G$4:$G$14,0)),""))</f>
        <v/>
      </c>
    </row>
    <row r="167" customFormat="false" ht="15" hidden="false" customHeight="false" outlineLevel="0" collapsed="false">
      <c r="A167" s="73"/>
      <c r="B167" s="10"/>
      <c r="C167" s="80"/>
      <c r="D167" s="80"/>
      <c r="E167" s="81" t="str">
        <f aca="false">IF(D167="","",IFERROR(INDEX(식자재단가!$B$4:$B$203,MATCH(D167,식자재단가!$C$4:$C$203,0)),""))</f>
        <v/>
      </c>
      <c r="F167" s="76"/>
      <c r="G167" s="59" t="str">
        <f aca="false">IF(D167="","",IFERROR(INDEX(식자재단가!$F$4:$F$203,MATCH(D167,식자재단가!$C$4:$C$203,0)),""))</f>
        <v/>
      </c>
      <c r="H167" s="50"/>
      <c r="I167" s="82" t="str">
        <f aca="false">IF(OR(F167="",H167=""),"",F167*H167)</f>
        <v/>
      </c>
      <c r="J167" s="83" t="str">
        <f aca="false">IF(D167="","",IFERROR(INDEX(식자재단가!$M$4:$M$203,MATCH(D167,식자재단가!$C$4:$C$203,0)),"과세"))</f>
        <v/>
      </c>
      <c r="K167" s="28" t="str">
        <f aca="false">IF(I167="","",IF(J167="과세",ROUND(I167*0.1,0),0))</f>
        <v/>
      </c>
      <c r="L167" s="28" t="str">
        <f aca="false">IF(I167="","",I167+K167)</f>
        <v/>
      </c>
      <c r="M167" s="10"/>
      <c r="N167" s="80"/>
      <c r="O167" s="80"/>
      <c r="P167" s="59" t="str">
        <f aca="false">IF(E167="","",IFERROR(INDEX(기본설정!$H$4:$H$14,MATCH(E167,기본설정!$G$4:$G$14,0)),""))</f>
        <v/>
      </c>
    </row>
    <row r="168" customFormat="false" ht="15" hidden="false" customHeight="false" outlineLevel="0" collapsed="false">
      <c r="A168" s="73"/>
      <c r="B168" s="10"/>
      <c r="C168" s="80"/>
      <c r="D168" s="80"/>
      <c r="E168" s="81" t="str">
        <f aca="false">IF(D168="","",IFERROR(INDEX(식자재단가!$B$4:$B$203,MATCH(D168,식자재단가!$C$4:$C$203,0)),""))</f>
        <v/>
      </c>
      <c r="F168" s="76"/>
      <c r="G168" s="59" t="str">
        <f aca="false">IF(D168="","",IFERROR(INDEX(식자재단가!$F$4:$F$203,MATCH(D168,식자재단가!$C$4:$C$203,0)),""))</f>
        <v/>
      </c>
      <c r="H168" s="50"/>
      <c r="I168" s="82" t="str">
        <f aca="false">IF(OR(F168="",H168=""),"",F168*H168)</f>
        <v/>
      </c>
      <c r="J168" s="83" t="str">
        <f aca="false">IF(D168="","",IFERROR(INDEX(식자재단가!$M$4:$M$203,MATCH(D168,식자재단가!$C$4:$C$203,0)),"과세"))</f>
        <v/>
      </c>
      <c r="K168" s="28" t="str">
        <f aca="false">IF(I168="","",IF(J168="과세",ROUND(I168*0.1,0),0))</f>
        <v/>
      </c>
      <c r="L168" s="28" t="str">
        <f aca="false">IF(I168="","",I168+K168)</f>
        <v/>
      </c>
      <c r="M168" s="10"/>
      <c r="N168" s="80"/>
      <c r="O168" s="80"/>
      <c r="P168" s="59" t="str">
        <f aca="false">IF(E168="","",IFERROR(INDEX(기본설정!$H$4:$H$14,MATCH(E168,기본설정!$G$4:$G$14,0)),""))</f>
        <v/>
      </c>
    </row>
    <row r="169" customFormat="false" ht="15" hidden="false" customHeight="false" outlineLevel="0" collapsed="false">
      <c r="A169" s="73"/>
      <c r="B169" s="10"/>
      <c r="C169" s="80"/>
      <c r="D169" s="80"/>
      <c r="E169" s="81" t="str">
        <f aca="false">IF(D169="","",IFERROR(INDEX(식자재단가!$B$4:$B$203,MATCH(D169,식자재단가!$C$4:$C$203,0)),""))</f>
        <v/>
      </c>
      <c r="F169" s="76"/>
      <c r="G169" s="59" t="str">
        <f aca="false">IF(D169="","",IFERROR(INDEX(식자재단가!$F$4:$F$203,MATCH(D169,식자재단가!$C$4:$C$203,0)),""))</f>
        <v/>
      </c>
      <c r="H169" s="50"/>
      <c r="I169" s="82" t="str">
        <f aca="false">IF(OR(F169="",H169=""),"",F169*H169)</f>
        <v/>
      </c>
      <c r="J169" s="83" t="str">
        <f aca="false">IF(D169="","",IFERROR(INDEX(식자재단가!$M$4:$M$203,MATCH(D169,식자재단가!$C$4:$C$203,0)),"과세"))</f>
        <v/>
      </c>
      <c r="K169" s="28" t="str">
        <f aca="false">IF(I169="","",IF(J169="과세",ROUND(I169*0.1,0),0))</f>
        <v/>
      </c>
      <c r="L169" s="28" t="str">
        <f aca="false">IF(I169="","",I169+K169)</f>
        <v/>
      </c>
      <c r="M169" s="10"/>
      <c r="N169" s="80"/>
      <c r="O169" s="80"/>
      <c r="P169" s="59" t="str">
        <f aca="false">IF(E169="","",IFERROR(INDEX(기본설정!$H$4:$H$14,MATCH(E169,기본설정!$G$4:$G$14,0)),""))</f>
        <v/>
      </c>
    </row>
    <row r="170" customFormat="false" ht="15" hidden="false" customHeight="false" outlineLevel="0" collapsed="false">
      <c r="A170" s="73"/>
      <c r="B170" s="10"/>
      <c r="C170" s="80"/>
      <c r="D170" s="80"/>
      <c r="E170" s="81" t="str">
        <f aca="false">IF(D170="","",IFERROR(INDEX(식자재단가!$B$4:$B$203,MATCH(D170,식자재단가!$C$4:$C$203,0)),""))</f>
        <v/>
      </c>
      <c r="F170" s="76"/>
      <c r="G170" s="59" t="str">
        <f aca="false">IF(D170="","",IFERROR(INDEX(식자재단가!$F$4:$F$203,MATCH(D170,식자재단가!$C$4:$C$203,0)),""))</f>
        <v/>
      </c>
      <c r="H170" s="50"/>
      <c r="I170" s="82" t="str">
        <f aca="false">IF(OR(F170="",H170=""),"",F170*H170)</f>
        <v/>
      </c>
      <c r="J170" s="83" t="str">
        <f aca="false">IF(D170="","",IFERROR(INDEX(식자재단가!$M$4:$M$203,MATCH(D170,식자재단가!$C$4:$C$203,0)),"과세"))</f>
        <v/>
      </c>
      <c r="K170" s="28" t="str">
        <f aca="false">IF(I170="","",IF(J170="과세",ROUND(I170*0.1,0),0))</f>
        <v/>
      </c>
      <c r="L170" s="28" t="str">
        <f aca="false">IF(I170="","",I170+K170)</f>
        <v/>
      </c>
      <c r="M170" s="10"/>
      <c r="N170" s="80"/>
      <c r="O170" s="80"/>
      <c r="P170" s="59" t="str">
        <f aca="false">IF(E170="","",IFERROR(INDEX(기본설정!$H$4:$H$14,MATCH(E170,기본설정!$G$4:$G$14,0)),""))</f>
        <v/>
      </c>
    </row>
    <row r="171" customFormat="false" ht="15" hidden="false" customHeight="false" outlineLevel="0" collapsed="false">
      <c r="A171" s="73"/>
      <c r="B171" s="10"/>
      <c r="C171" s="80"/>
      <c r="D171" s="80"/>
      <c r="E171" s="81" t="str">
        <f aca="false">IF(D171="","",IFERROR(INDEX(식자재단가!$B$4:$B$203,MATCH(D171,식자재단가!$C$4:$C$203,0)),""))</f>
        <v/>
      </c>
      <c r="F171" s="76"/>
      <c r="G171" s="59" t="str">
        <f aca="false">IF(D171="","",IFERROR(INDEX(식자재단가!$F$4:$F$203,MATCH(D171,식자재단가!$C$4:$C$203,0)),""))</f>
        <v/>
      </c>
      <c r="H171" s="50"/>
      <c r="I171" s="82" t="str">
        <f aca="false">IF(OR(F171="",H171=""),"",F171*H171)</f>
        <v/>
      </c>
      <c r="J171" s="83" t="str">
        <f aca="false">IF(D171="","",IFERROR(INDEX(식자재단가!$M$4:$M$203,MATCH(D171,식자재단가!$C$4:$C$203,0)),"과세"))</f>
        <v/>
      </c>
      <c r="K171" s="28" t="str">
        <f aca="false">IF(I171="","",IF(J171="과세",ROUND(I171*0.1,0),0))</f>
        <v/>
      </c>
      <c r="L171" s="28" t="str">
        <f aca="false">IF(I171="","",I171+K171)</f>
        <v/>
      </c>
      <c r="M171" s="10"/>
      <c r="N171" s="80"/>
      <c r="O171" s="80"/>
      <c r="P171" s="59" t="str">
        <f aca="false">IF(E171="","",IFERROR(INDEX(기본설정!$H$4:$H$14,MATCH(E171,기본설정!$G$4:$G$14,0)),""))</f>
        <v/>
      </c>
    </row>
    <row r="172" customFormat="false" ht="15" hidden="false" customHeight="false" outlineLevel="0" collapsed="false">
      <c r="A172" s="73"/>
      <c r="B172" s="10"/>
      <c r="C172" s="80"/>
      <c r="D172" s="80"/>
      <c r="E172" s="81" t="str">
        <f aca="false">IF(D172="","",IFERROR(INDEX(식자재단가!$B$4:$B$203,MATCH(D172,식자재단가!$C$4:$C$203,0)),""))</f>
        <v/>
      </c>
      <c r="F172" s="76"/>
      <c r="G172" s="59" t="str">
        <f aca="false">IF(D172="","",IFERROR(INDEX(식자재단가!$F$4:$F$203,MATCH(D172,식자재단가!$C$4:$C$203,0)),""))</f>
        <v/>
      </c>
      <c r="H172" s="50"/>
      <c r="I172" s="82" t="str">
        <f aca="false">IF(OR(F172="",H172=""),"",F172*H172)</f>
        <v/>
      </c>
      <c r="J172" s="83" t="str">
        <f aca="false">IF(D172="","",IFERROR(INDEX(식자재단가!$M$4:$M$203,MATCH(D172,식자재단가!$C$4:$C$203,0)),"과세"))</f>
        <v/>
      </c>
      <c r="K172" s="28" t="str">
        <f aca="false">IF(I172="","",IF(J172="과세",ROUND(I172*0.1,0),0))</f>
        <v/>
      </c>
      <c r="L172" s="28" t="str">
        <f aca="false">IF(I172="","",I172+K172)</f>
        <v/>
      </c>
      <c r="M172" s="10"/>
      <c r="N172" s="80"/>
      <c r="O172" s="80"/>
      <c r="P172" s="59" t="str">
        <f aca="false">IF(E172="","",IFERROR(INDEX(기본설정!$H$4:$H$14,MATCH(E172,기본설정!$G$4:$G$14,0)),""))</f>
        <v/>
      </c>
    </row>
    <row r="173" customFormat="false" ht="15" hidden="false" customHeight="false" outlineLevel="0" collapsed="false">
      <c r="A173" s="73"/>
      <c r="B173" s="10"/>
      <c r="C173" s="80"/>
      <c r="D173" s="80"/>
      <c r="E173" s="81" t="str">
        <f aca="false">IF(D173="","",IFERROR(INDEX(식자재단가!$B$4:$B$203,MATCH(D173,식자재단가!$C$4:$C$203,0)),""))</f>
        <v/>
      </c>
      <c r="F173" s="76"/>
      <c r="G173" s="59" t="str">
        <f aca="false">IF(D173="","",IFERROR(INDEX(식자재단가!$F$4:$F$203,MATCH(D173,식자재단가!$C$4:$C$203,0)),""))</f>
        <v/>
      </c>
      <c r="H173" s="50"/>
      <c r="I173" s="82" t="str">
        <f aca="false">IF(OR(F173="",H173=""),"",F173*H173)</f>
        <v/>
      </c>
      <c r="J173" s="83" t="str">
        <f aca="false">IF(D173="","",IFERROR(INDEX(식자재단가!$M$4:$M$203,MATCH(D173,식자재단가!$C$4:$C$203,0)),"과세"))</f>
        <v/>
      </c>
      <c r="K173" s="28" t="str">
        <f aca="false">IF(I173="","",IF(J173="과세",ROUND(I173*0.1,0),0))</f>
        <v/>
      </c>
      <c r="L173" s="28" t="str">
        <f aca="false">IF(I173="","",I173+K173)</f>
        <v/>
      </c>
      <c r="M173" s="10"/>
      <c r="N173" s="80"/>
      <c r="O173" s="80"/>
      <c r="P173" s="59" t="str">
        <f aca="false">IF(E173="","",IFERROR(INDEX(기본설정!$H$4:$H$14,MATCH(E173,기본설정!$G$4:$G$14,0)),""))</f>
        <v/>
      </c>
    </row>
    <row r="174" customFormat="false" ht="15" hidden="false" customHeight="false" outlineLevel="0" collapsed="false">
      <c r="A174" s="73"/>
      <c r="B174" s="10"/>
      <c r="C174" s="80"/>
      <c r="D174" s="80"/>
      <c r="E174" s="81" t="str">
        <f aca="false">IF(D174="","",IFERROR(INDEX(식자재단가!$B$4:$B$203,MATCH(D174,식자재단가!$C$4:$C$203,0)),""))</f>
        <v/>
      </c>
      <c r="F174" s="76"/>
      <c r="G174" s="59" t="str">
        <f aca="false">IF(D174="","",IFERROR(INDEX(식자재단가!$F$4:$F$203,MATCH(D174,식자재단가!$C$4:$C$203,0)),""))</f>
        <v/>
      </c>
      <c r="H174" s="50"/>
      <c r="I174" s="82" t="str">
        <f aca="false">IF(OR(F174="",H174=""),"",F174*H174)</f>
        <v/>
      </c>
      <c r="J174" s="83" t="str">
        <f aca="false">IF(D174="","",IFERROR(INDEX(식자재단가!$M$4:$M$203,MATCH(D174,식자재단가!$C$4:$C$203,0)),"과세"))</f>
        <v/>
      </c>
      <c r="K174" s="28" t="str">
        <f aca="false">IF(I174="","",IF(J174="과세",ROUND(I174*0.1,0),0))</f>
        <v/>
      </c>
      <c r="L174" s="28" t="str">
        <f aca="false">IF(I174="","",I174+K174)</f>
        <v/>
      </c>
      <c r="M174" s="10"/>
      <c r="N174" s="80"/>
      <c r="O174" s="80"/>
      <c r="P174" s="59" t="str">
        <f aca="false">IF(E174="","",IFERROR(INDEX(기본설정!$H$4:$H$14,MATCH(E174,기본설정!$G$4:$G$14,0)),""))</f>
        <v/>
      </c>
    </row>
    <row r="175" customFormat="false" ht="15" hidden="false" customHeight="false" outlineLevel="0" collapsed="false">
      <c r="A175" s="73"/>
      <c r="B175" s="10"/>
      <c r="C175" s="80"/>
      <c r="D175" s="80"/>
      <c r="E175" s="81" t="str">
        <f aca="false">IF(D175="","",IFERROR(INDEX(식자재단가!$B$4:$B$203,MATCH(D175,식자재단가!$C$4:$C$203,0)),""))</f>
        <v/>
      </c>
      <c r="F175" s="76"/>
      <c r="G175" s="59" t="str">
        <f aca="false">IF(D175="","",IFERROR(INDEX(식자재단가!$F$4:$F$203,MATCH(D175,식자재단가!$C$4:$C$203,0)),""))</f>
        <v/>
      </c>
      <c r="H175" s="50"/>
      <c r="I175" s="82" t="str">
        <f aca="false">IF(OR(F175="",H175=""),"",F175*H175)</f>
        <v/>
      </c>
      <c r="J175" s="83" t="str">
        <f aca="false">IF(D175="","",IFERROR(INDEX(식자재단가!$M$4:$M$203,MATCH(D175,식자재단가!$C$4:$C$203,0)),"과세"))</f>
        <v/>
      </c>
      <c r="K175" s="28" t="str">
        <f aca="false">IF(I175="","",IF(J175="과세",ROUND(I175*0.1,0),0))</f>
        <v/>
      </c>
      <c r="L175" s="28" t="str">
        <f aca="false">IF(I175="","",I175+K175)</f>
        <v/>
      </c>
      <c r="M175" s="10"/>
      <c r="N175" s="80"/>
      <c r="O175" s="80"/>
      <c r="P175" s="59" t="str">
        <f aca="false">IF(E175="","",IFERROR(INDEX(기본설정!$H$4:$H$14,MATCH(E175,기본설정!$G$4:$G$14,0)),""))</f>
        <v/>
      </c>
    </row>
    <row r="176" customFormat="false" ht="15" hidden="false" customHeight="false" outlineLevel="0" collapsed="false">
      <c r="A176" s="73"/>
      <c r="B176" s="10"/>
      <c r="C176" s="80"/>
      <c r="D176" s="80"/>
      <c r="E176" s="81" t="str">
        <f aca="false">IF(D176="","",IFERROR(INDEX(식자재단가!$B$4:$B$203,MATCH(D176,식자재단가!$C$4:$C$203,0)),""))</f>
        <v/>
      </c>
      <c r="F176" s="76"/>
      <c r="G176" s="59" t="str">
        <f aca="false">IF(D176="","",IFERROR(INDEX(식자재단가!$F$4:$F$203,MATCH(D176,식자재단가!$C$4:$C$203,0)),""))</f>
        <v/>
      </c>
      <c r="H176" s="50"/>
      <c r="I176" s="82" t="str">
        <f aca="false">IF(OR(F176="",H176=""),"",F176*H176)</f>
        <v/>
      </c>
      <c r="J176" s="83" t="str">
        <f aca="false">IF(D176="","",IFERROR(INDEX(식자재단가!$M$4:$M$203,MATCH(D176,식자재단가!$C$4:$C$203,0)),"과세"))</f>
        <v/>
      </c>
      <c r="K176" s="28" t="str">
        <f aca="false">IF(I176="","",IF(J176="과세",ROUND(I176*0.1,0),0))</f>
        <v/>
      </c>
      <c r="L176" s="28" t="str">
        <f aca="false">IF(I176="","",I176+K176)</f>
        <v/>
      </c>
      <c r="M176" s="10"/>
      <c r="N176" s="80"/>
      <c r="O176" s="80"/>
      <c r="P176" s="59" t="str">
        <f aca="false">IF(E176="","",IFERROR(INDEX(기본설정!$H$4:$H$14,MATCH(E176,기본설정!$G$4:$G$14,0)),""))</f>
        <v/>
      </c>
    </row>
    <row r="177" customFormat="false" ht="15" hidden="false" customHeight="false" outlineLevel="0" collapsed="false">
      <c r="A177" s="73"/>
      <c r="B177" s="10"/>
      <c r="C177" s="80"/>
      <c r="D177" s="80"/>
      <c r="E177" s="81" t="str">
        <f aca="false">IF(D177="","",IFERROR(INDEX(식자재단가!$B$4:$B$203,MATCH(D177,식자재단가!$C$4:$C$203,0)),""))</f>
        <v/>
      </c>
      <c r="F177" s="76"/>
      <c r="G177" s="59" t="str">
        <f aca="false">IF(D177="","",IFERROR(INDEX(식자재단가!$F$4:$F$203,MATCH(D177,식자재단가!$C$4:$C$203,0)),""))</f>
        <v/>
      </c>
      <c r="H177" s="50"/>
      <c r="I177" s="82" t="str">
        <f aca="false">IF(OR(F177="",H177=""),"",F177*H177)</f>
        <v/>
      </c>
      <c r="J177" s="83" t="str">
        <f aca="false">IF(D177="","",IFERROR(INDEX(식자재단가!$M$4:$M$203,MATCH(D177,식자재단가!$C$4:$C$203,0)),"과세"))</f>
        <v/>
      </c>
      <c r="K177" s="28" t="str">
        <f aca="false">IF(I177="","",IF(J177="과세",ROUND(I177*0.1,0),0))</f>
        <v/>
      </c>
      <c r="L177" s="28" t="str">
        <f aca="false">IF(I177="","",I177+K177)</f>
        <v/>
      </c>
      <c r="M177" s="10"/>
      <c r="N177" s="80"/>
      <c r="O177" s="80"/>
      <c r="P177" s="59" t="str">
        <f aca="false">IF(E177="","",IFERROR(INDEX(기본설정!$H$4:$H$14,MATCH(E177,기본설정!$G$4:$G$14,0)),""))</f>
        <v/>
      </c>
    </row>
    <row r="178" customFormat="false" ht="15" hidden="false" customHeight="false" outlineLevel="0" collapsed="false">
      <c r="A178" s="73"/>
      <c r="B178" s="10"/>
      <c r="C178" s="80"/>
      <c r="D178" s="80"/>
      <c r="E178" s="81" t="str">
        <f aca="false">IF(D178="","",IFERROR(INDEX(식자재단가!$B$4:$B$203,MATCH(D178,식자재단가!$C$4:$C$203,0)),""))</f>
        <v/>
      </c>
      <c r="F178" s="76"/>
      <c r="G178" s="59" t="str">
        <f aca="false">IF(D178="","",IFERROR(INDEX(식자재단가!$F$4:$F$203,MATCH(D178,식자재단가!$C$4:$C$203,0)),""))</f>
        <v/>
      </c>
      <c r="H178" s="50"/>
      <c r="I178" s="82" t="str">
        <f aca="false">IF(OR(F178="",H178=""),"",F178*H178)</f>
        <v/>
      </c>
      <c r="J178" s="83" t="str">
        <f aca="false">IF(D178="","",IFERROR(INDEX(식자재단가!$M$4:$M$203,MATCH(D178,식자재단가!$C$4:$C$203,0)),"과세"))</f>
        <v/>
      </c>
      <c r="K178" s="28" t="str">
        <f aca="false">IF(I178="","",IF(J178="과세",ROUND(I178*0.1,0),0))</f>
        <v/>
      </c>
      <c r="L178" s="28" t="str">
        <f aca="false">IF(I178="","",I178+K178)</f>
        <v/>
      </c>
      <c r="M178" s="10"/>
      <c r="N178" s="80"/>
      <c r="O178" s="80"/>
      <c r="P178" s="59" t="str">
        <f aca="false">IF(E178="","",IFERROR(INDEX(기본설정!$H$4:$H$14,MATCH(E178,기본설정!$G$4:$G$14,0)),""))</f>
        <v/>
      </c>
    </row>
    <row r="179" customFormat="false" ht="15" hidden="false" customHeight="false" outlineLevel="0" collapsed="false">
      <c r="A179" s="73"/>
      <c r="B179" s="10"/>
      <c r="C179" s="80"/>
      <c r="D179" s="80"/>
      <c r="E179" s="81" t="str">
        <f aca="false">IF(D179="","",IFERROR(INDEX(식자재단가!$B$4:$B$203,MATCH(D179,식자재단가!$C$4:$C$203,0)),""))</f>
        <v/>
      </c>
      <c r="F179" s="76"/>
      <c r="G179" s="59" t="str">
        <f aca="false">IF(D179="","",IFERROR(INDEX(식자재단가!$F$4:$F$203,MATCH(D179,식자재단가!$C$4:$C$203,0)),""))</f>
        <v/>
      </c>
      <c r="H179" s="50"/>
      <c r="I179" s="82" t="str">
        <f aca="false">IF(OR(F179="",H179=""),"",F179*H179)</f>
        <v/>
      </c>
      <c r="J179" s="83" t="str">
        <f aca="false">IF(D179="","",IFERROR(INDEX(식자재단가!$M$4:$M$203,MATCH(D179,식자재단가!$C$4:$C$203,0)),"과세"))</f>
        <v/>
      </c>
      <c r="K179" s="28" t="str">
        <f aca="false">IF(I179="","",IF(J179="과세",ROUND(I179*0.1,0),0))</f>
        <v/>
      </c>
      <c r="L179" s="28" t="str">
        <f aca="false">IF(I179="","",I179+K179)</f>
        <v/>
      </c>
      <c r="M179" s="10"/>
      <c r="N179" s="80"/>
      <c r="O179" s="80"/>
      <c r="P179" s="59" t="str">
        <f aca="false">IF(E179="","",IFERROR(INDEX(기본설정!$H$4:$H$14,MATCH(E179,기본설정!$G$4:$G$14,0)),""))</f>
        <v/>
      </c>
    </row>
    <row r="180" customFormat="false" ht="15" hidden="false" customHeight="false" outlineLevel="0" collapsed="false">
      <c r="A180" s="73"/>
      <c r="B180" s="10"/>
      <c r="C180" s="80"/>
      <c r="D180" s="80"/>
      <c r="E180" s="81" t="str">
        <f aca="false">IF(D180="","",IFERROR(INDEX(식자재단가!$B$4:$B$203,MATCH(D180,식자재단가!$C$4:$C$203,0)),""))</f>
        <v/>
      </c>
      <c r="F180" s="76"/>
      <c r="G180" s="59" t="str">
        <f aca="false">IF(D180="","",IFERROR(INDEX(식자재단가!$F$4:$F$203,MATCH(D180,식자재단가!$C$4:$C$203,0)),""))</f>
        <v/>
      </c>
      <c r="H180" s="50"/>
      <c r="I180" s="82" t="str">
        <f aca="false">IF(OR(F180="",H180=""),"",F180*H180)</f>
        <v/>
      </c>
      <c r="J180" s="83" t="str">
        <f aca="false">IF(D180="","",IFERROR(INDEX(식자재단가!$M$4:$M$203,MATCH(D180,식자재단가!$C$4:$C$203,0)),"과세"))</f>
        <v/>
      </c>
      <c r="K180" s="28" t="str">
        <f aca="false">IF(I180="","",IF(J180="과세",ROUND(I180*0.1,0),0))</f>
        <v/>
      </c>
      <c r="L180" s="28" t="str">
        <f aca="false">IF(I180="","",I180+K180)</f>
        <v/>
      </c>
      <c r="M180" s="10"/>
      <c r="N180" s="80"/>
      <c r="O180" s="80"/>
      <c r="P180" s="59" t="str">
        <f aca="false">IF(E180="","",IFERROR(INDEX(기본설정!$H$4:$H$14,MATCH(E180,기본설정!$G$4:$G$14,0)),""))</f>
        <v/>
      </c>
    </row>
    <row r="181" customFormat="false" ht="15" hidden="false" customHeight="false" outlineLevel="0" collapsed="false">
      <c r="A181" s="73"/>
      <c r="B181" s="10"/>
      <c r="C181" s="80"/>
      <c r="D181" s="80"/>
      <c r="E181" s="81" t="str">
        <f aca="false">IF(D181="","",IFERROR(INDEX(식자재단가!$B$4:$B$203,MATCH(D181,식자재단가!$C$4:$C$203,0)),""))</f>
        <v/>
      </c>
      <c r="F181" s="76"/>
      <c r="G181" s="59" t="str">
        <f aca="false">IF(D181="","",IFERROR(INDEX(식자재단가!$F$4:$F$203,MATCH(D181,식자재단가!$C$4:$C$203,0)),""))</f>
        <v/>
      </c>
      <c r="H181" s="50"/>
      <c r="I181" s="82" t="str">
        <f aca="false">IF(OR(F181="",H181=""),"",F181*H181)</f>
        <v/>
      </c>
      <c r="J181" s="83" t="str">
        <f aca="false">IF(D181="","",IFERROR(INDEX(식자재단가!$M$4:$M$203,MATCH(D181,식자재단가!$C$4:$C$203,0)),"과세"))</f>
        <v/>
      </c>
      <c r="K181" s="28" t="str">
        <f aca="false">IF(I181="","",IF(J181="과세",ROUND(I181*0.1,0),0))</f>
        <v/>
      </c>
      <c r="L181" s="28" t="str">
        <f aca="false">IF(I181="","",I181+K181)</f>
        <v/>
      </c>
      <c r="M181" s="10"/>
      <c r="N181" s="80"/>
      <c r="O181" s="80"/>
      <c r="P181" s="59" t="str">
        <f aca="false">IF(E181="","",IFERROR(INDEX(기본설정!$H$4:$H$14,MATCH(E181,기본설정!$G$4:$G$14,0)),""))</f>
        <v/>
      </c>
    </row>
    <row r="182" customFormat="false" ht="15" hidden="false" customHeight="false" outlineLevel="0" collapsed="false">
      <c r="A182" s="73"/>
      <c r="B182" s="10"/>
      <c r="C182" s="80"/>
      <c r="D182" s="80"/>
      <c r="E182" s="81" t="str">
        <f aca="false">IF(D182="","",IFERROR(INDEX(식자재단가!$B$4:$B$203,MATCH(D182,식자재단가!$C$4:$C$203,0)),""))</f>
        <v/>
      </c>
      <c r="F182" s="76"/>
      <c r="G182" s="59" t="str">
        <f aca="false">IF(D182="","",IFERROR(INDEX(식자재단가!$F$4:$F$203,MATCH(D182,식자재단가!$C$4:$C$203,0)),""))</f>
        <v/>
      </c>
      <c r="H182" s="50"/>
      <c r="I182" s="82" t="str">
        <f aca="false">IF(OR(F182="",H182=""),"",F182*H182)</f>
        <v/>
      </c>
      <c r="J182" s="83" t="str">
        <f aca="false">IF(D182="","",IFERROR(INDEX(식자재단가!$M$4:$M$203,MATCH(D182,식자재단가!$C$4:$C$203,0)),"과세"))</f>
        <v/>
      </c>
      <c r="K182" s="28" t="str">
        <f aca="false">IF(I182="","",IF(J182="과세",ROUND(I182*0.1,0),0))</f>
        <v/>
      </c>
      <c r="L182" s="28" t="str">
        <f aca="false">IF(I182="","",I182+K182)</f>
        <v/>
      </c>
      <c r="M182" s="10"/>
      <c r="N182" s="80"/>
      <c r="O182" s="80"/>
      <c r="P182" s="59" t="str">
        <f aca="false">IF(E182="","",IFERROR(INDEX(기본설정!$H$4:$H$14,MATCH(E182,기본설정!$G$4:$G$14,0)),""))</f>
        <v/>
      </c>
    </row>
    <row r="183" customFormat="false" ht="15" hidden="false" customHeight="false" outlineLevel="0" collapsed="false">
      <c r="A183" s="73"/>
      <c r="B183" s="10"/>
      <c r="C183" s="80"/>
      <c r="D183" s="80"/>
      <c r="E183" s="81" t="str">
        <f aca="false">IF(D183="","",IFERROR(INDEX(식자재단가!$B$4:$B$203,MATCH(D183,식자재단가!$C$4:$C$203,0)),""))</f>
        <v/>
      </c>
      <c r="F183" s="76"/>
      <c r="G183" s="59" t="str">
        <f aca="false">IF(D183="","",IFERROR(INDEX(식자재단가!$F$4:$F$203,MATCH(D183,식자재단가!$C$4:$C$203,0)),""))</f>
        <v/>
      </c>
      <c r="H183" s="50"/>
      <c r="I183" s="82" t="str">
        <f aca="false">IF(OR(F183="",H183=""),"",F183*H183)</f>
        <v/>
      </c>
      <c r="J183" s="83" t="str">
        <f aca="false">IF(D183="","",IFERROR(INDEX(식자재단가!$M$4:$M$203,MATCH(D183,식자재단가!$C$4:$C$203,0)),"과세"))</f>
        <v/>
      </c>
      <c r="K183" s="28" t="str">
        <f aca="false">IF(I183="","",IF(J183="과세",ROUND(I183*0.1,0),0))</f>
        <v/>
      </c>
      <c r="L183" s="28" t="str">
        <f aca="false">IF(I183="","",I183+K183)</f>
        <v/>
      </c>
      <c r="M183" s="10"/>
      <c r="N183" s="80"/>
      <c r="O183" s="80"/>
      <c r="P183" s="59" t="str">
        <f aca="false">IF(E183="","",IFERROR(INDEX(기본설정!$H$4:$H$14,MATCH(E183,기본설정!$G$4:$G$14,0)),""))</f>
        <v/>
      </c>
    </row>
    <row r="184" customFormat="false" ht="15" hidden="false" customHeight="false" outlineLevel="0" collapsed="false">
      <c r="A184" s="73"/>
      <c r="B184" s="10"/>
      <c r="C184" s="80"/>
      <c r="D184" s="80"/>
      <c r="E184" s="81" t="str">
        <f aca="false">IF(D184="","",IFERROR(INDEX(식자재단가!$B$4:$B$203,MATCH(D184,식자재단가!$C$4:$C$203,0)),""))</f>
        <v/>
      </c>
      <c r="F184" s="76"/>
      <c r="G184" s="59" t="str">
        <f aca="false">IF(D184="","",IFERROR(INDEX(식자재단가!$F$4:$F$203,MATCH(D184,식자재단가!$C$4:$C$203,0)),""))</f>
        <v/>
      </c>
      <c r="H184" s="50"/>
      <c r="I184" s="82" t="str">
        <f aca="false">IF(OR(F184="",H184=""),"",F184*H184)</f>
        <v/>
      </c>
      <c r="J184" s="83" t="str">
        <f aca="false">IF(D184="","",IFERROR(INDEX(식자재단가!$M$4:$M$203,MATCH(D184,식자재단가!$C$4:$C$203,0)),"과세"))</f>
        <v/>
      </c>
      <c r="K184" s="28" t="str">
        <f aca="false">IF(I184="","",IF(J184="과세",ROUND(I184*0.1,0),0))</f>
        <v/>
      </c>
      <c r="L184" s="28" t="str">
        <f aca="false">IF(I184="","",I184+K184)</f>
        <v/>
      </c>
      <c r="M184" s="10"/>
      <c r="N184" s="80"/>
      <c r="O184" s="80"/>
      <c r="P184" s="59" t="str">
        <f aca="false">IF(E184="","",IFERROR(INDEX(기본설정!$H$4:$H$14,MATCH(E184,기본설정!$G$4:$G$14,0)),""))</f>
        <v/>
      </c>
    </row>
    <row r="185" customFormat="false" ht="15" hidden="false" customHeight="false" outlineLevel="0" collapsed="false">
      <c r="A185" s="73"/>
      <c r="B185" s="10"/>
      <c r="C185" s="80"/>
      <c r="D185" s="80"/>
      <c r="E185" s="81" t="str">
        <f aca="false">IF(D185="","",IFERROR(INDEX(식자재단가!$B$4:$B$203,MATCH(D185,식자재단가!$C$4:$C$203,0)),""))</f>
        <v/>
      </c>
      <c r="F185" s="76"/>
      <c r="G185" s="59" t="str">
        <f aca="false">IF(D185="","",IFERROR(INDEX(식자재단가!$F$4:$F$203,MATCH(D185,식자재단가!$C$4:$C$203,0)),""))</f>
        <v/>
      </c>
      <c r="H185" s="50"/>
      <c r="I185" s="82" t="str">
        <f aca="false">IF(OR(F185="",H185=""),"",F185*H185)</f>
        <v/>
      </c>
      <c r="J185" s="83" t="str">
        <f aca="false">IF(D185="","",IFERROR(INDEX(식자재단가!$M$4:$M$203,MATCH(D185,식자재단가!$C$4:$C$203,0)),"과세"))</f>
        <v/>
      </c>
      <c r="K185" s="28" t="str">
        <f aca="false">IF(I185="","",IF(J185="과세",ROUND(I185*0.1,0),0))</f>
        <v/>
      </c>
      <c r="L185" s="28" t="str">
        <f aca="false">IF(I185="","",I185+K185)</f>
        <v/>
      </c>
      <c r="M185" s="10"/>
      <c r="N185" s="80"/>
      <c r="O185" s="80"/>
      <c r="P185" s="59" t="str">
        <f aca="false">IF(E185="","",IFERROR(INDEX(기본설정!$H$4:$H$14,MATCH(E185,기본설정!$G$4:$G$14,0)),""))</f>
        <v/>
      </c>
    </row>
    <row r="186" customFormat="false" ht="15" hidden="false" customHeight="false" outlineLevel="0" collapsed="false">
      <c r="A186" s="73"/>
      <c r="B186" s="10"/>
      <c r="C186" s="80"/>
      <c r="D186" s="80"/>
      <c r="E186" s="81" t="str">
        <f aca="false">IF(D186="","",IFERROR(INDEX(식자재단가!$B$4:$B$203,MATCH(D186,식자재단가!$C$4:$C$203,0)),""))</f>
        <v/>
      </c>
      <c r="F186" s="76"/>
      <c r="G186" s="59" t="str">
        <f aca="false">IF(D186="","",IFERROR(INDEX(식자재단가!$F$4:$F$203,MATCH(D186,식자재단가!$C$4:$C$203,0)),""))</f>
        <v/>
      </c>
      <c r="H186" s="50"/>
      <c r="I186" s="82" t="str">
        <f aca="false">IF(OR(F186="",H186=""),"",F186*H186)</f>
        <v/>
      </c>
      <c r="J186" s="83" t="str">
        <f aca="false">IF(D186="","",IFERROR(INDEX(식자재단가!$M$4:$M$203,MATCH(D186,식자재단가!$C$4:$C$203,0)),"과세"))</f>
        <v/>
      </c>
      <c r="K186" s="28" t="str">
        <f aca="false">IF(I186="","",IF(J186="과세",ROUND(I186*0.1,0),0))</f>
        <v/>
      </c>
      <c r="L186" s="28" t="str">
        <f aca="false">IF(I186="","",I186+K186)</f>
        <v/>
      </c>
      <c r="M186" s="10"/>
      <c r="N186" s="80"/>
      <c r="O186" s="80"/>
      <c r="P186" s="59" t="str">
        <f aca="false">IF(E186="","",IFERROR(INDEX(기본설정!$H$4:$H$14,MATCH(E186,기본설정!$G$4:$G$14,0)),""))</f>
        <v/>
      </c>
    </row>
    <row r="187" customFormat="false" ht="15" hidden="false" customHeight="false" outlineLevel="0" collapsed="false">
      <c r="A187" s="73"/>
      <c r="B187" s="10"/>
      <c r="C187" s="80"/>
      <c r="D187" s="80"/>
      <c r="E187" s="81" t="str">
        <f aca="false">IF(D187="","",IFERROR(INDEX(식자재단가!$B$4:$B$203,MATCH(D187,식자재단가!$C$4:$C$203,0)),""))</f>
        <v/>
      </c>
      <c r="F187" s="76"/>
      <c r="G187" s="59" t="str">
        <f aca="false">IF(D187="","",IFERROR(INDEX(식자재단가!$F$4:$F$203,MATCH(D187,식자재단가!$C$4:$C$203,0)),""))</f>
        <v/>
      </c>
      <c r="H187" s="50"/>
      <c r="I187" s="82" t="str">
        <f aca="false">IF(OR(F187="",H187=""),"",F187*H187)</f>
        <v/>
      </c>
      <c r="J187" s="83" t="str">
        <f aca="false">IF(D187="","",IFERROR(INDEX(식자재단가!$M$4:$M$203,MATCH(D187,식자재단가!$C$4:$C$203,0)),"과세"))</f>
        <v/>
      </c>
      <c r="K187" s="28" t="str">
        <f aca="false">IF(I187="","",IF(J187="과세",ROUND(I187*0.1,0),0))</f>
        <v/>
      </c>
      <c r="L187" s="28" t="str">
        <f aca="false">IF(I187="","",I187+K187)</f>
        <v/>
      </c>
      <c r="M187" s="10"/>
      <c r="N187" s="80"/>
      <c r="O187" s="80"/>
      <c r="P187" s="59" t="str">
        <f aca="false">IF(E187="","",IFERROR(INDEX(기본설정!$H$4:$H$14,MATCH(E187,기본설정!$G$4:$G$14,0)),""))</f>
        <v/>
      </c>
    </row>
    <row r="188" customFormat="false" ht="15" hidden="false" customHeight="false" outlineLevel="0" collapsed="false">
      <c r="A188" s="73"/>
      <c r="B188" s="10"/>
      <c r="C188" s="80"/>
      <c r="D188" s="80"/>
      <c r="E188" s="81" t="str">
        <f aca="false">IF(D188="","",IFERROR(INDEX(식자재단가!$B$4:$B$203,MATCH(D188,식자재단가!$C$4:$C$203,0)),""))</f>
        <v/>
      </c>
      <c r="F188" s="76"/>
      <c r="G188" s="59" t="str">
        <f aca="false">IF(D188="","",IFERROR(INDEX(식자재단가!$F$4:$F$203,MATCH(D188,식자재단가!$C$4:$C$203,0)),""))</f>
        <v/>
      </c>
      <c r="H188" s="50"/>
      <c r="I188" s="82" t="str">
        <f aca="false">IF(OR(F188="",H188=""),"",F188*H188)</f>
        <v/>
      </c>
      <c r="J188" s="83" t="str">
        <f aca="false">IF(D188="","",IFERROR(INDEX(식자재단가!$M$4:$M$203,MATCH(D188,식자재단가!$C$4:$C$203,0)),"과세"))</f>
        <v/>
      </c>
      <c r="K188" s="28" t="str">
        <f aca="false">IF(I188="","",IF(J188="과세",ROUND(I188*0.1,0),0))</f>
        <v/>
      </c>
      <c r="L188" s="28" t="str">
        <f aca="false">IF(I188="","",I188+K188)</f>
        <v/>
      </c>
      <c r="M188" s="10"/>
      <c r="N188" s="80"/>
      <c r="O188" s="80"/>
      <c r="P188" s="59" t="str">
        <f aca="false">IF(E188="","",IFERROR(INDEX(기본설정!$H$4:$H$14,MATCH(E188,기본설정!$G$4:$G$14,0)),""))</f>
        <v/>
      </c>
    </row>
    <row r="189" customFormat="false" ht="15" hidden="false" customHeight="false" outlineLevel="0" collapsed="false">
      <c r="A189" s="73"/>
      <c r="B189" s="10"/>
      <c r="C189" s="80"/>
      <c r="D189" s="80"/>
      <c r="E189" s="81" t="str">
        <f aca="false">IF(D189="","",IFERROR(INDEX(식자재단가!$B$4:$B$203,MATCH(D189,식자재단가!$C$4:$C$203,0)),""))</f>
        <v/>
      </c>
      <c r="F189" s="76"/>
      <c r="G189" s="59" t="str">
        <f aca="false">IF(D189="","",IFERROR(INDEX(식자재단가!$F$4:$F$203,MATCH(D189,식자재단가!$C$4:$C$203,0)),""))</f>
        <v/>
      </c>
      <c r="H189" s="50"/>
      <c r="I189" s="82" t="str">
        <f aca="false">IF(OR(F189="",H189=""),"",F189*H189)</f>
        <v/>
      </c>
      <c r="J189" s="83" t="str">
        <f aca="false">IF(D189="","",IFERROR(INDEX(식자재단가!$M$4:$M$203,MATCH(D189,식자재단가!$C$4:$C$203,0)),"과세"))</f>
        <v/>
      </c>
      <c r="K189" s="28" t="str">
        <f aca="false">IF(I189="","",IF(J189="과세",ROUND(I189*0.1,0),0))</f>
        <v/>
      </c>
      <c r="L189" s="28" t="str">
        <f aca="false">IF(I189="","",I189+K189)</f>
        <v/>
      </c>
      <c r="M189" s="10"/>
      <c r="N189" s="80"/>
      <c r="O189" s="80"/>
      <c r="P189" s="59" t="str">
        <f aca="false">IF(E189="","",IFERROR(INDEX(기본설정!$H$4:$H$14,MATCH(E189,기본설정!$G$4:$G$14,0)),""))</f>
        <v/>
      </c>
    </row>
    <row r="190" customFormat="false" ht="15" hidden="false" customHeight="false" outlineLevel="0" collapsed="false">
      <c r="A190" s="73"/>
      <c r="B190" s="10"/>
      <c r="C190" s="80"/>
      <c r="D190" s="80"/>
      <c r="E190" s="81" t="str">
        <f aca="false">IF(D190="","",IFERROR(INDEX(식자재단가!$B$4:$B$203,MATCH(D190,식자재단가!$C$4:$C$203,0)),""))</f>
        <v/>
      </c>
      <c r="F190" s="76"/>
      <c r="G190" s="59" t="str">
        <f aca="false">IF(D190="","",IFERROR(INDEX(식자재단가!$F$4:$F$203,MATCH(D190,식자재단가!$C$4:$C$203,0)),""))</f>
        <v/>
      </c>
      <c r="H190" s="50"/>
      <c r="I190" s="82" t="str">
        <f aca="false">IF(OR(F190="",H190=""),"",F190*H190)</f>
        <v/>
      </c>
      <c r="J190" s="83" t="str">
        <f aca="false">IF(D190="","",IFERROR(INDEX(식자재단가!$M$4:$M$203,MATCH(D190,식자재단가!$C$4:$C$203,0)),"과세"))</f>
        <v/>
      </c>
      <c r="K190" s="28" t="str">
        <f aca="false">IF(I190="","",IF(J190="과세",ROUND(I190*0.1,0),0))</f>
        <v/>
      </c>
      <c r="L190" s="28" t="str">
        <f aca="false">IF(I190="","",I190+K190)</f>
        <v/>
      </c>
      <c r="M190" s="10"/>
      <c r="N190" s="80"/>
      <c r="O190" s="80"/>
      <c r="P190" s="59" t="str">
        <f aca="false">IF(E190="","",IFERROR(INDEX(기본설정!$H$4:$H$14,MATCH(E190,기본설정!$G$4:$G$14,0)),""))</f>
        <v/>
      </c>
    </row>
    <row r="191" customFormat="false" ht="15" hidden="false" customHeight="false" outlineLevel="0" collapsed="false">
      <c r="A191" s="73"/>
      <c r="B191" s="10"/>
      <c r="C191" s="80"/>
      <c r="D191" s="80"/>
      <c r="E191" s="81" t="str">
        <f aca="false">IF(D191="","",IFERROR(INDEX(식자재단가!$B$4:$B$203,MATCH(D191,식자재단가!$C$4:$C$203,0)),""))</f>
        <v/>
      </c>
      <c r="F191" s="76"/>
      <c r="G191" s="59" t="str">
        <f aca="false">IF(D191="","",IFERROR(INDEX(식자재단가!$F$4:$F$203,MATCH(D191,식자재단가!$C$4:$C$203,0)),""))</f>
        <v/>
      </c>
      <c r="H191" s="50"/>
      <c r="I191" s="82" t="str">
        <f aca="false">IF(OR(F191="",H191=""),"",F191*H191)</f>
        <v/>
      </c>
      <c r="J191" s="83" t="str">
        <f aca="false">IF(D191="","",IFERROR(INDEX(식자재단가!$M$4:$M$203,MATCH(D191,식자재단가!$C$4:$C$203,0)),"과세"))</f>
        <v/>
      </c>
      <c r="K191" s="28" t="str">
        <f aca="false">IF(I191="","",IF(J191="과세",ROUND(I191*0.1,0),0))</f>
        <v/>
      </c>
      <c r="L191" s="28" t="str">
        <f aca="false">IF(I191="","",I191+K191)</f>
        <v/>
      </c>
      <c r="M191" s="10"/>
      <c r="N191" s="80"/>
      <c r="O191" s="80"/>
      <c r="P191" s="59" t="str">
        <f aca="false">IF(E191="","",IFERROR(INDEX(기본설정!$H$4:$H$14,MATCH(E191,기본설정!$G$4:$G$14,0)),""))</f>
        <v/>
      </c>
    </row>
    <row r="192" customFormat="false" ht="15" hidden="false" customHeight="false" outlineLevel="0" collapsed="false">
      <c r="A192" s="73"/>
      <c r="B192" s="10"/>
      <c r="C192" s="80"/>
      <c r="D192" s="80"/>
      <c r="E192" s="81" t="str">
        <f aca="false">IF(D192="","",IFERROR(INDEX(식자재단가!$B$4:$B$203,MATCH(D192,식자재단가!$C$4:$C$203,0)),""))</f>
        <v/>
      </c>
      <c r="F192" s="76"/>
      <c r="G192" s="59" t="str">
        <f aca="false">IF(D192="","",IFERROR(INDEX(식자재단가!$F$4:$F$203,MATCH(D192,식자재단가!$C$4:$C$203,0)),""))</f>
        <v/>
      </c>
      <c r="H192" s="50"/>
      <c r="I192" s="82" t="str">
        <f aca="false">IF(OR(F192="",H192=""),"",F192*H192)</f>
        <v/>
      </c>
      <c r="J192" s="83" t="str">
        <f aca="false">IF(D192="","",IFERROR(INDEX(식자재단가!$M$4:$M$203,MATCH(D192,식자재단가!$C$4:$C$203,0)),"과세"))</f>
        <v/>
      </c>
      <c r="K192" s="28" t="str">
        <f aca="false">IF(I192="","",IF(J192="과세",ROUND(I192*0.1,0),0))</f>
        <v/>
      </c>
      <c r="L192" s="28" t="str">
        <f aca="false">IF(I192="","",I192+K192)</f>
        <v/>
      </c>
      <c r="M192" s="10"/>
      <c r="N192" s="80"/>
      <c r="O192" s="80"/>
      <c r="P192" s="59" t="str">
        <f aca="false">IF(E192="","",IFERROR(INDEX(기본설정!$H$4:$H$14,MATCH(E192,기본설정!$G$4:$G$14,0)),""))</f>
        <v/>
      </c>
    </row>
    <row r="193" customFormat="false" ht="15" hidden="false" customHeight="false" outlineLevel="0" collapsed="false">
      <c r="A193" s="73"/>
      <c r="B193" s="10"/>
      <c r="C193" s="80"/>
      <c r="D193" s="80"/>
      <c r="E193" s="81" t="str">
        <f aca="false">IF(D193="","",IFERROR(INDEX(식자재단가!$B$4:$B$203,MATCH(D193,식자재단가!$C$4:$C$203,0)),""))</f>
        <v/>
      </c>
      <c r="F193" s="76"/>
      <c r="G193" s="59" t="str">
        <f aca="false">IF(D193="","",IFERROR(INDEX(식자재단가!$F$4:$F$203,MATCH(D193,식자재단가!$C$4:$C$203,0)),""))</f>
        <v/>
      </c>
      <c r="H193" s="50"/>
      <c r="I193" s="82" t="str">
        <f aca="false">IF(OR(F193="",H193=""),"",F193*H193)</f>
        <v/>
      </c>
      <c r="J193" s="83" t="str">
        <f aca="false">IF(D193="","",IFERROR(INDEX(식자재단가!$M$4:$M$203,MATCH(D193,식자재단가!$C$4:$C$203,0)),"과세"))</f>
        <v/>
      </c>
      <c r="K193" s="28" t="str">
        <f aca="false">IF(I193="","",IF(J193="과세",ROUND(I193*0.1,0),0))</f>
        <v/>
      </c>
      <c r="L193" s="28" t="str">
        <f aca="false">IF(I193="","",I193+K193)</f>
        <v/>
      </c>
      <c r="M193" s="10"/>
      <c r="N193" s="80"/>
      <c r="O193" s="80"/>
      <c r="P193" s="59" t="str">
        <f aca="false">IF(E193="","",IFERROR(INDEX(기본설정!$H$4:$H$14,MATCH(E193,기본설정!$G$4:$G$14,0)),""))</f>
        <v/>
      </c>
    </row>
    <row r="194" customFormat="false" ht="15" hidden="false" customHeight="false" outlineLevel="0" collapsed="false">
      <c r="A194" s="73"/>
      <c r="B194" s="10"/>
      <c r="C194" s="80"/>
      <c r="D194" s="80"/>
      <c r="E194" s="81" t="str">
        <f aca="false">IF(D194="","",IFERROR(INDEX(식자재단가!$B$4:$B$203,MATCH(D194,식자재단가!$C$4:$C$203,0)),""))</f>
        <v/>
      </c>
      <c r="F194" s="76"/>
      <c r="G194" s="59" t="str">
        <f aca="false">IF(D194="","",IFERROR(INDEX(식자재단가!$F$4:$F$203,MATCH(D194,식자재단가!$C$4:$C$203,0)),""))</f>
        <v/>
      </c>
      <c r="H194" s="50"/>
      <c r="I194" s="82" t="str">
        <f aca="false">IF(OR(F194="",H194=""),"",F194*H194)</f>
        <v/>
      </c>
      <c r="J194" s="83" t="str">
        <f aca="false">IF(D194="","",IFERROR(INDEX(식자재단가!$M$4:$M$203,MATCH(D194,식자재단가!$C$4:$C$203,0)),"과세"))</f>
        <v/>
      </c>
      <c r="K194" s="28" t="str">
        <f aca="false">IF(I194="","",IF(J194="과세",ROUND(I194*0.1,0),0))</f>
        <v/>
      </c>
      <c r="L194" s="28" t="str">
        <f aca="false">IF(I194="","",I194+K194)</f>
        <v/>
      </c>
      <c r="M194" s="10"/>
      <c r="N194" s="80"/>
      <c r="O194" s="80"/>
      <c r="P194" s="59" t="str">
        <f aca="false">IF(E194="","",IFERROR(INDEX(기본설정!$H$4:$H$14,MATCH(E194,기본설정!$G$4:$G$14,0)),""))</f>
        <v/>
      </c>
    </row>
    <row r="195" customFormat="false" ht="15" hidden="false" customHeight="false" outlineLevel="0" collapsed="false">
      <c r="A195" s="73"/>
      <c r="B195" s="10"/>
      <c r="C195" s="80"/>
      <c r="D195" s="80"/>
      <c r="E195" s="81" t="str">
        <f aca="false">IF(D195="","",IFERROR(INDEX(식자재단가!$B$4:$B$203,MATCH(D195,식자재단가!$C$4:$C$203,0)),""))</f>
        <v/>
      </c>
      <c r="F195" s="76"/>
      <c r="G195" s="59" t="str">
        <f aca="false">IF(D195="","",IFERROR(INDEX(식자재단가!$F$4:$F$203,MATCH(D195,식자재단가!$C$4:$C$203,0)),""))</f>
        <v/>
      </c>
      <c r="H195" s="50"/>
      <c r="I195" s="82" t="str">
        <f aca="false">IF(OR(F195="",H195=""),"",F195*H195)</f>
        <v/>
      </c>
      <c r="J195" s="83" t="str">
        <f aca="false">IF(D195="","",IFERROR(INDEX(식자재단가!$M$4:$M$203,MATCH(D195,식자재단가!$C$4:$C$203,0)),"과세"))</f>
        <v/>
      </c>
      <c r="K195" s="28" t="str">
        <f aca="false">IF(I195="","",IF(J195="과세",ROUND(I195*0.1,0),0))</f>
        <v/>
      </c>
      <c r="L195" s="28" t="str">
        <f aca="false">IF(I195="","",I195+K195)</f>
        <v/>
      </c>
      <c r="M195" s="10"/>
      <c r="N195" s="80"/>
      <c r="O195" s="80"/>
      <c r="P195" s="59" t="str">
        <f aca="false">IF(E195="","",IFERROR(INDEX(기본설정!$H$4:$H$14,MATCH(E195,기본설정!$G$4:$G$14,0)),""))</f>
        <v/>
      </c>
    </row>
    <row r="196" customFormat="false" ht="15" hidden="false" customHeight="false" outlineLevel="0" collapsed="false">
      <c r="A196" s="73"/>
      <c r="B196" s="10"/>
      <c r="C196" s="80"/>
      <c r="D196" s="80"/>
      <c r="E196" s="81" t="str">
        <f aca="false">IF(D196="","",IFERROR(INDEX(식자재단가!$B$4:$B$203,MATCH(D196,식자재단가!$C$4:$C$203,0)),""))</f>
        <v/>
      </c>
      <c r="F196" s="76"/>
      <c r="G196" s="59" t="str">
        <f aca="false">IF(D196="","",IFERROR(INDEX(식자재단가!$F$4:$F$203,MATCH(D196,식자재단가!$C$4:$C$203,0)),""))</f>
        <v/>
      </c>
      <c r="H196" s="50"/>
      <c r="I196" s="82" t="str">
        <f aca="false">IF(OR(F196="",H196=""),"",F196*H196)</f>
        <v/>
      </c>
      <c r="J196" s="83" t="str">
        <f aca="false">IF(D196="","",IFERROR(INDEX(식자재단가!$M$4:$M$203,MATCH(D196,식자재단가!$C$4:$C$203,0)),"과세"))</f>
        <v/>
      </c>
      <c r="K196" s="28" t="str">
        <f aca="false">IF(I196="","",IF(J196="과세",ROUND(I196*0.1,0),0))</f>
        <v/>
      </c>
      <c r="L196" s="28" t="str">
        <f aca="false">IF(I196="","",I196+K196)</f>
        <v/>
      </c>
      <c r="M196" s="10"/>
      <c r="N196" s="80"/>
      <c r="O196" s="80"/>
      <c r="P196" s="59" t="str">
        <f aca="false">IF(E196="","",IFERROR(INDEX(기본설정!$H$4:$H$14,MATCH(E196,기본설정!$G$4:$G$14,0)),""))</f>
        <v/>
      </c>
    </row>
    <row r="197" customFormat="false" ht="15" hidden="false" customHeight="false" outlineLevel="0" collapsed="false">
      <c r="A197" s="73"/>
      <c r="B197" s="10"/>
      <c r="C197" s="80"/>
      <c r="D197" s="80"/>
      <c r="E197" s="81" t="str">
        <f aca="false">IF(D197="","",IFERROR(INDEX(식자재단가!$B$4:$B$203,MATCH(D197,식자재단가!$C$4:$C$203,0)),""))</f>
        <v/>
      </c>
      <c r="F197" s="76"/>
      <c r="G197" s="59" t="str">
        <f aca="false">IF(D197="","",IFERROR(INDEX(식자재단가!$F$4:$F$203,MATCH(D197,식자재단가!$C$4:$C$203,0)),""))</f>
        <v/>
      </c>
      <c r="H197" s="50"/>
      <c r="I197" s="82" t="str">
        <f aca="false">IF(OR(F197="",H197=""),"",F197*H197)</f>
        <v/>
      </c>
      <c r="J197" s="83" t="str">
        <f aca="false">IF(D197="","",IFERROR(INDEX(식자재단가!$M$4:$M$203,MATCH(D197,식자재단가!$C$4:$C$203,0)),"과세"))</f>
        <v/>
      </c>
      <c r="K197" s="28" t="str">
        <f aca="false">IF(I197="","",IF(J197="과세",ROUND(I197*0.1,0),0))</f>
        <v/>
      </c>
      <c r="L197" s="28" t="str">
        <f aca="false">IF(I197="","",I197+K197)</f>
        <v/>
      </c>
      <c r="M197" s="10"/>
      <c r="N197" s="80"/>
      <c r="O197" s="80"/>
      <c r="P197" s="59" t="str">
        <f aca="false">IF(E197="","",IFERROR(INDEX(기본설정!$H$4:$H$14,MATCH(E197,기본설정!$G$4:$G$14,0)),""))</f>
        <v/>
      </c>
    </row>
    <row r="198" customFormat="false" ht="15" hidden="false" customHeight="false" outlineLevel="0" collapsed="false">
      <c r="A198" s="73"/>
      <c r="B198" s="10"/>
      <c r="C198" s="80"/>
      <c r="D198" s="80"/>
      <c r="E198" s="81" t="str">
        <f aca="false">IF(D198="","",IFERROR(INDEX(식자재단가!$B$4:$B$203,MATCH(D198,식자재단가!$C$4:$C$203,0)),""))</f>
        <v/>
      </c>
      <c r="F198" s="76"/>
      <c r="G198" s="59" t="str">
        <f aca="false">IF(D198="","",IFERROR(INDEX(식자재단가!$F$4:$F$203,MATCH(D198,식자재단가!$C$4:$C$203,0)),""))</f>
        <v/>
      </c>
      <c r="H198" s="50"/>
      <c r="I198" s="82" t="str">
        <f aca="false">IF(OR(F198="",H198=""),"",F198*H198)</f>
        <v/>
      </c>
      <c r="J198" s="83" t="str">
        <f aca="false">IF(D198="","",IFERROR(INDEX(식자재단가!$M$4:$M$203,MATCH(D198,식자재단가!$C$4:$C$203,0)),"과세"))</f>
        <v/>
      </c>
      <c r="K198" s="28" t="str">
        <f aca="false">IF(I198="","",IF(J198="과세",ROUND(I198*0.1,0),0))</f>
        <v/>
      </c>
      <c r="L198" s="28" t="str">
        <f aca="false">IF(I198="","",I198+K198)</f>
        <v/>
      </c>
      <c r="M198" s="10"/>
      <c r="N198" s="80"/>
      <c r="O198" s="80"/>
      <c r="P198" s="59" t="str">
        <f aca="false">IF(E198="","",IFERROR(INDEX(기본설정!$H$4:$H$14,MATCH(E198,기본설정!$G$4:$G$14,0)),""))</f>
        <v/>
      </c>
    </row>
    <row r="199" customFormat="false" ht="15" hidden="false" customHeight="false" outlineLevel="0" collapsed="false">
      <c r="A199" s="73"/>
      <c r="B199" s="10"/>
      <c r="C199" s="80"/>
      <c r="D199" s="80"/>
      <c r="E199" s="81" t="str">
        <f aca="false">IF(D199="","",IFERROR(INDEX(식자재단가!$B$4:$B$203,MATCH(D199,식자재단가!$C$4:$C$203,0)),""))</f>
        <v/>
      </c>
      <c r="F199" s="76"/>
      <c r="G199" s="59" t="str">
        <f aca="false">IF(D199="","",IFERROR(INDEX(식자재단가!$F$4:$F$203,MATCH(D199,식자재단가!$C$4:$C$203,0)),""))</f>
        <v/>
      </c>
      <c r="H199" s="50"/>
      <c r="I199" s="82" t="str">
        <f aca="false">IF(OR(F199="",H199=""),"",F199*H199)</f>
        <v/>
      </c>
      <c r="J199" s="83" t="str">
        <f aca="false">IF(D199="","",IFERROR(INDEX(식자재단가!$M$4:$M$203,MATCH(D199,식자재단가!$C$4:$C$203,0)),"과세"))</f>
        <v/>
      </c>
      <c r="K199" s="28" t="str">
        <f aca="false">IF(I199="","",IF(J199="과세",ROUND(I199*0.1,0),0))</f>
        <v/>
      </c>
      <c r="L199" s="28" t="str">
        <f aca="false">IF(I199="","",I199+K199)</f>
        <v/>
      </c>
      <c r="M199" s="10"/>
      <c r="N199" s="80"/>
      <c r="O199" s="80"/>
      <c r="P199" s="59" t="str">
        <f aca="false">IF(E199="","",IFERROR(INDEX(기본설정!$H$4:$H$14,MATCH(E199,기본설정!$G$4:$G$14,0)),""))</f>
        <v/>
      </c>
    </row>
    <row r="200" customFormat="false" ht="15" hidden="false" customHeight="false" outlineLevel="0" collapsed="false">
      <c r="A200" s="73"/>
      <c r="B200" s="10"/>
      <c r="C200" s="80"/>
      <c r="D200" s="80"/>
      <c r="E200" s="81" t="str">
        <f aca="false">IF(D200="","",IFERROR(INDEX(식자재단가!$B$4:$B$203,MATCH(D200,식자재단가!$C$4:$C$203,0)),""))</f>
        <v/>
      </c>
      <c r="F200" s="76"/>
      <c r="G200" s="59" t="str">
        <f aca="false">IF(D200="","",IFERROR(INDEX(식자재단가!$F$4:$F$203,MATCH(D200,식자재단가!$C$4:$C$203,0)),""))</f>
        <v/>
      </c>
      <c r="H200" s="50"/>
      <c r="I200" s="82" t="str">
        <f aca="false">IF(OR(F200="",H200=""),"",F200*H200)</f>
        <v/>
      </c>
      <c r="J200" s="83" t="str">
        <f aca="false">IF(D200="","",IFERROR(INDEX(식자재단가!$M$4:$M$203,MATCH(D200,식자재단가!$C$4:$C$203,0)),"과세"))</f>
        <v/>
      </c>
      <c r="K200" s="28" t="str">
        <f aca="false">IF(I200="","",IF(J200="과세",ROUND(I200*0.1,0),0))</f>
        <v/>
      </c>
      <c r="L200" s="28" t="str">
        <f aca="false">IF(I200="","",I200+K200)</f>
        <v/>
      </c>
      <c r="M200" s="10"/>
      <c r="N200" s="80"/>
      <c r="O200" s="80"/>
      <c r="P200" s="59" t="str">
        <f aca="false">IF(E200="","",IFERROR(INDEX(기본설정!$H$4:$H$14,MATCH(E200,기본설정!$G$4:$G$14,0)),""))</f>
        <v/>
      </c>
    </row>
    <row r="201" customFormat="false" ht="15" hidden="false" customHeight="false" outlineLevel="0" collapsed="false">
      <c r="A201" s="73"/>
      <c r="B201" s="10"/>
      <c r="C201" s="80"/>
      <c r="D201" s="80"/>
      <c r="E201" s="81" t="str">
        <f aca="false">IF(D201="","",IFERROR(INDEX(식자재단가!$B$4:$B$203,MATCH(D201,식자재단가!$C$4:$C$203,0)),""))</f>
        <v/>
      </c>
      <c r="F201" s="76"/>
      <c r="G201" s="59" t="str">
        <f aca="false">IF(D201="","",IFERROR(INDEX(식자재단가!$F$4:$F$203,MATCH(D201,식자재단가!$C$4:$C$203,0)),""))</f>
        <v/>
      </c>
      <c r="H201" s="50"/>
      <c r="I201" s="82" t="str">
        <f aca="false">IF(OR(F201="",H201=""),"",F201*H201)</f>
        <v/>
      </c>
      <c r="J201" s="83" t="str">
        <f aca="false">IF(D201="","",IFERROR(INDEX(식자재단가!$M$4:$M$203,MATCH(D201,식자재단가!$C$4:$C$203,0)),"과세"))</f>
        <v/>
      </c>
      <c r="K201" s="28" t="str">
        <f aca="false">IF(I201="","",IF(J201="과세",ROUND(I201*0.1,0),0))</f>
        <v/>
      </c>
      <c r="L201" s="28" t="str">
        <f aca="false">IF(I201="","",I201+K201)</f>
        <v/>
      </c>
      <c r="M201" s="10"/>
      <c r="N201" s="80"/>
      <c r="O201" s="80"/>
      <c r="P201" s="59" t="str">
        <f aca="false">IF(E201="","",IFERROR(INDEX(기본설정!$H$4:$H$14,MATCH(E201,기본설정!$G$4:$G$14,0)),""))</f>
        <v/>
      </c>
    </row>
    <row r="202" customFormat="false" ht="15" hidden="false" customHeight="false" outlineLevel="0" collapsed="false">
      <c r="A202" s="73"/>
      <c r="B202" s="10"/>
      <c r="C202" s="80"/>
      <c r="D202" s="80"/>
      <c r="E202" s="81" t="str">
        <f aca="false">IF(D202="","",IFERROR(INDEX(식자재단가!$B$4:$B$203,MATCH(D202,식자재단가!$C$4:$C$203,0)),""))</f>
        <v/>
      </c>
      <c r="F202" s="76"/>
      <c r="G202" s="59" t="str">
        <f aca="false">IF(D202="","",IFERROR(INDEX(식자재단가!$F$4:$F$203,MATCH(D202,식자재단가!$C$4:$C$203,0)),""))</f>
        <v/>
      </c>
      <c r="H202" s="50"/>
      <c r="I202" s="82" t="str">
        <f aca="false">IF(OR(F202="",H202=""),"",F202*H202)</f>
        <v/>
      </c>
      <c r="J202" s="83" t="str">
        <f aca="false">IF(D202="","",IFERROR(INDEX(식자재단가!$M$4:$M$203,MATCH(D202,식자재단가!$C$4:$C$203,0)),"과세"))</f>
        <v/>
      </c>
      <c r="K202" s="28" t="str">
        <f aca="false">IF(I202="","",IF(J202="과세",ROUND(I202*0.1,0),0))</f>
        <v/>
      </c>
      <c r="L202" s="28" t="str">
        <f aca="false">IF(I202="","",I202+K202)</f>
        <v/>
      </c>
      <c r="M202" s="10"/>
      <c r="N202" s="80"/>
      <c r="O202" s="80"/>
      <c r="P202" s="59" t="str">
        <f aca="false">IF(E202="","",IFERROR(INDEX(기본설정!$H$4:$H$14,MATCH(E202,기본설정!$G$4:$G$14,0)),""))</f>
        <v/>
      </c>
    </row>
    <row r="203" customFormat="false" ht="15" hidden="false" customHeight="false" outlineLevel="0" collapsed="false">
      <c r="A203" s="73"/>
      <c r="B203" s="10"/>
      <c r="C203" s="80"/>
      <c r="D203" s="80"/>
      <c r="E203" s="81" t="str">
        <f aca="false">IF(D203="","",IFERROR(INDEX(식자재단가!$B$4:$B$203,MATCH(D203,식자재단가!$C$4:$C$203,0)),""))</f>
        <v/>
      </c>
      <c r="F203" s="76"/>
      <c r="G203" s="59" t="str">
        <f aca="false">IF(D203="","",IFERROR(INDEX(식자재단가!$F$4:$F$203,MATCH(D203,식자재단가!$C$4:$C$203,0)),""))</f>
        <v/>
      </c>
      <c r="H203" s="50"/>
      <c r="I203" s="82" t="str">
        <f aca="false">IF(OR(F203="",H203=""),"",F203*H203)</f>
        <v/>
      </c>
      <c r="J203" s="83" t="str">
        <f aca="false">IF(D203="","",IFERROR(INDEX(식자재단가!$M$4:$M$203,MATCH(D203,식자재단가!$C$4:$C$203,0)),"과세"))</f>
        <v/>
      </c>
      <c r="K203" s="28" t="str">
        <f aca="false">IF(I203="","",IF(J203="과세",ROUND(I203*0.1,0),0))</f>
        <v/>
      </c>
      <c r="L203" s="28" t="str">
        <f aca="false">IF(I203="","",I203+K203)</f>
        <v/>
      </c>
      <c r="M203" s="10"/>
      <c r="N203" s="80"/>
      <c r="O203" s="80"/>
      <c r="P203" s="59" t="str">
        <f aca="false">IF(E203="","",IFERROR(INDEX(기본설정!$H$4:$H$14,MATCH(E203,기본설정!$G$4:$G$14,0)),""))</f>
        <v/>
      </c>
    </row>
    <row r="204" customFormat="false" ht="15" hidden="false" customHeight="false" outlineLevel="0" collapsed="false">
      <c r="A204" s="73"/>
      <c r="B204" s="10"/>
      <c r="C204" s="80"/>
      <c r="D204" s="80"/>
      <c r="E204" s="81" t="str">
        <f aca="false">IF(D204="","",IFERROR(INDEX(식자재단가!$B$4:$B$203,MATCH(D204,식자재단가!$C$4:$C$203,0)),""))</f>
        <v/>
      </c>
      <c r="F204" s="76"/>
      <c r="G204" s="59" t="str">
        <f aca="false">IF(D204="","",IFERROR(INDEX(식자재단가!$F$4:$F$203,MATCH(D204,식자재단가!$C$4:$C$203,0)),""))</f>
        <v/>
      </c>
      <c r="H204" s="50"/>
      <c r="I204" s="82" t="str">
        <f aca="false">IF(OR(F204="",H204=""),"",F204*H204)</f>
        <v/>
      </c>
      <c r="J204" s="83" t="str">
        <f aca="false">IF(D204="","",IFERROR(INDEX(식자재단가!$M$4:$M$203,MATCH(D204,식자재단가!$C$4:$C$203,0)),"과세"))</f>
        <v/>
      </c>
      <c r="K204" s="28" t="str">
        <f aca="false">IF(I204="","",IF(J204="과세",ROUND(I204*0.1,0),0))</f>
        <v/>
      </c>
      <c r="L204" s="28" t="str">
        <f aca="false">IF(I204="","",I204+K204)</f>
        <v/>
      </c>
      <c r="M204" s="10"/>
      <c r="N204" s="80"/>
      <c r="O204" s="80"/>
      <c r="P204" s="59" t="str">
        <f aca="false">IF(E204="","",IFERROR(INDEX(기본설정!$H$4:$H$14,MATCH(E204,기본설정!$G$4:$G$14,0)),""))</f>
        <v/>
      </c>
    </row>
    <row r="205" customFormat="false" ht="15" hidden="false" customHeight="false" outlineLevel="0" collapsed="false">
      <c r="A205" s="73"/>
      <c r="B205" s="10"/>
      <c r="C205" s="80"/>
      <c r="D205" s="80"/>
      <c r="E205" s="81" t="str">
        <f aca="false">IF(D205="","",IFERROR(INDEX(식자재단가!$B$4:$B$203,MATCH(D205,식자재단가!$C$4:$C$203,0)),""))</f>
        <v/>
      </c>
      <c r="F205" s="76"/>
      <c r="G205" s="59" t="str">
        <f aca="false">IF(D205="","",IFERROR(INDEX(식자재단가!$F$4:$F$203,MATCH(D205,식자재단가!$C$4:$C$203,0)),""))</f>
        <v/>
      </c>
      <c r="H205" s="50"/>
      <c r="I205" s="82" t="str">
        <f aca="false">IF(OR(F205="",H205=""),"",F205*H205)</f>
        <v/>
      </c>
      <c r="J205" s="83" t="str">
        <f aca="false">IF(D205="","",IFERROR(INDEX(식자재단가!$M$4:$M$203,MATCH(D205,식자재단가!$C$4:$C$203,0)),"과세"))</f>
        <v/>
      </c>
      <c r="K205" s="28" t="str">
        <f aca="false">IF(I205="","",IF(J205="과세",ROUND(I205*0.1,0),0))</f>
        <v/>
      </c>
      <c r="L205" s="28" t="str">
        <f aca="false">IF(I205="","",I205+K205)</f>
        <v/>
      </c>
      <c r="M205" s="10"/>
      <c r="N205" s="80"/>
      <c r="O205" s="80"/>
      <c r="P205" s="59" t="str">
        <f aca="false">IF(E205="","",IFERROR(INDEX(기본설정!$H$4:$H$14,MATCH(E205,기본설정!$G$4:$G$14,0)),""))</f>
        <v/>
      </c>
    </row>
    <row r="206" customFormat="false" ht="15" hidden="false" customHeight="false" outlineLevel="0" collapsed="false">
      <c r="A206" s="73"/>
      <c r="B206" s="10"/>
      <c r="C206" s="80"/>
      <c r="D206" s="80"/>
      <c r="E206" s="81" t="str">
        <f aca="false">IF(D206="","",IFERROR(INDEX(식자재단가!$B$4:$B$203,MATCH(D206,식자재단가!$C$4:$C$203,0)),""))</f>
        <v/>
      </c>
      <c r="F206" s="76"/>
      <c r="G206" s="59" t="str">
        <f aca="false">IF(D206="","",IFERROR(INDEX(식자재단가!$F$4:$F$203,MATCH(D206,식자재단가!$C$4:$C$203,0)),""))</f>
        <v/>
      </c>
      <c r="H206" s="50"/>
      <c r="I206" s="82" t="str">
        <f aca="false">IF(OR(F206="",H206=""),"",F206*H206)</f>
        <v/>
      </c>
      <c r="J206" s="83" t="str">
        <f aca="false">IF(D206="","",IFERROR(INDEX(식자재단가!$M$4:$M$203,MATCH(D206,식자재단가!$C$4:$C$203,0)),"과세"))</f>
        <v/>
      </c>
      <c r="K206" s="28" t="str">
        <f aca="false">IF(I206="","",IF(J206="과세",ROUND(I206*0.1,0),0))</f>
        <v/>
      </c>
      <c r="L206" s="28" t="str">
        <f aca="false">IF(I206="","",I206+K206)</f>
        <v/>
      </c>
      <c r="M206" s="10"/>
      <c r="N206" s="80"/>
      <c r="O206" s="80"/>
      <c r="P206" s="59" t="str">
        <f aca="false">IF(E206="","",IFERROR(INDEX(기본설정!$H$4:$H$14,MATCH(E206,기본설정!$G$4:$G$14,0)),""))</f>
        <v/>
      </c>
    </row>
    <row r="207" customFormat="false" ht="15" hidden="false" customHeight="false" outlineLevel="0" collapsed="false">
      <c r="A207" s="73"/>
      <c r="B207" s="10"/>
      <c r="C207" s="80"/>
      <c r="D207" s="80"/>
      <c r="E207" s="81" t="str">
        <f aca="false">IF(D207="","",IFERROR(INDEX(식자재단가!$B$4:$B$203,MATCH(D207,식자재단가!$C$4:$C$203,0)),""))</f>
        <v/>
      </c>
      <c r="F207" s="76"/>
      <c r="G207" s="59" t="str">
        <f aca="false">IF(D207="","",IFERROR(INDEX(식자재단가!$F$4:$F$203,MATCH(D207,식자재단가!$C$4:$C$203,0)),""))</f>
        <v/>
      </c>
      <c r="H207" s="50"/>
      <c r="I207" s="82" t="str">
        <f aca="false">IF(OR(F207="",H207=""),"",F207*H207)</f>
        <v/>
      </c>
      <c r="J207" s="83" t="str">
        <f aca="false">IF(D207="","",IFERROR(INDEX(식자재단가!$M$4:$M$203,MATCH(D207,식자재단가!$C$4:$C$203,0)),"과세"))</f>
        <v/>
      </c>
      <c r="K207" s="28" t="str">
        <f aca="false">IF(I207="","",IF(J207="과세",ROUND(I207*0.1,0),0))</f>
        <v/>
      </c>
      <c r="L207" s="28" t="str">
        <f aca="false">IF(I207="","",I207+K207)</f>
        <v/>
      </c>
      <c r="M207" s="10"/>
      <c r="N207" s="80"/>
      <c r="O207" s="80"/>
      <c r="P207" s="59" t="str">
        <f aca="false">IF(E207="","",IFERROR(INDEX(기본설정!$H$4:$H$14,MATCH(E207,기본설정!$G$4:$G$14,0)),""))</f>
        <v/>
      </c>
    </row>
    <row r="208" customFormat="false" ht="15" hidden="false" customHeight="false" outlineLevel="0" collapsed="false">
      <c r="A208" s="73"/>
      <c r="B208" s="10"/>
      <c r="C208" s="80"/>
      <c r="D208" s="80"/>
      <c r="E208" s="81" t="str">
        <f aca="false">IF(D208="","",IFERROR(INDEX(식자재단가!$B$4:$B$203,MATCH(D208,식자재단가!$C$4:$C$203,0)),""))</f>
        <v/>
      </c>
      <c r="F208" s="76"/>
      <c r="G208" s="59" t="str">
        <f aca="false">IF(D208="","",IFERROR(INDEX(식자재단가!$F$4:$F$203,MATCH(D208,식자재단가!$C$4:$C$203,0)),""))</f>
        <v/>
      </c>
      <c r="H208" s="50"/>
      <c r="I208" s="82" t="str">
        <f aca="false">IF(OR(F208="",H208=""),"",F208*H208)</f>
        <v/>
      </c>
      <c r="J208" s="83" t="str">
        <f aca="false">IF(D208="","",IFERROR(INDEX(식자재단가!$M$4:$M$203,MATCH(D208,식자재단가!$C$4:$C$203,0)),"과세"))</f>
        <v/>
      </c>
      <c r="K208" s="28" t="str">
        <f aca="false">IF(I208="","",IF(J208="과세",ROUND(I208*0.1,0),0))</f>
        <v/>
      </c>
      <c r="L208" s="28" t="str">
        <f aca="false">IF(I208="","",I208+K208)</f>
        <v/>
      </c>
      <c r="M208" s="10"/>
      <c r="N208" s="80"/>
      <c r="O208" s="80"/>
      <c r="P208" s="59" t="str">
        <f aca="false">IF(E208="","",IFERROR(INDEX(기본설정!$H$4:$H$14,MATCH(E208,기본설정!$G$4:$G$14,0)),""))</f>
        <v/>
      </c>
    </row>
    <row r="209" customFormat="false" ht="15" hidden="false" customHeight="false" outlineLevel="0" collapsed="false">
      <c r="A209" s="73"/>
      <c r="B209" s="10"/>
      <c r="C209" s="80"/>
      <c r="D209" s="80"/>
      <c r="E209" s="81" t="str">
        <f aca="false">IF(D209="","",IFERROR(INDEX(식자재단가!$B$4:$B$203,MATCH(D209,식자재단가!$C$4:$C$203,0)),""))</f>
        <v/>
      </c>
      <c r="F209" s="76"/>
      <c r="G209" s="59" t="str">
        <f aca="false">IF(D209="","",IFERROR(INDEX(식자재단가!$F$4:$F$203,MATCH(D209,식자재단가!$C$4:$C$203,0)),""))</f>
        <v/>
      </c>
      <c r="H209" s="50"/>
      <c r="I209" s="82" t="str">
        <f aca="false">IF(OR(F209="",H209=""),"",F209*H209)</f>
        <v/>
      </c>
      <c r="J209" s="83" t="str">
        <f aca="false">IF(D209="","",IFERROR(INDEX(식자재단가!$M$4:$M$203,MATCH(D209,식자재단가!$C$4:$C$203,0)),"과세"))</f>
        <v/>
      </c>
      <c r="K209" s="28" t="str">
        <f aca="false">IF(I209="","",IF(J209="과세",ROUND(I209*0.1,0),0))</f>
        <v/>
      </c>
      <c r="L209" s="28" t="str">
        <f aca="false">IF(I209="","",I209+K209)</f>
        <v/>
      </c>
      <c r="M209" s="10"/>
      <c r="N209" s="80"/>
      <c r="O209" s="80"/>
      <c r="P209" s="59" t="str">
        <f aca="false">IF(E209="","",IFERROR(INDEX(기본설정!$H$4:$H$14,MATCH(E209,기본설정!$G$4:$G$14,0)),""))</f>
        <v/>
      </c>
    </row>
    <row r="210" customFormat="false" ht="15" hidden="false" customHeight="false" outlineLevel="0" collapsed="false">
      <c r="A210" s="73"/>
      <c r="B210" s="10"/>
      <c r="C210" s="80"/>
      <c r="D210" s="80"/>
      <c r="E210" s="81" t="str">
        <f aca="false">IF(D210="","",IFERROR(INDEX(식자재단가!$B$4:$B$203,MATCH(D210,식자재단가!$C$4:$C$203,0)),""))</f>
        <v/>
      </c>
      <c r="F210" s="76"/>
      <c r="G210" s="59" t="str">
        <f aca="false">IF(D210="","",IFERROR(INDEX(식자재단가!$F$4:$F$203,MATCH(D210,식자재단가!$C$4:$C$203,0)),""))</f>
        <v/>
      </c>
      <c r="H210" s="50"/>
      <c r="I210" s="82" t="str">
        <f aca="false">IF(OR(F210="",H210=""),"",F210*H210)</f>
        <v/>
      </c>
      <c r="J210" s="83" t="str">
        <f aca="false">IF(D210="","",IFERROR(INDEX(식자재단가!$M$4:$M$203,MATCH(D210,식자재단가!$C$4:$C$203,0)),"과세"))</f>
        <v/>
      </c>
      <c r="K210" s="28" t="str">
        <f aca="false">IF(I210="","",IF(J210="과세",ROUND(I210*0.1,0),0))</f>
        <v/>
      </c>
      <c r="L210" s="28" t="str">
        <f aca="false">IF(I210="","",I210+K210)</f>
        <v/>
      </c>
      <c r="M210" s="10"/>
      <c r="N210" s="80"/>
      <c r="O210" s="80"/>
      <c r="P210" s="59" t="str">
        <f aca="false">IF(E210="","",IFERROR(INDEX(기본설정!$H$4:$H$14,MATCH(E210,기본설정!$G$4:$G$14,0)),""))</f>
        <v/>
      </c>
    </row>
    <row r="211" customFormat="false" ht="15" hidden="false" customHeight="false" outlineLevel="0" collapsed="false">
      <c r="A211" s="73"/>
      <c r="B211" s="10"/>
      <c r="C211" s="80"/>
      <c r="D211" s="80"/>
      <c r="E211" s="81" t="str">
        <f aca="false">IF(D211="","",IFERROR(INDEX(식자재단가!$B$4:$B$203,MATCH(D211,식자재단가!$C$4:$C$203,0)),""))</f>
        <v/>
      </c>
      <c r="F211" s="76"/>
      <c r="G211" s="59" t="str">
        <f aca="false">IF(D211="","",IFERROR(INDEX(식자재단가!$F$4:$F$203,MATCH(D211,식자재단가!$C$4:$C$203,0)),""))</f>
        <v/>
      </c>
      <c r="H211" s="50"/>
      <c r="I211" s="82" t="str">
        <f aca="false">IF(OR(F211="",H211=""),"",F211*H211)</f>
        <v/>
      </c>
      <c r="J211" s="83" t="str">
        <f aca="false">IF(D211="","",IFERROR(INDEX(식자재단가!$M$4:$M$203,MATCH(D211,식자재단가!$C$4:$C$203,0)),"과세"))</f>
        <v/>
      </c>
      <c r="K211" s="28" t="str">
        <f aca="false">IF(I211="","",IF(J211="과세",ROUND(I211*0.1,0),0))</f>
        <v/>
      </c>
      <c r="L211" s="28" t="str">
        <f aca="false">IF(I211="","",I211+K211)</f>
        <v/>
      </c>
      <c r="M211" s="10"/>
      <c r="N211" s="80"/>
      <c r="O211" s="80"/>
      <c r="P211" s="59" t="str">
        <f aca="false">IF(E211="","",IFERROR(INDEX(기본설정!$H$4:$H$14,MATCH(E211,기본설정!$G$4:$G$14,0)),""))</f>
        <v/>
      </c>
    </row>
    <row r="212" customFormat="false" ht="15" hidden="false" customHeight="false" outlineLevel="0" collapsed="false">
      <c r="A212" s="73"/>
      <c r="B212" s="10"/>
      <c r="C212" s="80"/>
      <c r="D212" s="80"/>
      <c r="E212" s="81" t="str">
        <f aca="false">IF(D212="","",IFERROR(INDEX(식자재단가!$B$4:$B$203,MATCH(D212,식자재단가!$C$4:$C$203,0)),""))</f>
        <v/>
      </c>
      <c r="F212" s="76"/>
      <c r="G212" s="59" t="str">
        <f aca="false">IF(D212="","",IFERROR(INDEX(식자재단가!$F$4:$F$203,MATCH(D212,식자재단가!$C$4:$C$203,0)),""))</f>
        <v/>
      </c>
      <c r="H212" s="50"/>
      <c r="I212" s="82" t="str">
        <f aca="false">IF(OR(F212="",H212=""),"",F212*H212)</f>
        <v/>
      </c>
      <c r="J212" s="83" t="str">
        <f aca="false">IF(D212="","",IFERROR(INDEX(식자재단가!$M$4:$M$203,MATCH(D212,식자재단가!$C$4:$C$203,0)),"과세"))</f>
        <v/>
      </c>
      <c r="K212" s="28" t="str">
        <f aca="false">IF(I212="","",IF(J212="과세",ROUND(I212*0.1,0),0))</f>
        <v/>
      </c>
      <c r="L212" s="28" t="str">
        <f aca="false">IF(I212="","",I212+K212)</f>
        <v/>
      </c>
      <c r="M212" s="10"/>
      <c r="N212" s="80"/>
      <c r="O212" s="80"/>
      <c r="P212" s="59" t="str">
        <f aca="false">IF(E212="","",IFERROR(INDEX(기본설정!$H$4:$H$14,MATCH(E212,기본설정!$G$4:$G$14,0)),""))</f>
        <v/>
      </c>
    </row>
    <row r="213" customFormat="false" ht="15" hidden="false" customHeight="false" outlineLevel="0" collapsed="false">
      <c r="A213" s="73"/>
      <c r="B213" s="10"/>
      <c r="C213" s="80"/>
      <c r="D213" s="80"/>
      <c r="E213" s="81" t="str">
        <f aca="false">IF(D213="","",IFERROR(INDEX(식자재단가!$B$4:$B$203,MATCH(D213,식자재단가!$C$4:$C$203,0)),""))</f>
        <v/>
      </c>
      <c r="F213" s="76"/>
      <c r="G213" s="59" t="str">
        <f aca="false">IF(D213="","",IFERROR(INDEX(식자재단가!$F$4:$F$203,MATCH(D213,식자재단가!$C$4:$C$203,0)),""))</f>
        <v/>
      </c>
      <c r="H213" s="50"/>
      <c r="I213" s="82" t="str">
        <f aca="false">IF(OR(F213="",H213=""),"",F213*H213)</f>
        <v/>
      </c>
      <c r="J213" s="83" t="str">
        <f aca="false">IF(D213="","",IFERROR(INDEX(식자재단가!$M$4:$M$203,MATCH(D213,식자재단가!$C$4:$C$203,0)),"과세"))</f>
        <v/>
      </c>
      <c r="K213" s="28" t="str">
        <f aca="false">IF(I213="","",IF(J213="과세",ROUND(I213*0.1,0),0))</f>
        <v/>
      </c>
      <c r="L213" s="28" t="str">
        <f aca="false">IF(I213="","",I213+K213)</f>
        <v/>
      </c>
      <c r="M213" s="10"/>
      <c r="N213" s="80"/>
      <c r="O213" s="80"/>
      <c r="P213" s="59" t="str">
        <f aca="false">IF(E213="","",IFERROR(INDEX(기본설정!$H$4:$H$14,MATCH(E213,기본설정!$G$4:$G$14,0)),""))</f>
        <v/>
      </c>
    </row>
    <row r="214" customFormat="false" ht="15" hidden="false" customHeight="false" outlineLevel="0" collapsed="false">
      <c r="A214" s="73"/>
      <c r="B214" s="10"/>
      <c r="C214" s="80"/>
      <c r="D214" s="80"/>
      <c r="E214" s="81" t="str">
        <f aca="false">IF(D214="","",IFERROR(INDEX(식자재단가!$B$4:$B$203,MATCH(D214,식자재단가!$C$4:$C$203,0)),""))</f>
        <v/>
      </c>
      <c r="F214" s="76"/>
      <c r="G214" s="59" t="str">
        <f aca="false">IF(D214="","",IFERROR(INDEX(식자재단가!$F$4:$F$203,MATCH(D214,식자재단가!$C$4:$C$203,0)),""))</f>
        <v/>
      </c>
      <c r="H214" s="50"/>
      <c r="I214" s="82" t="str">
        <f aca="false">IF(OR(F214="",H214=""),"",F214*H214)</f>
        <v/>
      </c>
      <c r="J214" s="83" t="str">
        <f aca="false">IF(D214="","",IFERROR(INDEX(식자재단가!$M$4:$M$203,MATCH(D214,식자재단가!$C$4:$C$203,0)),"과세"))</f>
        <v/>
      </c>
      <c r="K214" s="28" t="str">
        <f aca="false">IF(I214="","",IF(J214="과세",ROUND(I214*0.1,0),0))</f>
        <v/>
      </c>
      <c r="L214" s="28" t="str">
        <f aca="false">IF(I214="","",I214+K214)</f>
        <v/>
      </c>
      <c r="M214" s="10"/>
      <c r="N214" s="80"/>
      <c r="O214" s="80"/>
      <c r="P214" s="59" t="str">
        <f aca="false">IF(E214="","",IFERROR(INDEX(기본설정!$H$4:$H$14,MATCH(E214,기본설정!$G$4:$G$14,0)),""))</f>
        <v/>
      </c>
    </row>
    <row r="215" customFormat="false" ht="15" hidden="false" customHeight="false" outlineLevel="0" collapsed="false">
      <c r="A215" s="73"/>
      <c r="B215" s="10"/>
      <c r="C215" s="80"/>
      <c r="D215" s="80"/>
      <c r="E215" s="81" t="str">
        <f aca="false">IF(D215="","",IFERROR(INDEX(식자재단가!$B$4:$B$203,MATCH(D215,식자재단가!$C$4:$C$203,0)),""))</f>
        <v/>
      </c>
      <c r="F215" s="76"/>
      <c r="G215" s="59" t="str">
        <f aca="false">IF(D215="","",IFERROR(INDEX(식자재단가!$F$4:$F$203,MATCH(D215,식자재단가!$C$4:$C$203,0)),""))</f>
        <v/>
      </c>
      <c r="H215" s="50"/>
      <c r="I215" s="82" t="str">
        <f aca="false">IF(OR(F215="",H215=""),"",F215*H215)</f>
        <v/>
      </c>
      <c r="J215" s="83" t="str">
        <f aca="false">IF(D215="","",IFERROR(INDEX(식자재단가!$M$4:$M$203,MATCH(D215,식자재단가!$C$4:$C$203,0)),"과세"))</f>
        <v/>
      </c>
      <c r="K215" s="28" t="str">
        <f aca="false">IF(I215="","",IF(J215="과세",ROUND(I215*0.1,0),0))</f>
        <v/>
      </c>
      <c r="L215" s="28" t="str">
        <f aca="false">IF(I215="","",I215+K215)</f>
        <v/>
      </c>
      <c r="M215" s="10"/>
      <c r="N215" s="80"/>
      <c r="O215" s="80"/>
      <c r="P215" s="59" t="str">
        <f aca="false">IF(E215="","",IFERROR(INDEX(기본설정!$H$4:$H$14,MATCH(E215,기본설정!$G$4:$G$14,0)),""))</f>
        <v/>
      </c>
    </row>
    <row r="216" customFormat="false" ht="15" hidden="false" customHeight="false" outlineLevel="0" collapsed="false">
      <c r="A216" s="73"/>
      <c r="B216" s="10"/>
      <c r="C216" s="80"/>
      <c r="D216" s="80"/>
      <c r="E216" s="81" t="str">
        <f aca="false">IF(D216="","",IFERROR(INDEX(식자재단가!$B$4:$B$203,MATCH(D216,식자재단가!$C$4:$C$203,0)),""))</f>
        <v/>
      </c>
      <c r="F216" s="76"/>
      <c r="G216" s="59" t="str">
        <f aca="false">IF(D216="","",IFERROR(INDEX(식자재단가!$F$4:$F$203,MATCH(D216,식자재단가!$C$4:$C$203,0)),""))</f>
        <v/>
      </c>
      <c r="H216" s="50"/>
      <c r="I216" s="82" t="str">
        <f aca="false">IF(OR(F216="",H216=""),"",F216*H216)</f>
        <v/>
      </c>
      <c r="J216" s="83" t="str">
        <f aca="false">IF(D216="","",IFERROR(INDEX(식자재단가!$M$4:$M$203,MATCH(D216,식자재단가!$C$4:$C$203,0)),"과세"))</f>
        <v/>
      </c>
      <c r="K216" s="28" t="str">
        <f aca="false">IF(I216="","",IF(J216="과세",ROUND(I216*0.1,0),0))</f>
        <v/>
      </c>
      <c r="L216" s="28" t="str">
        <f aca="false">IF(I216="","",I216+K216)</f>
        <v/>
      </c>
      <c r="M216" s="10"/>
      <c r="N216" s="80"/>
      <c r="O216" s="80"/>
      <c r="P216" s="59" t="str">
        <f aca="false">IF(E216="","",IFERROR(INDEX(기본설정!$H$4:$H$14,MATCH(E216,기본설정!$G$4:$G$14,0)),""))</f>
        <v/>
      </c>
    </row>
    <row r="217" customFormat="false" ht="15" hidden="false" customHeight="false" outlineLevel="0" collapsed="false">
      <c r="A217" s="73"/>
      <c r="B217" s="10"/>
      <c r="C217" s="80"/>
      <c r="D217" s="80"/>
      <c r="E217" s="81" t="str">
        <f aca="false">IF(D217="","",IFERROR(INDEX(식자재단가!$B$4:$B$203,MATCH(D217,식자재단가!$C$4:$C$203,0)),""))</f>
        <v/>
      </c>
      <c r="F217" s="76"/>
      <c r="G217" s="59" t="str">
        <f aca="false">IF(D217="","",IFERROR(INDEX(식자재단가!$F$4:$F$203,MATCH(D217,식자재단가!$C$4:$C$203,0)),""))</f>
        <v/>
      </c>
      <c r="H217" s="50"/>
      <c r="I217" s="82" t="str">
        <f aca="false">IF(OR(F217="",H217=""),"",F217*H217)</f>
        <v/>
      </c>
      <c r="J217" s="83" t="str">
        <f aca="false">IF(D217="","",IFERROR(INDEX(식자재단가!$M$4:$M$203,MATCH(D217,식자재단가!$C$4:$C$203,0)),"과세"))</f>
        <v/>
      </c>
      <c r="K217" s="28" t="str">
        <f aca="false">IF(I217="","",IF(J217="과세",ROUND(I217*0.1,0),0))</f>
        <v/>
      </c>
      <c r="L217" s="28" t="str">
        <f aca="false">IF(I217="","",I217+K217)</f>
        <v/>
      </c>
      <c r="M217" s="10"/>
      <c r="N217" s="80"/>
      <c r="O217" s="80"/>
      <c r="P217" s="59" t="str">
        <f aca="false">IF(E217="","",IFERROR(INDEX(기본설정!$H$4:$H$14,MATCH(E217,기본설정!$G$4:$G$14,0)),""))</f>
        <v/>
      </c>
    </row>
    <row r="218" customFormat="false" ht="15" hidden="false" customHeight="false" outlineLevel="0" collapsed="false">
      <c r="A218" s="73"/>
      <c r="B218" s="10"/>
      <c r="C218" s="80"/>
      <c r="D218" s="80"/>
      <c r="E218" s="81" t="str">
        <f aca="false">IF(D218="","",IFERROR(INDEX(식자재단가!$B$4:$B$203,MATCH(D218,식자재단가!$C$4:$C$203,0)),""))</f>
        <v/>
      </c>
      <c r="F218" s="76"/>
      <c r="G218" s="59" t="str">
        <f aca="false">IF(D218="","",IFERROR(INDEX(식자재단가!$F$4:$F$203,MATCH(D218,식자재단가!$C$4:$C$203,0)),""))</f>
        <v/>
      </c>
      <c r="H218" s="50"/>
      <c r="I218" s="82" t="str">
        <f aca="false">IF(OR(F218="",H218=""),"",F218*H218)</f>
        <v/>
      </c>
      <c r="J218" s="83" t="str">
        <f aca="false">IF(D218="","",IFERROR(INDEX(식자재단가!$M$4:$M$203,MATCH(D218,식자재단가!$C$4:$C$203,0)),"과세"))</f>
        <v/>
      </c>
      <c r="K218" s="28" t="str">
        <f aca="false">IF(I218="","",IF(J218="과세",ROUND(I218*0.1,0),0))</f>
        <v/>
      </c>
      <c r="L218" s="28" t="str">
        <f aca="false">IF(I218="","",I218+K218)</f>
        <v/>
      </c>
      <c r="M218" s="10"/>
      <c r="N218" s="80"/>
      <c r="O218" s="80"/>
      <c r="P218" s="59" t="str">
        <f aca="false">IF(E218="","",IFERROR(INDEX(기본설정!$H$4:$H$14,MATCH(E218,기본설정!$G$4:$G$14,0)),""))</f>
        <v/>
      </c>
    </row>
    <row r="219" customFormat="false" ht="15" hidden="false" customHeight="false" outlineLevel="0" collapsed="false">
      <c r="A219" s="73"/>
      <c r="B219" s="10"/>
      <c r="C219" s="80"/>
      <c r="D219" s="80"/>
      <c r="E219" s="81" t="str">
        <f aca="false">IF(D219="","",IFERROR(INDEX(식자재단가!$B$4:$B$203,MATCH(D219,식자재단가!$C$4:$C$203,0)),""))</f>
        <v/>
      </c>
      <c r="F219" s="76"/>
      <c r="G219" s="59" t="str">
        <f aca="false">IF(D219="","",IFERROR(INDEX(식자재단가!$F$4:$F$203,MATCH(D219,식자재단가!$C$4:$C$203,0)),""))</f>
        <v/>
      </c>
      <c r="H219" s="50"/>
      <c r="I219" s="82" t="str">
        <f aca="false">IF(OR(F219="",H219=""),"",F219*H219)</f>
        <v/>
      </c>
      <c r="J219" s="83" t="str">
        <f aca="false">IF(D219="","",IFERROR(INDEX(식자재단가!$M$4:$M$203,MATCH(D219,식자재단가!$C$4:$C$203,0)),"과세"))</f>
        <v/>
      </c>
      <c r="K219" s="28" t="str">
        <f aca="false">IF(I219="","",IF(J219="과세",ROUND(I219*0.1,0),0))</f>
        <v/>
      </c>
      <c r="L219" s="28" t="str">
        <f aca="false">IF(I219="","",I219+K219)</f>
        <v/>
      </c>
      <c r="M219" s="10"/>
      <c r="N219" s="80"/>
      <c r="O219" s="80"/>
      <c r="P219" s="59" t="str">
        <f aca="false">IF(E219="","",IFERROR(INDEX(기본설정!$H$4:$H$14,MATCH(E219,기본설정!$G$4:$G$14,0)),""))</f>
        <v/>
      </c>
    </row>
    <row r="220" customFormat="false" ht="15" hidden="false" customHeight="false" outlineLevel="0" collapsed="false">
      <c r="A220" s="73"/>
      <c r="B220" s="10"/>
      <c r="C220" s="80"/>
      <c r="D220" s="80"/>
      <c r="E220" s="81" t="str">
        <f aca="false">IF(D220="","",IFERROR(INDEX(식자재단가!$B$4:$B$203,MATCH(D220,식자재단가!$C$4:$C$203,0)),""))</f>
        <v/>
      </c>
      <c r="F220" s="76"/>
      <c r="G220" s="59" t="str">
        <f aca="false">IF(D220="","",IFERROR(INDEX(식자재단가!$F$4:$F$203,MATCH(D220,식자재단가!$C$4:$C$203,0)),""))</f>
        <v/>
      </c>
      <c r="H220" s="50"/>
      <c r="I220" s="82" t="str">
        <f aca="false">IF(OR(F220="",H220=""),"",F220*H220)</f>
        <v/>
      </c>
      <c r="J220" s="83" t="str">
        <f aca="false">IF(D220="","",IFERROR(INDEX(식자재단가!$M$4:$M$203,MATCH(D220,식자재단가!$C$4:$C$203,0)),"과세"))</f>
        <v/>
      </c>
      <c r="K220" s="28" t="str">
        <f aca="false">IF(I220="","",IF(J220="과세",ROUND(I220*0.1,0),0))</f>
        <v/>
      </c>
      <c r="L220" s="28" t="str">
        <f aca="false">IF(I220="","",I220+K220)</f>
        <v/>
      </c>
      <c r="M220" s="10"/>
      <c r="N220" s="80"/>
      <c r="O220" s="80"/>
      <c r="P220" s="59" t="str">
        <f aca="false">IF(E220="","",IFERROR(INDEX(기본설정!$H$4:$H$14,MATCH(E220,기본설정!$G$4:$G$14,0)),""))</f>
        <v/>
      </c>
    </row>
    <row r="221" customFormat="false" ht="15" hidden="false" customHeight="false" outlineLevel="0" collapsed="false">
      <c r="A221" s="73"/>
      <c r="B221" s="10"/>
      <c r="C221" s="80"/>
      <c r="D221" s="80"/>
      <c r="E221" s="81" t="str">
        <f aca="false">IF(D221="","",IFERROR(INDEX(식자재단가!$B$4:$B$203,MATCH(D221,식자재단가!$C$4:$C$203,0)),""))</f>
        <v/>
      </c>
      <c r="F221" s="76"/>
      <c r="G221" s="59" t="str">
        <f aca="false">IF(D221="","",IFERROR(INDEX(식자재단가!$F$4:$F$203,MATCH(D221,식자재단가!$C$4:$C$203,0)),""))</f>
        <v/>
      </c>
      <c r="H221" s="50"/>
      <c r="I221" s="82" t="str">
        <f aca="false">IF(OR(F221="",H221=""),"",F221*H221)</f>
        <v/>
      </c>
      <c r="J221" s="83" t="str">
        <f aca="false">IF(D221="","",IFERROR(INDEX(식자재단가!$M$4:$M$203,MATCH(D221,식자재단가!$C$4:$C$203,0)),"과세"))</f>
        <v/>
      </c>
      <c r="K221" s="28" t="str">
        <f aca="false">IF(I221="","",IF(J221="과세",ROUND(I221*0.1,0),0))</f>
        <v/>
      </c>
      <c r="L221" s="28" t="str">
        <f aca="false">IF(I221="","",I221+K221)</f>
        <v/>
      </c>
      <c r="M221" s="10"/>
      <c r="N221" s="80"/>
      <c r="O221" s="80"/>
      <c r="P221" s="59" t="str">
        <f aca="false">IF(E221="","",IFERROR(INDEX(기본설정!$H$4:$H$14,MATCH(E221,기본설정!$G$4:$G$14,0)),""))</f>
        <v/>
      </c>
    </row>
    <row r="222" customFormat="false" ht="15" hidden="false" customHeight="false" outlineLevel="0" collapsed="false">
      <c r="A222" s="73"/>
      <c r="B222" s="10"/>
      <c r="C222" s="80"/>
      <c r="D222" s="80"/>
      <c r="E222" s="81" t="str">
        <f aca="false">IF(D222="","",IFERROR(INDEX(식자재단가!$B$4:$B$203,MATCH(D222,식자재단가!$C$4:$C$203,0)),""))</f>
        <v/>
      </c>
      <c r="F222" s="76"/>
      <c r="G222" s="59" t="str">
        <f aca="false">IF(D222="","",IFERROR(INDEX(식자재단가!$F$4:$F$203,MATCH(D222,식자재단가!$C$4:$C$203,0)),""))</f>
        <v/>
      </c>
      <c r="H222" s="50"/>
      <c r="I222" s="82" t="str">
        <f aca="false">IF(OR(F222="",H222=""),"",F222*H222)</f>
        <v/>
      </c>
      <c r="J222" s="83" t="str">
        <f aca="false">IF(D222="","",IFERROR(INDEX(식자재단가!$M$4:$M$203,MATCH(D222,식자재단가!$C$4:$C$203,0)),"과세"))</f>
        <v/>
      </c>
      <c r="K222" s="28" t="str">
        <f aca="false">IF(I222="","",IF(J222="과세",ROUND(I222*0.1,0),0))</f>
        <v/>
      </c>
      <c r="L222" s="28" t="str">
        <f aca="false">IF(I222="","",I222+K222)</f>
        <v/>
      </c>
      <c r="M222" s="10"/>
      <c r="N222" s="80"/>
      <c r="O222" s="80"/>
      <c r="P222" s="59" t="str">
        <f aca="false">IF(E222="","",IFERROR(INDEX(기본설정!$H$4:$H$14,MATCH(E222,기본설정!$G$4:$G$14,0)),""))</f>
        <v/>
      </c>
    </row>
    <row r="223" customFormat="false" ht="15" hidden="false" customHeight="false" outlineLevel="0" collapsed="false">
      <c r="A223" s="73"/>
      <c r="B223" s="10"/>
      <c r="C223" s="80"/>
      <c r="D223" s="80"/>
      <c r="E223" s="81" t="str">
        <f aca="false">IF(D223="","",IFERROR(INDEX(식자재단가!$B$4:$B$203,MATCH(D223,식자재단가!$C$4:$C$203,0)),""))</f>
        <v/>
      </c>
      <c r="F223" s="76"/>
      <c r="G223" s="59" t="str">
        <f aca="false">IF(D223="","",IFERROR(INDEX(식자재단가!$F$4:$F$203,MATCH(D223,식자재단가!$C$4:$C$203,0)),""))</f>
        <v/>
      </c>
      <c r="H223" s="50"/>
      <c r="I223" s="82" t="str">
        <f aca="false">IF(OR(F223="",H223=""),"",F223*H223)</f>
        <v/>
      </c>
      <c r="J223" s="83" t="str">
        <f aca="false">IF(D223="","",IFERROR(INDEX(식자재단가!$M$4:$M$203,MATCH(D223,식자재단가!$C$4:$C$203,0)),"과세"))</f>
        <v/>
      </c>
      <c r="K223" s="28" t="str">
        <f aca="false">IF(I223="","",IF(J223="과세",ROUND(I223*0.1,0),0))</f>
        <v/>
      </c>
      <c r="L223" s="28" t="str">
        <f aca="false">IF(I223="","",I223+K223)</f>
        <v/>
      </c>
      <c r="M223" s="10"/>
      <c r="N223" s="80"/>
      <c r="O223" s="80"/>
      <c r="P223" s="59" t="str">
        <f aca="false">IF(E223="","",IFERROR(INDEX(기본설정!$H$4:$H$14,MATCH(E223,기본설정!$G$4:$G$14,0)),""))</f>
        <v/>
      </c>
    </row>
    <row r="224" customFormat="false" ht="15" hidden="false" customHeight="false" outlineLevel="0" collapsed="false">
      <c r="A224" s="73"/>
      <c r="B224" s="10"/>
      <c r="C224" s="80"/>
      <c r="D224" s="80"/>
      <c r="E224" s="81" t="str">
        <f aca="false">IF(D224="","",IFERROR(INDEX(식자재단가!$B$4:$B$203,MATCH(D224,식자재단가!$C$4:$C$203,0)),""))</f>
        <v/>
      </c>
      <c r="F224" s="76"/>
      <c r="G224" s="59" t="str">
        <f aca="false">IF(D224="","",IFERROR(INDEX(식자재단가!$F$4:$F$203,MATCH(D224,식자재단가!$C$4:$C$203,0)),""))</f>
        <v/>
      </c>
      <c r="H224" s="50"/>
      <c r="I224" s="82" t="str">
        <f aca="false">IF(OR(F224="",H224=""),"",F224*H224)</f>
        <v/>
      </c>
      <c r="J224" s="83" t="str">
        <f aca="false">IF(D224="","",IFERROR(INDEX(식자재단가!$M$4:$M$203,MATCH(D224,식자재단가!$C$4:$C$203,0)),"과세"))</f>
        <v/>
      </c>
      <c r="K224" s="28" t="str">
        <f aca="false">IF(I224="","",IF(J224="과세",ROUND(I224*0.1,0),0))</f>
        <v/>
      </c>
      <c r="L224" s="28" t="str">
        <f aca="false">IF(I224="","",I224+K224)</f>
        <v/>
      </c>
      <c r="M224" s="10"/>
      <c r="N224" s="80"/>
      <c r="O224" s="80"/>
      <c r="P224" s="59" t="str">
        <f aca="false">IF(E224="","",IFERROR(INDEX(기본설정!$H$4:$H$14,MATCH(E224,기본설정!$G$4:$G$14,0)),""))</f>
        <v/>
      </c>
    </row>
    <row r="225" customFormat="false" ht="15" hidden="false" customHeight="false" outlineLevel="0" collapsed="false">
      <c r="A225" s="73"/>
      <c r="B225" s="10"/>
      <c r="C225" s="80"/>
      <c r="D225" s="80"/>
      <c r="E225" s="81" t="str">
        <f aca="false">IF(D225="","",IFERROR(INDEX(식자재단가!$B$4:$B$203,MATCH(D225,식자재단가!$C$4:$C$203,0)),""))</f>
        <v/>
      </c>
      <c r="F225" s="76"/>
      <c r="G225" s="59" t="str">
        <f aca="false">IF(D225="","",IFERROR(INDEX(식자재단가!$F$4:$F$203,MATCH(D225,식자재단가!$C$4:$C$203,0)),""))</f>
        <v/>
      </c>
      <c r="H225" s="50"/>
      <c r="I225" s="82" t="str">
        <f aca="false">IF(OR(F225="",H225=""),"",F225*H225)</f>
        <v/>
      </c>
      <c r="J225" s="83" t="str">
        <f aca="false">IF(D225="","",IFERROR(INDEX(식자재단가!$M$4:$M$203,MATCH(D225,식자재단가!$C$4:$C$203,0)),"과세"))</f>
        <v/>
      </c>
      <c r="K225" s="28" t="str">
        <f aca="false">IF(I225="","",IF(J225="과세",ROUND(I225*0.1,0),0))</f>
        <v/>
      </c>
      <c r="L225" s="28" t="str">
        <f aca="false">IF(I225="","",I225+K225)</f>
        <v/>
      </c>
      <c r="M225" s="10"/>
      <c r="N225" s="80"/>
      <c r="O225" s="80"/>
      <c r="P225" s="59" t="str">
        <f aca="false">IF(E225="","",IFERROR(INDEX(기본설정!$H$4:$H$14,MATCH(E225,기본설정!$G$4:$G$14,0)),""))</f>
        <v/>
      </c>
    </row>
    <row r="226" customFormat="false" ht="15" hidden="false" customHeight="false" outlineLevel="0" collapsed="false">
      <c r="A226" s="73"/>
      <c r="B226" s="10"/>
      <c r="C226" s="80"/>
      <c r="D226" s="80"/>
      <c r="E226" s="81" t="str">
        <f aca="false">IF(D226="","",IFERROR(INDEX(식자재단가!$B$4:$B$203,MATCH(D226,식자재단가!$C$4:$C$203,0)),""))</f>
        <v/>
      </c>
      <c r="F226" s="76"/>
      <c r="G226" s="59" t="str">
        <f aca="false">IF(D226="","",IFERROR(INDEX(식자재단가!$F$4:$F$203,MATCH(D226,식자재단가!$C$4:$C$203,0)),""))</f>
        <v/>
      </c>
      <c r="H226" s="50"/>
      <c r="I226" s="82" t="str">
        <f aca="false">IF(OR(F226="",H226=""),"",F226*H226)</f>
        <v/>
      </c>
      <c r="J226" s="83" t="str">
        <f aca="false">IF(D226="","",IFERROR(INDEX(식자재단가!$M$4:$M$203,MATCH(D226,식자재단가!$C$4:$C$203,0)),"과세"))</f>
        <v/>
      </c>
      <c r="K226" s="28" t="str">
        <f aca="false">IF(I226="","",IF(J226="과세",ROUND(I226*0.1,0),0))</f>
        <v/>
      </c>
      <c r="L226" s="28" t="str">
        <f aca="false">IF(I226="","",I226+K226)</f>
        <v/>
      </c>
      <c r="M226" s="10"/>
      <c r="N226" s="80"/>
      <c r="O226" s="80"/>
      <c r="P226" s="59" t="str">
        <f aca="false">IF(E226="","",IFERROR(INDEX(기본설정!$H$4:$H$14,MATCH(E226,기본설정!$G$4:$G$14,0)),""))</f>
        <v/>
      </c>
    </row>
    <row r="227" customFormat="false" ht="15" hidden="false" customHeight="false" outlineLevel="0" collapsed="false">
      <c r="A227" s="73"/>
      <c r="B227" s="10"/>
      <c r="C227" s="80"/>
      <c r="D227" s="80"/>
      <c r="E227" s="81" t="str">
        <f aca="false">IF(D227="","",IFERROR(INDEX(식자재단가!$B$4:$B$203,MATCH(D227,식자재단가!$C$4:$C$203,0)),""))</f>
        <v/>
      </c>
      <c r="F227" s="76"/>
      <c r="G227" s="59" t="str">
        <f aca="false">IF(D227="","",IFERROR(INDEX(식자재단가!$F$4:$F$203,MATCH(D227,식자재단가!$C$4:$C$203,0)),""))</f>
        <v/>
      </c>
      <c r="H227" s="50"/>
      <c r="I227" s="82" t="str">
        <f aca="false">IF(OR(F227="",H227=""),"",F227*H227)</f>
        <v/>
      </c>
      <c r="J227" s="83" t="str">
        <f aca="false">IF(D227="","",IFERROR(INDEX(식자재단가!$M$4:$M$203,MATCH(D227,식자재단가!$C$4:$C$203,0)),"과세"))</f>
        <v/>
      </c>
      <c r="K227" s="28" t="str">
        <f aca="false">IF(I227="","",IF(J227="과세",ROUND(I227*0.1,0),0))</f>
        <v/>
      </c>
      <c r="L227" s="28" t="str">
        <f aca="false">IF(I227="","",I227+K227)</f>
        <v/>
      </c>
      <c r="M227" s="10"/>
      <c r="N227" s="80"/>
      <c r="O227" s="80"/>
      <c r="P227" s="59" t="str">
        <f aca="false">IF(E227="","",IFERROR(INDEX(기본설정!$H$4:$H$14,MATCH(E227,기본설정!$G$4:$G$14,0)),""))</f>
        <v/>
      </c>
    </row>
    <row r="228" customFormat="false" ht="15" hidden="false" customHeight="false" outlineLevel="0" collapsed="false">
      <c r="A228" s="73"/>
      <c r="B228" s="10"/>
      <c r="C228" s="80"/>
      <c r="D228" s="80"/>
      <c r="E228" s="81" t="str">
        <f aca="false">IF(D228="","",IFERROR(INDEX(식자재단가!$B$4:$B$203,MATCH(D228,식자재단가!$C$4:$C$203,0)),""))</f>
        <v/>
      </c>
      <c r="F228" s="76"/>
      <c r="G228" s="59" t="str">
        <f aca="false">IF(D228="","",IFERROR(INDEX(식자재단가!$F$4:$F$203,MATCH(D228,식자재단가!$C$4:$C$203,0)),""))</f>
        <v/>
      </c>
      <c r="H228" s="50"/>
      <c r="I228" s="82" t="str">
        <f aca="false">IF(OR(F228="",H228=""),"",F228*H228)</f>
        <v/>
      </c>
      <c r="J228" s="83" t="str">
        <f aca="false">IF(D228="","",IFERROR(INDEX(식자재단가!$M$4:$M$203,MATCH(D228,식자재단가!$C$4:$C$203,0)),"과세"))</f>
        <v/>
      </c>
      <c r="K228" s="28" t="str">
        <f aca="false">IF(I228="","",IF(J228="과세",ROUND(I228*0.1,0),0))</f>
        <v/>
      </c>
      <c r="L228" s="28" t="str">
        <f aca="false">IF(I228="","",I228+K228)</f>
        <v/>
      </c>
      <c r="M228" s="10"/>
      <c r="N228" s="80"/>
      <c r="O228" s="80"/>
      <c r="P228" s="59" t="str">
        <f aca="false">IF(E228="","",IFERROR(INDEX(기본설정!$H$4:$H$14,MATCH(E228,기본설정!$G$4:$G$14,0)),""))</f>
        <v/>
      </c>
    </row>
    <row r="229" customFormat="false" ht="15" hidden="false" customHeight="false" outlineLevel="0" collapsed="false">
      <c r="A229" s="73"/>
      <c r="B229" s="10"/>
      <c r="C229" s="80"/>
      <c r="D229" s="80"/>
      <c r="E229" s="81" t="str">
        <f aca="false">IF(D229="","",IFERROR(INDEX(식자재단가!$B$4:$B$203,MATCH(D229,식자재단가!$C$4:$C$203,0)),""))</f>
        <v/>
      </c>
      <c r="F229" s="76"/>
      <c r="G229" s="59" t="str">
        <f aca="false">IF(D229="","",IFERROR(INDEX(식자재단가!$F$4:$F$203,MATCH(D229,식자재단가!$C$4:$C$203,0)),""))</f>
        <v/>
      </c>
      <c r="H229" s="50"/>
      <c r="I229" s="82" t="str">
        <f aca="false">IF(OR(F229="",H229=""),"",F229*H229)</f>
        <v/>
      </c>
      <c r="J229" s="83" t="str">
        <f aca="false">IF(D229="","",IFERROR(INDEX(식자재단가!$M$4:$M$203,MATCH(D229,식자재단가!$C$4:$C$203,0)),"과세"))</f>
        <v/>
      </c>
      <c r="K229" s="28" t="str">
        <f aca="false">IF(I229="","",IF(J229="과세",ROUND(I229*0.1,0),0))</f>
        <v/>
      </c>
      <c r="L229" s="28" t="str">
        <f aca="false">IF(I229="","",I229+K229)</f>
        <v/>
      </c>
      <c r="M229" s="10"/>
      <c r="N229" s="80"/>
      <c r="O229" s="80"/>
      <c r="P229" s="59" t="str">
        <f aca="false">IF(E229="","",IFERROR(INDEX(기본설정!$H$4:$H$14,MATCH(E229,기본설정!$G$4:$G$14,0)),""))</f>
        <v/>
      </c>
    </row>
    <row r="230" customFormat="false" ht="15" hidden="false" customHeight="false" outlineLevel="0" collapsed="false">
      <c r="A230" s="73"/>
      <c r="B230" s="10"/>
      <c r="C230" s="80"/>
      <c r="D230" s="80"/>
      <c r="E230" s="81" t="str">
        <f aca="false">IF(D230="","",IFERROR(INDEX(식자재단가!$B$4:$B$203,MATCH(D230,식자재단가!$C$4:$C$203,0)),""))</f>
        <v/>
      </c>
      <c r="F230" s="76"/>
      <c r="G230" s="59" t="str">
        <f aca="false">IF(D230="","",IFERROR(INDEX(식자재단가!$F$4:$F$203,MATCH(D230,식자재단가!$C$4:$C$203,0)),""))</f>
        <v/>
      </c>
      <c r="H230" s="50"/>
      <c r="I230" s="82" t="str">
        <f aca="false">IF(OR(F230="",H230=""),"",F230*H230)</f>
        <v/>
      </c>
      <c r="J230" s="83" t="str">
        <f aca="false">IF(D230="","",IFERROR(INDEX(식자재단가!$M$4:$M$203,MATCH(D230,식자재단가!$C$4:$C$203,0)),"과세"))</f>
        <v/>
      </c>
      <c r="K230" s="28" t="str">
        <f aca="false">IF(I230="","",IF(J230="과세",ROUND(I230*0.1,0),0))</f>
        <v/>
      </c>
      <c r="L230" s="28" t="str">
        <f aca="false">IF(I230="","",I230+K230)</f>
        <v/>
      </c>
      <c r="M230" s="10"/>
      <c r="N230" s="80"/>
      <c r="O230" s="80"/>
      <c r="P230" s="59" t="str">
        <f aca="false">IF(E230="","",IFERROR(INDEX(기본설정!$H$4:$H$14,MATCH(E230,기본설정!$G$4:$G$14,0)),""))</f>
        <v/>
      </c>
    </row>
    <row r="231" customFormat="false" ht="15" hidden="false" customHeight="false" outlineLevel="0" collapsed="false">
      <c r="A231" s="73"/>
      <c r="B231" s="10"/>
      <c r="C231" s="80"/>
      <c r="D231" s="80"/>
      <c r="E231" s="81" t="str">
        <f aca="false">IF(D231="","",IFERROR(INDEX(식자재단가!$B$4:$B$203,MATCH(D231,식자재단가!$C$4:$C$203,0)),""))</f>
        <v/>
      </c>
      <c r="F231" s="76"/>
      <c r="G231" s="59" t="str">
        <f aca="false">IF(D231="","",IFERROR(INDEX(식자재단가!$F$4:$F$203,MATCH(D231,식자재단가!$C$4:$C$203,0)),""))</f>
        <v/>
      </c>
      <c r="H231" s="50"/>
      <c r="I231" s="82" t="str">
        <f aca="false">IF(OR(F231="",H231=""),"",F231*H231)</f>
        <v/>
      </c>
      <c r="J231" s="83" t="str">
        <f aca="false">IF(D231="","",IFERROR(INDEX(식자재단가!$M$4:$M$203,MATCH(D231,식자재단가!$C$4:$C$203,0)),"과세"))</f>
        <v/>
      </c>
      <c r="K231" s="28" t="str">
        <f aca="false">IF(I231="","",IF(J231="과세",ROUND(I231*0.1,0),0))</f>
        <v/>
      </c>
      <c r="L231" s="28" t="str">
        <f aca="false">IF(I231="","",I231+K231)</f>
        <v/>
      </c>
      <c r="M231" s="10"/>
      <c r="N231" s="80"/>
      <c r="O231" s="80"/>
      <c r="P231" s="59" t="str">
        <f aca="false">IF(E231="","",IFERROR(INDEX(기본설정!$H$4:$H$14,MATCH(E231,기본설정!$G$4:$G$14,0)),""))</f>
        <v/>
      </c>
    </row>
    <row r="232" customFormat="false" ht="15" hidden="false" customHeight="false" outlineLevel="0" collapsed="false">
      <c r="A232" s="73"/>
      <c r="B232" s="10"/>
      <c r="C232" s="80"/>
      <c r="D232" s="80"/>
      <c r="E232" s="81" t="str">
        <f aca="false">IF(D232="","",IFERROR(INDEX(식자재단가!$B$4:$B$203,MATCH(D232,식자재단가!$C$4:$C$203,0)),""))</f>
        <v/>
      </c>
      <c r="F232" s="76"/>
      <c r="G232" s="59" t="str">
        <f aca="false">IF(D232="","",IFERROR(INDEX(식자재단가!$F$4:$F$203,MATCH(D232,식자재단가!$C$4:$C$203,0)),""))</f>
        <v/>
      </c>
      <c r="H232" s="50"/>
      <c r="I232" s="82" t="str">
        <f aca="false">IF(OR(F232="",H232=""),"",F232*H232)</f>
        <v/>
      </c>
      <c r="J232" s="83" t="str">
        <f aca="false">IF(D232="","",IFERROR(INDEX(식자재단가!$M$4:$M$203,MATCH(D232,식자재단가!$C$4:$C$203,0)),"과세"))</f>
        <v/>
      </c>
      <c r="K232" s="28" t="str">
        <f aca="false">IF(I232="","",IF(J232="과세",ROUND(I232*0.1,0),0))</f>
        <v/>
      </c>
      <c r="L232" s="28" t="str">
        <f aca="false">IF(I232="","",I232+K232)</f>
        <v/>
      </c>
      <c r="M232" s="10"/>
      <c r="N232" s="80"/>
      <c r="O232" s="80"/>
      <c r="P232" s="59" t="str">
        <f aca="false">IF(E232="","",IFERROR(INDEX(기본설정!$H$4:$H$14,MATCH(E232,기본설정!$G$4:$G$14,0)),""))</f>
        <v/>
      </c>
    </row>
    <row r="233" customFormat="false" ht="15" hidden="false" customHeight="false" outlineLevel="0" collapsed="false">
      <c r="A233" s="73"/>
      <c r="B233" s="10"/>
      <c r="C233" s="80"/>
      <c r="D233" s="80"/>
      <c r="E233" s="81" t="str">
        <f aca="false">IF(D233="","",IFERROR(INDEX(식자재단가!$B$4:$B$203,MATCH(D233,식자재단가!$C$4:$C$203,0)),""))</f>
        <v/>
      </c>
      <c r="F233" s="76"/>
      <c r="G233" s="59" t="str">
        <f aca="false">IF(D233="","",IFERROR(INDEX(식자재단가!$F$4:$F$203,MATCH(D233,식자재단가!$C$4:$C$203,0)),""))</f>
        <v/>
      </c>
      <c r="H233" s="50"/>
      <c r="I233" s="82" t="str">
        <f aca="false">IF(OR(F233="",H233=""),"",F233*H233)</f>
        <v/>
      </c>
      <c r="J233" s="83" t="str">
        <f aca="false">IF(D233="","",IFERROR(INDEX(식자재단가!$M$4:$M$203,MATCH(D233,식자재단가!$C$4:$C$203,0)),"과세"))</f>
        <v/>
      </c>
      <c r="K233" s="28" t="str">
        <f aca="false">IF(I233="","",IF(J233="과세",ROUND(I233*0.1,0),0))</f>
        <v/>
      </c>
      <c r="L233" s="28" t="str">
        <f aca="false">IF(I233="","",I233+K233)</f>
        <v/>
      </c>
      <c r="M233" s="10"/>
      <c r="N233" s="80"/>
      <c r="O233" s="80"/>
      <c r="P233" s="59" t="str">
        <f aca="false">IF(E233="","",IFERROR(INDEX(기본설정!$H$4:$H$14,MATCH(E233,기본설정!$G$4:$G$14,0)),""))</f>
        <v/>
      </c>
    </row>
    <row r="234" customFormat="false" ht="15" hidden="false" customHeight="false" outlineLevel="0" collapsed="false">
      <c r="A234" s="73"/>
      <c r="B234" s="10"/>
      <c r="C234" s="80"/>
      <c r="D234" s="80"/>
      <c r="E234" s="81" t="str">
        <f aca="false">IF(D234="","",IFERROR(INDEX(식자재단가!$B$4:$B$203,MATCH(D234,식자재단가!$C$4:$C$203,0)),""))</f>
        <v/>
      </c>
      <c r="F234" s="76"/>
      <c r="G234" s="59" t="str">
        <f aca="false">IF(D234="","",IFERROR(INDEX(식자재단가!$F$4:$F$203,MATCH(D234,식자재단가!$C$4:$C$203,0)),""))</f>
        <v/>
      </c>
      <c r="H234" s="50"/>
      <c r="I234" s="82" t="str">
        <f aca="false">IF(OR(F234="",H234=""),"",F234*H234)</f>
        <v/>
      </c>
      <c r="J234" s="83" t="str">
        <f aca="false">IF(D234="","",IFERROR(INDEX(식자재단가!$M$4:$M$203,MATCH(D234,식자재단가!$C$4:$C$203,0)),"과세"))</f>
        <v/>
      </c>
      <c r="K234" s="28" t="str">
        <f aca="false">IF(I234="","",IF(J234="과세",ROUND(I234*0.1,0),0))</f>
        <v/>
      </c>
      <c r="L234" s="28" t="str">
        <f aca="false">IF(I234="","",I234+K234)</f>
        <v/>
      </c>
      <c r="M234" s="10"/>
      <c r="N234" s="80"/>
      <c r="O234" s="80"/>
      <c r="P234" s="59" t="str">
        <f aca="false">IF(E234="","",IFERROR(INDEX(기본설정!$H$4:$H$14,MATCH(E234,기본설정!$G$4:$G$14,0)),""))</f>
        <v/>
      </c>
    </row>
    <row r="235" customFormat="false" ht="15" hidden="false" customHeight="false" outlineLevel="0" collapsed="false">
      <c r="A235" s="73"/>
      <c r="B235" s="10"/>
      <c r="C235" s="80"/>
      <c r="D235" s="80"/>
      <c r="E235" s="81" t="str">
        <f aca="false">IF(D235="","",IFERROR(INDEX(식자재단가!$B$4:$B$203,MATCH(D235,식자재단가!$C$4:$C$203,0)),""))</f>
        <v/>
      </c>
      <c r="F235" s="76"/>
      <c r="G235" s="59" t="str">
        <f aca="false">IF(D235="","",IFERROR(INDEX(식자재단가!$F$4:$F$203,MATCH(D235,식자재단가!$C$4:$C$203,0)),""))</f>
        <v/>
      </c>
      <c r="H235" s="50"/>
      <c r="I235" s="82" t="str">
        <f aca="false">IF(OR(F235="",H235=""),"",F235*H235)</f>
        <v/>
      </c>
      <c r="J235" s="83" t="str">
        <f aca="false">IF(D235="","",IFERROR(INDEX(식자재단가!$M$4:$M$203,MATCH(D235,식자재단가!$C$4:$C$203,0)),"과세"))</f>
        <v/>
      </c>
      <c r="K235" s="28" t="str">
        <f aca="false">IF(I235="","",IF(J235="과세",ROUND(I235*0.1,0),0))</f>
        <v/>
      </c>
      <c r="L235" s="28" t="str">
        <f aca="false">IF(I235="","",I235+K235)</f>
        <v/>
      </c>
      <c r="M235" s="10"/>
      <c r="N235" s="80"/>
      <c r="O235" s="80"/>
      <c r="P235" s="59" t="str">
        <f aca="false">IF(E235="","",IFERROR(INDEX(기본설정!$H$4:$H$14,MATCH(E235,기본설정!$G$4:$G$14,0)),""))</f>
        <v/>
      </c>
    </row>
    <row r="236" customFormat="false" ht="15" hidden="false" customHeight="false" outlineLevel="0" collapsed="false">
      <c r="A236" s="73"/>
      <c r="B236" s="10"/>
      <c r="C236" s="80"/>
      <c r="D236" s="80"/>
      <c r="E236" s="81" t="str">
        <f aca="false">IF(D236="","",IFERROR(INDEX(식자재단가!$B$4:$B$203,MATCH(D236,식자재단가!$C$4:$C$203,0)),""))</f>
        <v/>
      </c>
      <c r="F236" s="76"/>
      <c r="G236" s="59" t="str">
        <f aca="false">IF(D236="","",IFERROR(INDEX(식자재단가!$F$4:$F$203,MATCH(D236,식자재단가!$C$4:$C$203,0)),""))</f>
        <v/>
      </c>
      <c r="H236" s="50"/>
      <c r="I236" s="82" t="str">
        <f aca="false">IF(OR(F236="",H236=""),"",F236*H236)</f>
        <v/>
      </c>
      <c r="J236" s="83" t="str">
        <f aca="false">IF(D236="","",IFERROR(INDEX(식자재단가!$M$4:$M$203,MATCH(D236,식자재단가!$C$4:$C$203,0)),"과세"))</f>
        <v/>
      </c>
      <c r="K236" s="28" t="str">
        <f aca="false">IF(I236="","",IF(J236="과세",ROUND(I236*0.1,0),0))</f>
        <v/>
      </c>
      <c r="L236" s="28" t="str">
        <f aca="false">IF(I236="","",I236+K236)</f>
        <v/>
      </c>
      <c r="M236" s="10"/>
      <c r="N236" s="80"/>
      <c r="O236" s="80"/>
      <c r="P236" s="59" t="str">
        <f aca="false">IF(E236="","",IFERROR(INDEX(기본설정!$H$4:$H$14,MATCH(E236,기본설정!$G$4:$G$14,0)),""))</f>
        <v/>
      </c>
    </row>
    <row r="237" customFormat="false" ht="15" hidden="false" customHeight="false" outlineLevel="0" collapsed="false">
      <c r="A237" s="73"/>
      <c r="B237" s="10"/>
      <c r="C237" s="80"/>
      <c r="D237" s="80"/>
      <c r="E237" s="81" t="str">
        <f aca="false">IF(D237="","",IFERROR(INDEX(식자재단가!$B$4:$B$203,MATCH(D237,식자재단가!$C$4:$C$203,0)),""))</f>
        <v/>
      </c>
      <c r="F237" s="76"/>
      <c r="G237" s="59" t="str">
        <f aca="false">IF(D237="","",IFERROR(INDEX(식자재단가!$F$4:$F$203,MATCH(D237,식자재단가!$C$4:$C$203,0)),""))</f>
        <v/>
      </c>
      <c r="H237" s="50"/>
      <c r="I237" s="82" t="str">
        <f aca="false">IF(OR(F237="",H237=""),"",F237*H237)</f>
        <v/>
      </c>
      <c r="J237" s="83" t="str">
        <f aca="false">IF(D237="","",IFERROR(INDEX(식자재단가!$M$4:$M$203,MATCH(D237,식자재단가!$C$4:$C$203,0)),"과세"))</f>
        <v/>
      </c>
      <c r="K237" s="28" t="str">
        <f aca="false">IF(I237="","",IF(J237="과세",ROUND(I237*0.1,0),0))</f>
        <v/>
      </c>
      <c r="L237" s="28" t="str">
        <f aca="false">IF(I237="","",I237+K237)</f>
        <v/>
      </c>
      <c r="M237" s="10"/>
      <c r="N237" s="80"/>
      <c r="O237" s="80"/>
      <c r="P237" s="59" t="str">
        <f aca="false">IF(E237="","",IFERROR(INDEX(기본설정!$H$4:$H$14,MATCH(E237,기본설정!$G$4:$G$14,0)),""))</f>
        <v/>
      </c>
    </row>
    <row r="238" customFormat="false" ht="15" hidden="false" customHeight="false" outlineLevel="0" collapsed="false">
      <c r="A238" s="73"/>
      <c r="B238" s="10"/>
      <c r="C238" s="80"/>
      <c r="D238" s="80"/>
      <c r="E238" s="81" t="str">
        <f aca="false">IF(D238="","",IFERROR(INDEX(식자재단가!$B$4:$B$203,MATCH(D238,식자재단가!$C$4:$C$203,0)),""))</f>
        <v/>
      </c>
      <c r="F238" s="76"/>
      <c r="G238" s="59" t="str">
        <f aca="false">IF(D238="","",IFERROR(INDEX(식자재단가!$F$4:$F$203,MATCH(D238,식자재단가!$C$4:$C$203,0)),""))</f>
        <v/>
      </c>
      <c r="H238" s="50"/>
      <c r="I238" s="82" t="str">
        <f aca="false">IF(OR(F238="",H238=""),"",F238*H238)</f>
        <v/>
      </c>
      <c r="J238" s="83" t="str">
        <f aca="false">IF(D238="","",IFERROR(INDEX(식자재단가!$M$4:$M$203,MATCH(D238,식자재단가!$C$4:$C$203,0)),"과세"))</f>
        <v/>
      </c>
      <c r="K238" s="28" t="str">
        <f aca="false">IF(I238="","",IF(J238="과세",ROUND(I238*0.1,0),0))</f>
        <v/>
      </c>
      <c r="L238" s="28" t="str">
        <f aca="false">IF(I238="","",I238+K238)</f>
        <v/>
      </c>
      <c r="M238" s="10"/>
      <c r="N238" s="80"/>
      <c r="O238" s="80"/>
      <c r="P238" s="59" t="str">
        <f aca="false">IF(E238="","",IFERROR(INDEX(기본설정!$H$4:$H$14,MATCH(E238,기본설정!$G$4:$G$14,0)),""))</f>
        <v/>
      </c>
    </row>
    <row r="239" customFormat="false" ht="15" hidden="false" customHeight="false" outlineLevel="0" collapsed="false">
      <c r="A239" s="73"/>
      <c r="B239" s="10"/>
      <c r="C239" s="80"/>
      <c r="D239" s="80"/>
      <c r="E239" s="81" t="str">
        <f aca="false">IF(D239="","",IFERROR(INDEX(식자재단가!$B$4:$B$203,MATCH(D239,식자재단가!$C$4:$C$203,0)),""))</f>
        <v/>
      </c>
      <c r="F239" s="76"/>
      <c r="G239" s="59" t="str">
        <f aca="false">IF(D239="","",IFERROR(INDEX(식자재단가!$F$4:$F$203,MATCH(D239,식자재단가!$C$4:$C$203,0)),""))</f>
        <v/>
      </c>
      <c r="H239" s="50"/>
      <c r="I239" s="82" t="str">
        <f aca="false">IF(OR(F239="",H239=""),"",F239*H239)</f>
        <v/>
      </c>
      <c r="J239" s="83" t="str">
        <f aca="false">IF(D239="","",IFERROR(INDEX(식자재단가!$M$4:$M$203,MATCH(D239,식자재단가!$C$4:$C$203,0)),"과세"))</f>
        <v/>
      </c>
      <c r="K239" s="28" t="str">
        <f aca="false">IF(I239="","",IF(J239="과세",ROUND(I239*0.1,0),0))</f>
        <v/>
      </c>
      <c r="L239" s="28" t="str">
        <f aca="false">IF(I239="","",I239+K239)</f>
        <v/>
      </c>
      <c r="M239" s="10"/>
      <c r="N239" s="80"/>
      <c r="O239" s="80"/>
      <c r="P239" s="59" t="str">
        <f aca="false">IF(E239="","",IFERROR(INDEX(기본설정!$H$4:$H$14,MATCH(E239,기본설정!$G$4:$G$14,0)),""))</f>
        <v/>
      </c>
    </row>
    <row r="240" customFormat="false" ht="15" hidden="false" customHeight="false" outlineLevel="0" collapsed="false">
      <c r="A240" s="73"/>
      <c r="B240" s="10"/>
      <c r="C240" s="80"/>
      <c r="D240" s="80"/>
      <c r="E240" s="81" t="str">
        <f aca="false">IF(D240="","",IFERROR(INDEX(식자재단가!$B$4:$B$203,MATCH(D240,식자재단가!$C$4:$C$203,0)),""))</f>
        <v/>
      </c>
      <c r="F240" s="76"/>
      <c r="G240" s="59" t="str">
        <f aca="false">IF(D240="","",IFERROR(INDEX(식자재단가!$F$4:$F$203,MATCH(D240,식자재단가!$C$4:$C$203,0)),""))</f>
        <v/>
      </c>
      <c r="H240" s="50"/>
      <c r="I240" s="82" t="str">
        <f aca="false">IF(OR(F240="",H240=""),"",F240*H240)</f>
        <v/>
      </c>
      <c r="J240" s="83" t="str">
        <f aca="false">IF(D240="","",IFERROR(INDEX(식자재단가!$M$4:$M$203,MATCH(D240,식자재단가!$C$4:$C$203,0)),"과세"))</f>
        <v/>
      </c>
      <c r="K240" s="28" t="str">
        <f aca="false">IF(I240="","",IF(J240="과세",ROUND(I240*0.1,0),0))</f>
        <v/>
      </c>
      <c r="L240" s="28" t="str">
        <f aca="false">IF(I240="","",I240+K240)</f>
        <v/>
      </c>
      <c r="M240" s="10"/>
      <c r="N240" s="80"/>
      <c r="O240" s="80"/>
      <c r="P240" s="59" t="str">
        <f aca="false">IF(E240="","",IFERROR(INDEX(기본설정!$H$4:$H$14,MATCH(E240,기본설정!$G$4:$G$14,0)),""))</f>
        <v/>
      </c>
    </row>
    <row r="241" customFormat="false" ht="15" hidden="false" customHeight="false" outlineLevel="0" collapsed="false">
      <c r="A241" s="73"/>
      <c r="B241" s="10"/>
      <c r="C241" s="80"/>
      <c r="D241" s="80"/>
      <c r="E241" s="81" t="str">
        <f aca="false">IF(D241="","",IFERROR(INDEX(식자재단가!$B$4:$B$203,MATCH(D241,식자재단가!$C$4:$C$203,0)),""))</f>
        <v/>
      </c>
      <c r="F241" s="76"/>
      <c r="G241" s="59" t="str">
        <f aca="false">IF(D241="","",IFERROR(INDEX(식자재단가!$F$4:$F$203,MATCH(D241,식자재단가!$C$4:$C$203,0)),""))</f>
        <v/>
      </c>
      <c r="H241" s="50"/>
      <c r="I241" s="82" t="str">
        <f aca="false">IF(OR(F241="",H241=""),"",F241*H241)</f>
        <v/>
      </c>
      <c r="J241" s="83" t="str">
        <f aca="false">IF(D241="","",IFERROR(INDEX(식자재단가!$M$4:$M$203,MATCH(D241,식자재단가!$C$4:$C$203,0)),"과세"))</f>
        <v/>
      </c>
      <c r="K241" s="28" t="str">
        <f aca="false">IF(I241="","",IF(J241="과세",ROUND(I241*0.1,0),0))</f>
        <v/>
      </c>
      <c r="L241" s="28" t="str">
        <f aca="false">IF(I241="","",I241+K241)</f>
        <v/>
      </c>
      <c r="M241" s="10"/>
      <c r="N241" s="80"/>
      <c r="O241" s="80"/>
      <c r="P241" s="59" t="str">
        <f aca="false">IF(E241="","",IFERROR(INDEX(기본설정!$H$4:$H$14,MATCH(E241,기본설정!$G$4:$G$14,0)),""))</f>
        <v/>
      </c>
    </row>
    <row r="242" customFormat="false" ht="15" hidden="false" customHeight="false" outlineLevel="0" collapsed="false">
      <c r="A242" s="73"/>
      <c r="B242" s="10"/>
      <c r="C242" s="80"/>
      <c r="D242" s="80"/>
      <c r="E242" s="81" t="str">
        <f aca="false">IF(D242="","",IFERROR(INDEX(식자재단가!$B$4:$B$203,MATCH(D242,식자재단가!$C$4:$C$203,0)),""))</f>
        <v/>
      </c>
      <c r="F242" s="76"/>
      <c r="G242" s="59" t="str">
        <f aca="false">IF(D242="","",IFERROR(INDEX(식자재단가!$F$4:$F$203,MATCH(D242,식자재단가!$C$4:$C$203,0)),""))</f>
        <v/>
      </c>
      <c r="H242" s="50"/>
      <c r="I242" s="82" t="str">
        <f aca="false">IF(OR(F242="",H242=""),"",F242*H242)</f>
        <v/>
      </c>
      <c r="J242" s="83" t="str">
        <f aca="false">IF(D242="","",IFERROR(INDEX(식자재단가!$M$4:$M$203,MATCH(D242,식자재단가!$C$4:$C$203,0)),"과세"))</f>
        <v/>
      </c>
      <c r="K242" s="28" t="str">
        <f aca="false">IF(I242="","",IF(J242="과세",ROUND(I242*0.1,0),0))</f>
        <v/>
      </c>
      <c r="L242" s="28" t="str">
        <f aca="false">IF(I242="","",I242+K242)</f>
        <v/>
      </c>
      <c r="M242" s="10"/>
      <c r="N242" s="80"/>
      <c r="O242" s="80"/>
      <c r="P242" s="59" t="str">
        <f aca="false">IF(E242="","",IFERROR(INDEX(기본설정!$H$4:$H$14,MATCH(E242,기본설정!$G$4:$G$14,0)),""))</f>
        <v/>
      </c>
    </row>
    <row r="243" customFormat="false" ht="15" hidden="false" customHeight="false" outlineLevel="0" collapsed="false">
      <c r="A243" s="73"/>
      <c r="B243" s="10"/>
      <c r="C243" s="80"/>
      <c r="D243" s="80"/>
      <c r="E243" s="81" t="str">
        <f aca="false">IF(D243="","",IFERROR(INDEX(식자재단가!$B$4:$B$203,MATCH(D243,식자재단가!$C$4:$C$203,0)),""))</f>
        <v/>
      </c>
      <c r="F243" s="76"/>
      <c r="G243" s="59" t="str">
        <f aca="false">IF(D243="","",IFERROR(INDEX(식자재단가!$F$4:$F$203,MATCH(D243,식자재단가!$C$4:$C$203,0)),""))</f>
        <v/>
      </c>
      <c r="H243" s="50"/>
      <c r="I243" s="82" t="str">
        <f aca="false">IF(OR(F243="",H243=""),"",F243*H243)</f>
        <v/>
      </c>
      <c r="J243" s="83" t="str">
        <f aca="false">IF(D243="","",IFERROR(INDEX(식자재단가!$M$4:$M$203,MATCH(D243,식자재단가!$C$4:$C$203,0)),"과세"))</f>
        <v/>
      </c>
      <c r="K243" s="28" t="str">
        <f aca="false">IF(I243="","",IF(J243="과세",ROUND(I243*0.1,0),0))</f>
        <v/>
      </c>
      <c r="L243" s="28" t="str">
        <f aca="false">IF(I243="","",I243+K243)</f>
        <v/>
      </c>
      <c r="M243" s="10"/>
      <c r="N243" s="80"/>
      <c r="O243" s="80"/>
      <c r="P243" s="59" t="str">
        <f aca="false">IF(E243="","",IFERROR(INDEX(기본설정!$H$4:$H$14,MATCH(E243,기본설정!$G$4:$G$14,0)),""))</f>
        <v/>
      </c>
    </row>
    <row r="244" customFormat="false" ht="15" hidden="false" customHeight="false" outlineLevel="0" collapsed="false">
      <c r="A244" s="73"/>
      <c r="B244" s="10"/>
      <c r="C244" s="80"/>
      <c r="D244" s="80"/>
      <c r="E244" s="81" t="str">
        <f aca="false">IF(D244="","",IFERROR(INDEX(식자재단가!$B$4:$B$203,MATCH(D244,식자재단가!$C$4:$C$203,0)),""))</f>
        <v/>
      </c>
      <c r="F244" s="76"/>
      <c r="G244" s="59" t="str">
        <f aca="false">IF(D244="","",IFERROR(INDEX(식자재단가!$F$4:$F$203,MATCH(D244,식자재단가!$C$4:$C$203,0)),""))</f>
        <v/>
      </c>
      <c r="H244" s="50"/>
      <c r="I244" s="82" t="str">
        <f aca="false">IF(OR(F244="",H244=""),"",F244*H244)</f>
        <v/>
      </c>
      <c r="J244" s="83" t="str">
        <f aca="false">IF(D244="","",IFERROR(INDEX(식자재단가!$M$4:$M$203,MATCH(D244,식자재단가!$C$4:$C$203,0)),"과세"))</f>
        <v/>
      </c>
      <c r="K244" s="28" t="str">
        <f aca="false">IF(I244="","",IF(J244="과세",ROUND(I244*0.1,0),0))</f>
        <v/>
      </c>
      <c r="L244" s="28" t="str">
        <f aca="false">IF(I244="","",I244+K244)</f>
        <v/>
      </c>
      <c r="M244" s="10"/>
      <c r="N244" s="80"/>
      <c r="O244" s="80"/>
      <c r="P244" s="59" t="str">
        <f aca="false">IF(E244="","",IFERROR(INDEX(기본설정!$H$4:$H$14,MATCH(E244,기본설정!$G$4:$G$14,0)),""))</f>
        <v/>
      </c>
    </row>
    <row r="245" customFormat="false" ht="15" hidden="false" customHeight="false" outlineLevel="0" collapsed="false">
      <c r="A245" s="73"/>
      <c r="B245" s="10"/>
      <c r="C245" s="80"/>
      <c r="D245" s="80"/>
      <c r="E245" s="81" t="str">
        <f aca="false">IF(D245="","",IFERROR(INDEX(식자재단가!$B$4:$B$203,MATCH(D245,식자재단가!$C$4:$C$203,0)),""))</f>
        <v/>
      </c>
      <c r="F245" s="76"/>
      <c r="G245" s="59" t="str">
        <f aca="false">IF(D245="","",IFERROR(INDEX(식자재단가!$F$4:$F$203,MATCH(D245,식자재단가!$C$4:$C$203,0)),""))</f>
        <v/>
      </c>
      <c r="H245" s="50"/>
      <c r="I245" s="82" t="str">
        <f aca="false">IF(OR(F245="",H245=""),"",F245*H245)</f>
        <v/>
      </c>
      <c r="J245" s="83" t="str">
        <f aca="false">IF(D245="","",IFERROR(INDEX(식자재단가!$M$4:$M$203,MATCH(D245,식자재단가!$C$4:$C$203,0)),"과세"))</f>
        <v/>
      </c>
      <c r="K245" s="28" t="str">
        <f aca="false">IF(I245="","",IF(J245="과세",ROUND(I245*0.1,0),0))</f>
        <v/>
      </c>
      <c r="L245" s="28" t="str">
        <f aca="false">IF(I245="","",I245+K245)</f>
        <v/>
      </c>
      <c r="M245" s="10"/>
      <c r="N245" s="80"/>
      <c r="O245" s="80"/>
      <c r="P245" s="59" t="str">
        <f aca="false">IF(E245="","",IFERROR(INDEX(기본설정!$H$4:$H$14,MATCH(E245,기본설정!$G$4:$G$14,0)),""))</f>
        <v/>
      </c>
    </row>
    <row r="246" customFormat="false" ht="15" hidden="false" customHeight="false" outlineLevel="0" collapsed="false">
      <c r="A246" s="73"/>
      <c r="B246" s="10"/>
      <c r="C246" s="80"/>
      <c r="D246" s="80"/>
      <c r="E246" s="81" t="str">
        <f aca="false">IF(D246="","",IFERROR(INDEX(식자재단가!$B$4:$B$203,MATCH(D246,식자재단가!$C$4:$C$203,0)),""))</f>
        <v/>
      </c>
      <c r="F246" s="76"/>
      <c r="G246" s="59" t="str">
        <f aca="false">IF(D246="","",IFERROR(INDEX(식자재단가!$F$4:$F$203,MATCH(D246,식자재단가!$C$4:$C$203,0)),""))</f>
        <v/>
      </c>
      <c r="H246" s="50"/>
      <c r="I246" s="82" t="str">
        <f aca="false">IF(OR(F246="",H246=""),"",F246*H246)</f>
        <v/>
      </c>
      <c r="J246" s="83" t="str">
        <f aca="false">IF(D246="","",IFERROR(INDEX(식자재단가!$M$4:$M$203,MATCH(D246,식자재단가!$C$4:$C$203,0)),"과세"))</f>
        <v/>
      </c>
      <c r="K246" s="28" t="str">
        <f aca="false">IF(I246="","",IF(J246="과세",ROUND(I246*0.1,0),0))</f>
        <v/>
      </c>
      <c r="L246" s="28" t="str">
        <f aca="false">IF(I246="","",I246+K246)</f>
        <v/>
      </c>
      <c r="M246" s="10"/>
      <c r="N246" s="80"/>
      <c r="O246" s="80"/>
      <c r="P246" s="59" t="str">
        <f aca="false">IF(E246="","",IFERROR(INDEX(기본설정!$H$4:$H$14,MATCH(E246,기본설정!$G$4:$G$14,0)),""))</f>
        <v/>
      </c>
    </row>
    <row r="247" customFormat="false" ht="15" hidden="false" customHeight="false" outlineLevel="0" collapsed="false">
      <c r="A247" s="73"/>
      <c r="B247" s="10"/>
      <c r="C247" s="80"/>
      <c r="D247" s="80"/>
      <c r="E247" s="81" t="str">
        <f aca="false">IF(D247="","",IFERROR(INDEX(식자재단가!$B$4:$B$203,MATCH(D247,식자재단가!$C$4:$C$203,0)),""))</f>
        <v/>
      </c>
      <c r="F247" s="76"/>
      <c r="G247" s="59" t="str">
        <f aca="false">IF(D247="","",IFERROR(INDEX(식자재단가!$F$4:$F$203,MATCH(D247,식자재단가!$C$4:$C$203,0)),""))</f>
        <v/>
      </c>
      <c r="H247" s="50"/>
      <c r="I247" s="82" t="str">
        <f aca="false">IF(OR(F247="",H247=""),"",F247*H247)</f>
        <v/>
      </c>
      <c r="J247" s="83" t="str">
        <f aca="false">IF(D247="","",IFERROR(INDEX(식자재단가!$M$4:$M$203,MATCH(D247,식자재단가!$C$4:$C$203,0)),"과세"))</f>
        <v/>
      </c>
      <c r="K247" s="28" t="str">
        <f aca="false">IF(I247="","",IF(J247="과세",ROUND(I247*0.1,0),0))</f>
        <v/>
      </c>
      <c r="L247" s="28" t="str">
        <f aca="false">IF(I247="","",I247+K247)</f>
        <v/>
      </c>
      <c r="M247" s="10"/>
      <c r="N247" s="80"/>
      <c r="O247" s="80"/>
      <c r="P247" s="59" t="str">
        <f aca="false">IF(E247="","",IFERROR(INDEX(기본설정!$H$4:$H$14,MATCH(E247,기본설정!$G$4:$G$14,0)),""))</f>
        <v/>
      </c>
    </row>
    <row r="248" customFormat="false" ht="15" hidden="false" customHeight="false" outlineLevel="0" collapsed="false">
      <c r="A248" s="73"/>
      <c r="B248" s="10"/>
      <c r="C248" s="80"/>
      <c r="D248" s="80"/>
      <c r="E248" s="81" t="str">
        <f aca="false">IF(D248="","",IFERROR(INDEX(식자재단가!$B$4:$B$203,MATCH(D248,식자재단가!$C$4:$C$203,0)),""))</f>
        <v/>
      </c>
      <c r="F248" s="76"/>
      <c r="G248" s="59" t="str">
        <f aca="false">IF(D248="","",IFERROR(INDEX(식자재단가!$F$4:$F$203,MATCH(D248,식자재단가!$C$4:$C$203,0)),""))</f>
        <v/>
      </c>
      <c r="H248" s="50"/>
      <c r="I248" s="82" t="str">
        <f aca="false">IF(OR(F248="",H248=""),"",F248*H248)</f>
        <v/>
      </c>
      <c r="J248" s="83" t="str">
        <f aca="false">IF(D248="","",IFERROR(INDEX(식자재단가!$M$4:$M$203,MATCH(D248,식자재단가!$C$4:$C$203,0)),"과세"))</f>
        <v/>
      </c>
      <c r="K248" s="28" t="str">
        <f aca="false">IF(I248="","",IF(J248="과세",ROUND(I248*0.1,0),0))</f>
        <v/>
      </c>
      <c r="L248" s="28" t="str">
        <f aca="false">IF(I248="","",I248+K248)</f>
        <v/>
      </c>
      <c r="M248" s="10"/>
      <c r="N248" s="80"/>
      <c r="O248" s="80"/>
      <c r="P248" s="59" t="str">
        <f aca="false">IF(E248="","",IFERROR(INDEX(기본설정!$H$4:$H$14,MATCH(E248,기본설정!$G$4:$G$14,0)),""))</f>
        <v/>
      </c>
    </row>
    <row r="249" customFormat="false" ht="15" hidden="false" customHeight="false" outlineLevel="0" collapsed="false">
      <c r="A249" s="73"/>
      <c r="B249" s="10"/>
      <c r="C249" s="80"/>
      <c r="D249" s="80"/>
      <c r="E249" s="81" t="str">
        <f aca="false">IF(D249="","",IFERROR(INDEX(식자재단가!$B$4:$B$203,MATCH(D249,식자재단가!$C$4:$C$203,0)),""))</f>
        <v/>
      </c>
      <c r="F249" s="76"/>
      <c r="G249" s="59" t="str">
        <f aca="false">IF(D249="","",IFERROR(INDEX(식자재단가!$F$4:$F$203,MATCH(D249,식자재단가!$C$4:$C$203,0)),""))</f>
        <v/>
      </c>
      <c r="H249" s="50"/>
      <c r="I249" s="82" t="str">
        <f aca="false">IF(OR(F249="",H249=""),"",F249*H249)</f>
        <v/>
      </c>
      <c r="J249" s="83" t="str">
        <f aca="false">IF(D249="","",IFERROR(INDEX(식자재단가!$M$4:$M$203,MATCH(D249,식자재단가!$C$4:$C$203,0)),"과세"))</f>
        <v/>
      </c>
      <c r="K249" s="28" t="str">
        <f aca="false">IF(I249="","",IF(J249="과세",ROUND(I249*0.1,0),0))</f>
        <v/>
      </c>
      <c r="L249" s="28" t="str">
        <f aca="false">IF(I249="","",I249+K249)</f>
        <v/>
      </c>
      <c r="M249" s="10"/>
      <c r="N249" s="80"/>
      <c r="O249" s="80"/>
      <c r="P249" s="59" t="str">
        <f aca="false">IF(E249="","",IFERROR(INDEX(기본설정!$H$4:$H$14,MATCH(E249,기본설정!$G$4:$G$14,0)),""))</f>
        <v/>
      </c>
    </row>
    <row r="250" customFormat="false" ht="15" hidden="false" customHeight="false" outlineLevel="0" collapsed="false">
      <c r="A250" s="73"/>
      <c r="B250" s="10"/>
      <c r="C250" s="80"/>
      <c r="D250" s="80"/>
      <c r="E250" s="81" t="str">
        <f aca="false">IF(D250="","",IFERROR(INDEX(식자재단가!$B$4:$B$203,MATCH(D250,식자재단가!$C$4:$C$203,0)),""))</f>
        <v/>
      </c>
      <c r="F250" s="76"/>
      <c r="G250" s="59" t="str">
        <f aca="false">IF(D250="","",IFERROR(INDEX(식자재단가!$F$4:$F$203,MATCH(D250,식자재단가!$C$4:$C$203,0)),""))</f>
        <v/>
      </c>
      <c r="H250" s="50"/>
      <c r="I250" s="82" t="str">
        <f aca="false">IF(OR(F250="",H250=""),"",F250*H250)</f>
        <v/>
      </c>
      <c r="J250" s="83" t="str">
        <f aca="false">IF(D250="","",IFERROR(INDEX(식자재단가!$M$4:$M$203,MATCH(D250,식자재단가!$C$4:$C$203,0)),"과세"))</f>
        <v/>
      </c>
      <c r="K250" s="28" t="str">
        <f aca="false">IF(I250="","",IF(J250="과세",ROUND(I250*0.1,0),0))</f>
        <v/>
      </c>
      <c r="L250" s="28" t="str">
        <f aca="false">IF(I250="","",I250+K250)</f>
        <v/>
      </c>
      <c r="M250" s="10"/>
      <c r="N250" s="80"/>
      <c r="O250" s="80"/>
      <c r="P250" s="59" t="str">
        <f aca="false">IF(E250="","",IFERROR(INDEX(기본설정!$H$4:$H$14,MATCH(E250,기본설정!$G$4:$G$14,0)),""))</f>
        <v/>
      </c>
    </row>
    <row r="251" customFormat="false" ht="15" hidden="false" customHeight="false" outlineLevel="0" collapsed="false">
      <c r="A251" s="73"/>
      <c r="B251" s="10"/>
      <c r="C251" s="80"/>
      <c r="D251" s="80"/>
      <c r="E251" s="81" t="str">
        <f aca="false">IF(D251="","",IFERROR(INDEX(식자재단가!$B$4:$B$203,MATCH(D251,식자재단가!$C$4:$C$203,0)),""))</f>
        <v/>
      </c>
      <c r="F251" s="76"/>
      <c r="G251" s="59" t="str">
        <f aca="false">IF(D251="","",IFERROR(INDEX(식자재단가!$F$4:$F$203,MATCH(D251,식자재단가!$C$4:$C$203,0)),""))</f>
        <v/>
      </c>
      <c r="H251" s="50"/>
      <c r="I251" s="82" t="str">
        <f aca="false">IF(OR(F251="",H251=""),"",F251*H251)</f>
        <v/>
      </c>
      <c r="J251" s="83" t="str">
        <f aca="false">IF(D251="","",IFERROR(INDEX(식자재단가!$M$4:$M$203,MATCH(D251,식자재단가!$C$4:$C$203,0)),"과세"))</f>
        <v/>
      </c>
      <c r="K251" s="28" t="str">
        <f aca="false">IF(I251="","",IF(J251="과세",ROUND(I251*0.1,0),0))</f>
        <v/>
      </c>
      <c r="L251" s="28" t="str">
        <f aca="false">IF(I251="","",I251+K251)</f>
        <v/>
      </c>
      <c r="M251" s="10"/>
      <c r="N251" s="80"/>
      <c r="O251" s="80"/>
      <c r="P251" s="59" t="str">
        <f aca="false">IF(E251="","",IFERROR(INDEX(기본설정!$H$4:$H$14,MATCH(E251,기본설정!$G$4:$G$14,0)),""))</f>
        <v/>
      </c>
    </row>
    <row r="252" customFormat="false" ht="15" hidden="false" customHeight="false" outlineLevel="0" collapsed="false">
      <c r="A252" s="73"/>
      <c r="B252" s="10"/>
      <c r="C252" s="80"/>
      <c r="D252" s="80"/>
      <c r="E252" s="81" t="str">
        <f aca="false">IF(D252="","",IFERROR(INDEX(식자재단가!$B$4:$B$203,MATCH(D252,식자재단가!$C$4:$C$203,0)),""))</f>
        <v/>
      </c>
      <c r="F252" s="76"/>
      <c r="G252" s="59" t="str">
        <f aca="false">IF(D252="","",IFERROR(INDEX(식자재단가!$F$4:$F$203,MATCH(D252,식자재단가!$C$4:$C$203,0)),""))</f>
        <v/>
      </c>
      <c r="H252" s="50"/>
      <c r="I252" s="82" t="str">
        <f aca="false">IF(OR(F252="",H252=""),"",F252*H252)</f>
        <v/>
      </c>
      <c r="J252" s="83" t="str">
        <f aca="false">IF(D252="","",IFERROR(INDEX(식자재단가!$M$4:$M$203,MATCH(D252,식자재단가!$C$4:$C$203,0)),"과세"))</f>
        <v/>
      </c>
      <c r="K252" s="28" t="str">
        <f aca="false">IF(I252="","",IF(J252="과세",ROUND(I252*0.1,0),0))</f>
        <v/>
      </c>
      <c r="L252" s="28" t="str">
        <f aca="false">IF(I252="","",I252+K252)</f>
        <v/>
      </c>
      <c r="M252" s="10"/>
      <c r="N252" s="80"/>
      <c r="O252" s="80"/>
      <c r="P252" s="59" t="str">
        <f aca="false">IF(E252="","",IFERROR(INDEX(기본설정!$H$4:$H$14,MATCH(E252,기본설정!$G$4:$G$14,0)),""))</f>
        <v/>
      </c>
    </row>
    <row r="253" customFormat="false" ht="15" hidden="false" customHeight="false" outlineLevel="0" collapsed="false">
      <c r="A253" s="73"/>
      <c r="B253" s="10"/>
      <c r="C253" s="80"/>
      <c r="D253" s="80"/>
      <c r="E253" s="81" t="str">
        <f aca="false">IF(D253="","",IFERROR(INDEX(식자재단가!$B$4:$B$203,MATCH(D253,식자재단가!$C$4:$C$203,0)),""))</f>
        <v/>
      </c>
      <c r="F253" s="76"/>
      <c r="G253" s="59" t="str">
        <f aca="false">IF(D253="","",IFERROR(INDEX(식자재단가!$F$4:$F$203,MATCH(D253,식자재단가!$C$4:$C$203,0)),""))</f>
        <v/>
      </c>
      <c r="H253" s="50"/>
      <c r="I253" s="82" t="str">
        <f aca="false">IF(OR(F253="",H253=""),"",F253*H253)</f>
        <v/>
      </c>
      <c r="J253" s="83" t="str">
        <f aca="false">IF(D253="","",IFERROR(INDEX(식자재단가!$M$4:$M$203,MATCH(D253,식자재단가!$C$4:$C$203,0)),"과세"))</f>
        <v/>
      </c>
      <c r="K253" s="28" t="str">
        <f aca="false">IF(I253="","",IF(J253="과세",ROUND(I253*0.1,0),0))</f>
        <v/>
      </c>
      <c r="L253" s="28" t="str">
        <f aca="false">IF(I253="","",I253+K253)</f>
        <v/>
      </c>
      <c r="M253" s="10"/>
      <c r="N253" s="80"/>
      <c r="O253" s="80"/>
      <c r="P253" s="59" t="str">
        <f aca="false">IF(E253="","",IFERROR(INDEX(기본설정!$H$4:$H$14,MATCH(E253,기본설정!$G$4:$G$14,0)),""))</f>
        <v/>
      </c>
    </row>
    <row r="254" customFormat="false" ht="15" hidden="false" customHeight="false" outlineLevel="0" collapsed="false">
      <c r="A254" s="73"/>
      <c r="B254" s="10"/>
      <c r="C254" s="80"/>
      <c r="D254" s="80"/>
      <c r="E254" s="81" t="str">
        <f aca="false">IF(D254="","",IFERROR(INDEX(식자재단가!$B$4:$B$203,MATCH(D254,식자재단가!$C$4:$C$203,0)),""))</f>
        <v/>
      </c>
      <c r="F254" s="76"/>
      <c r="G254" s="59" t="str">
        <f aca="false">IF(D254="","",IFERROR(INDEX(식자재단가!$F$4:$F$203,MATCH(D254,식자재단가!$C$4:$C$203,0)),""))</f>
        <v/>
      </c>
      <c r="H254" s="50"/>
      <c r="I254" s="82" t="str">
        <f aca="false">IF(OR(F254="",H254=""),"",F254*H254)</f>
        <v/>
      </c>
      <c r="J254" s="83" t="str">
        <f aca="false">IF(D254="","",IFERROR(INDEX(식자재단가!$M$4:$M$203,MATCH(D254,식자재단가!$C$4:$C$203,0)),"과세"))</f>
        <v/>
      </c>
      <c r="K254" s="28" t="str">
        <f aca="false">IF(I254="","",IF(J254="과세",ROUND(I254*0.1,0),0))</f>
        <v/>
      </c>
      <c r="L254" s="28" t="str">
        <f aca="false">IF(I254="","",I254+K254)</f>
        <v/>
      </c>
      <c r="M254" s="10"/>
      <c r="N254" s="80"/>
      <c r="O254" s="80"/>
      <c r="P254" s="59" t="str">
        <f aca="false">IF(E254="","",IFERROR(INDEX(기본설정!$H$4:$H$14,MATCH(E254,기본설정!$G$4:$G$14,0)),""))</f>
        <v/>
      </c>
    </row>
    <row r="255" customFormat="false" ht="15" hidden="false" customHeight="false" outlineLevel="0" collapsed="false">
      <c r="A255" s="73"/>
      <c r="B255" s="10"/>
      <c r="C255" s="80"/>
      <c r="D255" s="80"/>
      <c r="E255" s="81" t="str">
        <f aca="false">IF(D255="","",IFERROR(INDEX(식자재단가!$B$4:$B$203,MATCH(D255,식자재단가!$C$4:$C$203,0)),""))</f>
        <v/>
      </c>
      <c r="F255" s="76"/>
      <c r="G255" s="59" t="str">
        <f aca="false">IF(D255="","",IFERROR(INDEX(식자재단가!$F$4:$F$203,MATCH(D255,식자재단가!$C$4:$C$203,0)),""))</f>
        <v/>
      </c>
      <c r="H255" s="50"/>
      <c r="I255" s="82" t="str">
        <f aca="false">IF(OR(F255="",H255=""),"",F255*H255)</f>
        <v/>
      </c>
      <c r="J255" s="83" t="str">
        <f aca="false">IF(D255="","",IFERROR(INDEX(식자재단가!$M$4:$M$203,MATCH(D255,식자재단가!$C$4:$C$203,0)),"과세"))</f>
        <v/>
      </c>
      <c r="K255" s="28" t="str">
        <f aca="false">IF(I255="","",IF(J255="과세",ROUND(I255*0.1,0),0))</f>
        <v/>
      </c>
      <c r="L255" s="28" t="str">
        <f aca="false">IF(I255="","",I255+K255)</f>
        <v/>
      </c>
      <c r="M255" s="10"/>
      <c r="N255" s="80"/>
      <c r="O255" s="80"/>
      <c r="P255" s="59" t="str">
        <f aca="false">IF(E255="","",IFERROR(INDEX(기본설정!$H$4:$H$14,MATCH(E255,기본설정!$G$4:$G$14,0)),""))</f>
        <v/>
      </c>
    </row>
    <row r="256" customFormat="false" ht="15" hidden="false" customHeight="false" outlineLevel="0" collapsed="false">
      <c r="A256" s="73"/>
      <c r="B256" s="10"/>
      <c r="C256" s="80"/>
      <c r="D256" s="80"/>
      <c r="E256" s="81" t="str">
        <f aca="false">IF(D256="","",IFERROR(INDEX(식자재단가!$B$4:$B$203,MATCH(D256,식자재단가!$C$4:$C$203,0)),""))</f>
        <v/>
      </c>
      <c r="F256" s="76"/>
      <c r="G256" s="59" t="str">
        <f aca="false">IF(D256="","",IFERROR(INDEX(식자재단가!$F$4:$F$203,MATCH(D256,식자재단가!$C$4:$C$203,0)),""))</f>
        <v/>
      </c>
      <c r="H256" s="50"/>
      <c r="I256" s="82" t="str">
        <f aca="false">IF(OR(F256="",H256=""),"",F256*H256)</f>
        <v/>
      </c>
      <c r="J256" s="83" t="str">
        <f aca="false">IF(D256="","",IFERROR(INDEX(식자재단가!$M$4:$M$203,MATCH(D256,식자재단가!$C$4:$C$203,0)),"과세"))</f>
        <v/>
      </c>
      <c r="K256" s="28" t="str">
        <f aca="false">IF(I256="","",IF(J256="과세",ROUND(I256*0.1,0),0))</f>
        <v/>
      </c>
      <c r="L256" s="28" t="str">
        <f aca="false">IF(I256="","",I256+K256)</f>
        <v/>
      </c>
      <c r="M256" s="10"/>
      <c r="N256" s="80"/>
      <c r="O256" s="80"/>
      <c r="P256" s="59" t="str">
        <f aca="false">IF(E256="","",IFERROR(INDEX(기본설정!$H$4:$H$14,MATCH(E256,기본설정!$G$4:$G$14,0)),""))</f>
        <v/>
      </c>
    </row>
    <row r="257" customFormat="false" ht="15" hidden="false" customHeight="false" outlineLevel="0" collapsed="false">
      <c r="A257" s="73"/>
      <c r="B257" s="10"/>
      <c r="C257" s="80"/>
      <c r="D257" s="80"/>
      <c r="E257" s="81" t="str">
        <f aca="false">IF(D257="","",IFERROR(INDEX(식자재단가!$B$4:$B$203,MATCH(D257,식자재단가!$C$4:$C$203,0)),""))</f>
        <v/>
      </c>
      <c r="F257" s="76"/>
      <c r="G257" s="59" t="str">
        <f aca="false">IF(D257="","",IFERROR(INDEX(식자재단가!$F$4:$F$203,MATCH(D257,식자재단가!$C$4:$C$203,0)),""))</f>
        <v/>
      </c>
      <c r="H257" s="50"/>
      <c r="I257" s="82" t="str">
        <f aca="false">IF(OR(F257="",H257=""),"",F257*H257)</f>
        <v/>
      </c>
      <c r="J257" s="83" t="str">
        <f aca="false">IF(D257="","",IFERROR(INDEX(식자재단가!$M$4:$M$203,MATCH(D257,식자재단가!$C$4:$C$203,0)),"과세"))</f>
        <v/>
      </c>
      <c r="K257" s="28" t="str">
        <f aca="false">IF(I257="","",IF(J257="과세",ROUND(I257*0.1,0),0))</f>
        <v/>
      </c>
      <c r="L257" s="28" t="str">
        <f aca="false">IF(I257="","",I257+K257)</f>
        <v/>
      </c>
      <c r="M257" s="10"/>
      <c r="N257" s="80"/>
      <c r="O257" s="80"/>
      <c r="P257" s="59" t="str">
        <f aca="false">IF(E257="","",IFERROR(INDEX(기본설정!$H$4:$H$14,MATCH(E257,기본설정!$G$4:$G$14,0)),""))</f>
        <v/>
      </c>
    </row>
    <row r="258" customFormat="false" ht="15" hidden="false" customHeight="false" outlineLevel="0" collapsed="false">
      <c r="A258" s="73"/>
      <c r="B258" s="10"/>
      <c r="C258" s="80"/>
      <c r="D258" s="80"/>
      <c r="E258" s="81" t="str">
        <f aca="false">IF(D258="","",IFERROR(INDEX(식자재단가!$B$4:$B$203,MATCH(D258,식자재단가!$C$4:$C$203,0)),""))</f>
        <v/>
      </c>
      <c r="F258" s="76"/>
      <c r="G258" s="59" t="str">
        <f aca="false">IF(D258="","",IFERROR(INDEX(식자재단가!$F$4:$F$203,MATCH(D258,식자재단가!$C$4:$C$203,0)),""))</f>
        <v/>
      </c>
      <c r="H258" s="50"/>
      <c r="I258" s="82" t="str">
        <f aca="false">IF(OR(F258="",H258=""),"",F258*H258)</f>
        <v/>
      </c>
      <c r="J258" s="83" t="str">
        <f aca="false">IF(D258="","",IFERROR(INDEX(식자재단가!$M$4:$M$203,MATCH(D258,식자재단가!$C$4:$C$203,0)),"과세"))</f>
        <v/>
      </c>
      <c r="K258" s="28" t="str">
        <f aca="false">IF(I258="","",IF(J258="과세",ROUND(I258*0.1,0),0))</f>
        <v/>
      </c>
      <c r="L258" s="28" t="str">
        <f aca="false">IF(I258="","",I258+K258)</f>
        <v/>
      </c>
      <c r="M258" s="10"/>
      <c r="N258" s="80"/>
      <c r="O258" s="80"/>
      <c r="P258" s="59" t="str">
        <f aca="false">IF(E258="","",IFERROR(INDEX(기본설정!$H$4:$H$14,MATCH(E258,기본설정!$G$4:$G$14,0)),""))</f>
        <v/>
      </c>
    </row>
    <row r="259" customFormat="false" ht="15" hidden="false" customHeight="false" outlineLevel="0" collapsed="false">
      <c r="A259" s="73"/>
      <c r="B259" s="10"/>
      <c r="C259" s="80"/>
      <c r="D259" s="80"/>
      <c r="E259" s="81" t="str">
        <f aca="false">IF(D259="","",IFERROR(INDEX(식자재단가!$B$4:$B$203,MATCH(D259,식자재단가!$C$4:$C$203,0)),""))</f>
        <v/>
      </c>
      <c r="F259" s="76"/>
      <c r="G259" s="59" t="str">
        <f aca="false">IF(D259="","",IFERROR(INDEX(식자재단가!$F$4:$F$203,MATCH(D259,식자재단가!$C$4:$C$203,0)),""))</f>
        <v/>
      </c>
      <c r="H259" s="50"/>
      <c r="I259" s="82" t="str">
        <f aca="false">IF(OR(F259="",H259=""),"",F259*H259)</f>
        <v/>
      </c>
      <c r="J259" s="83" t="str">
        <f aca="false">IF(D259="","",IFERROR(INDEX(식자재단가!$M$4:$M$203,MATCH(D259,식자재단가!$C$4:$C$203,0)),"과세"))</f>
        <v/>
      </c>
      <c r="K259" s="28" t="str">
        <f aca="false">IF(I259="","",IF(J259="과세",ROUND(I259*0.1,0),0))</f>
        <v/>
      </c>
      <c r="L259" s="28" t="str">
        <f aca="false">IF(I259="","",I259+K259)</f>
        <v/>
      </c>
      <c r="M259" s="10"/>
      <c r="N259" s="80"/>
      <c r="O259" s="80"/>
      <c r="P259" s="59" t="str">
        <f aca="false">IF(E259="","",IFERROR(INDEX(기본설정!$H$4:$H$14,MATCH(E259,기본설정!$G$4:$G$14,0)),""))</f>
        <v/>
      </c>
    </row>
    <row r="260" customFormat="false" ht="15" hidden="false" customHeight="false" outlineLevel="0" collapsed="false">
      <c r="A260" s="73"/>
      <c r="B260" s="10"/>
      <c r="C260" s="80"/>
      <c r="D260" s="80"/>
      <c r="E260" s="81" t="str">
        <f aca="false">IF(D260="","",IFERROR(INDEX(식자재단가!$B$4:$B$203,MATCH(D260,식자재단가!$C$4:$C$203,0)),""))</f>
        <v/>
      </c>
      <c r="F260" s="76"/>
      <c r="G260" s="59" t="str">
        <f aca="false">IF(D260="","",IFERROR(INDEX(식자재단가!$F$4:$F$203,MATCH(D260,식자재단가!$C$4:$C$203,0)),""))</f>
        <v/>
      </c>
      <c r="H260" s="50"/>
      <c r="I260" s="82" t="str">
        <f aca="false">IF(OR(F260="",H260=""),"",F260*H260)</f>
        <v/>
      </c>
      <c r="J260" s="83" t="str">
        <f aca="false">IF(D260="","",IFERROR(INDEX(식자재단가!$M$4:$M$203,MATCH(D260,식자재단가!$C$4:$C$203,0)),"과세"))</f>
        <v/>
      </c>
      <c r="K260" s="28" t="str">
        <f aca="false">IF(I260="","",IF(J260="과세",ROUND(I260*0.1,0),0))</f>
        <v/>
      </c>
      <c r="L260" s="28" t="str">
        <f aca="false">IF(I260="","",I260+K260)</f>
        <v/>
      </c>
      <c r="M260" s="10"/>
      <c r="N260" s="80"/>
      <c r="O260" s="80"/>
      <c r="P260" s="59" t="str">
        <f aca="false">IF(E260="","",IFERROR(INDEX(기본설정!$H$4:$H$14,MATCH(E260,기본설정!$G$4:$G$14,0)),""))</f>
        <v/>
      </c>
    </row>
    <row r="261" customFormat="false" ht="15" hidden="false" customHeight="false" outlineLevel="0" collapsed="false">
      <c r="A261" s="73"/>
      <c r="B261" s="10"/>
      <c r="C261" s="80"/>
      <c r="D261" s="80"/>
      <c r="E261" s="81" t="str">
        <f aca="false">IF(D261="","",IFERROR(INDEX(식자재단가!$B$4:$B$203,MATCH(D261,식자재단가!$C$4:$C$203,0)),""))</f>
        <v/>
      </c>
      <c r="F261" s="76"/>
      <c r="G261" s="59" t="str">
        <f aca="false">IF(D261="","",IFERROR(INDEX(식자재단가!$F$4:$F$203,MATCH(D261,식자재단가!$C$4:$C$203,0)),""))</f>
        <v/>
      </c>
      <c r="H261" s="50"/>
      <c r="I261" s="82" t="str">
        <f aca="false">IF(OR(F261="",H261=""),"",F261*H261)</f>
        <v/>
      </c>
      <c r="J261" s="83" t="str">
        <f aca="false">IF(D261="","",IFERROR(INDEX(식자재단가!$M$4:$M$203,MATCH(D261,식자재단가!$C$4:$C$203,0)),"과세"))</f>
        <v/>
      </c>
      <c r="K261" s="28" t="str">
        <f aca="false">IF(I261="","",IF(J261="과세",ROUND(I261*0.1,0),0))</f>
        <v/>
      </c>
      <c r="L261" s="28" t="str">
        <f aca="false">IF(I261="","",I261+K261)</f>
        <v/>
      </c>
      <c r="M261" s="10"/>
      <c r="N261" s="80"/>
      <c r="O261" s="80"/>
      <c r="P261" s="59" t="str">
        <f aca="false">IF(E261="","",IFERROR(INDEX(기본설정!$H$4:$H$14,MATCH(E261,기본설정!$G$4:$G$14,0)),""))</f>
        <v/>
      </c>
    </row>
    <row r="262" customFormat="false" ht="15" hidden="false" customHeight="false" outlineLevel="0" collapsed="false">
      <c r="A262" s="73"/>
      <c r="B262" s="10"/>
      <c r="C262" s="80"/>
      <c r="D262" s="80"/>
      <c r="E262" s="81" t="str">
        <f aca="false">IF(D262="","",IFERROR(INDEX(식자재단가!$B$4:$B$203,MATCH(D262,식자재단가!$C$4:$C$203,0)),""))</f>
        <v/>
      </c>
      <c r="F262" s="76"/>
      <c r="G262" s="59" t="str">
        <f aca="false">IF(D262="","",IFERROR(INDEX(식자재단가!$F$4:$F$203,MATCH(D262,식자재단가!$C$4:$C$203,0)),""))</f>
        <v/>
      </c>
      <c r="H262" s="50"/>
      <c r="I262" s="82" t="str">
        <f aca="false">IF(OR(F262="",H262=""),"",F262*H262)</f>
        <v/>
      </c>
      <c r="J262" s="83" t="str">
        <f aca="false">IF(D262="","",IFERROR(INDEX(식자재단가!$M$4:$M$203,MATCH(D262,식자재단가!$C$4:$C$203,0)),"과세"))</f>
        <v/>
      </c>
      <c r="K262" s="28" t="str">
        <f aca="false">IF(I262="","",IF(J262="과세",ROUND(I262*0.1,0),0))</f>
        <v/>
      </c>
      <c r="L262" s="28" t="str">
        <f aca="false">IF(I262="","",I262+K262)</f>
        <v/>
      </c>
      <c r="M262" s="10"/>
      <c r="N262" s="80"/>
      <c r="O262" s="80"/>
      <c r="P262" s="59" t="str">
        <f aca="false">IF(E262="","",IFERROR(INDEX(기본설정!$H$4:$H$14,MATCH(E262,기본설정!$G$4:$G$14,0)),""))</f>
        <v/>
      </c>
    </row>
    <row r="263" customFormat="false" ht="15" hidden="false" customHeight="false" outlineLevel="0" collapsed="false">
      <c r="A263" s="73"/>
      <c r="B263" s="10"/>
      <c r="C263" s="80"/>
      <c r="D263" s="80"/>
      <c r="E263" s="81" t="str">
        <f aca="false">IF(D263="","",IFERROR(INDEX(식자재단가!$B$4:$B$203,MATCH(D263,식자재단가!$C$4:$C$203,0)),""))</f>
        <v/>
      </c>
      <c r="F263" s="76"/>
      <c r="G263" s="59" t="str">
        <f aca="false">IF(D263="","",IFERROR(INDEX(식자재단가!$F$4:$F$203,MATCH(D263,식자재단가!$C$4:$C$203,0)),""))</f>
        <v/>
      </c>
      <c r="H263" s="50"/>
      <c r="I263" s="82" t="str">
        <f aca="false">IF(OR(F263="",H263=""),"",F263*H263)</f>
        <v/>
      </c>
      <c r="J263" s="83" t="str">
        <f aca="false">IF(D263="","",IFERROR(INDEX(식자재단가!$M$4:$M$203,MATCH(D263,식자재단가!$C$4:$C$203,0)),"과세"))</f>
        <v/>
      </c>
      <c r="K263" s="28" t="str">
        <f aca="false">IF(I263="","",IF(J263="과세",ROUND(I263*0.1,0),0))</f>
        <v/>
      </c>
      <c r="L263" s="28" t="str">
        <f aca="false">IF(I263="","",I263+K263)</f>
        <v/>
      </c>
      <c r="M263" s="10"/>
      <c r="N263" s="80"/>
      <c r="O263" s="80"/>
      <c r="P263" s="59" t="str">
        <f aca="false">IF(E263="","",IFERROR(INDEX(기본설정!$H$4:$H$14,MATCH(E263,기본설정!$G$4:$G$14,0)),""))</f>
        <v/>
      </c>
    </row>
    <row r="264" customFormat="false" ht="15" hidden="false" customHeight="false" outlineLevel="0" collapsed="false">
      <c r="A264" s="73"/>
      <c r="B264" s="10"/>
      <c r="C264" s="80"/>
      <c r="D264" s="80"/>
      <c r="E264" s="81" t="str">
        <f aca="false">IF(D264="","",IFERROR(INDEX(식자재단가!$B$4:$B$203,MATCH(D264,식자재단가!$C$4:$C$203,0)),""))</f>
        <v/>
      </c>
      <c r="F264" s="76"/>
      <c r="G264" s="59" t="str">
        <f aca="false">IF(D264="","",IFERROR(INDEX(식자재단가!$F$4:$F$203,MATCH(D264,식자재단가!$C$4:$C$203,0)),""))</f>
        <v/>
      </c>
      <c r="H264" s="50"/>
      <c r="I264" s="82" t="str">
        <f aca="false">IF(OR(F264="",H264=""),"",F264*H264)</f>
        <v/>
      </c>
      <c r="J264" s="83" t="str">
        <f aca="false">IF(D264="","",IFERROR(INDEX(식자재단가!$M$4:$M$203,MATCH(D264,식자재단가!$C$4:$C$203,0)),"과세"))</f>
        <v/>
      </c>
      <c r="K264" s="28" t="str">
        <f aca="false">IF(I264="","",IF(J264="과세",ROUND(I264*0.1,0),0))</f>
        <v/>
      </c>
      <c r="L264" s="28" t="str">
        <f aca="false">IF(I264="","",I264+K264)</f>
        <v/>
      </c>
      <c r="M264" s="10"/>
      <c r="N264" s="80"/>
      <c r="O264" s="80"/>
      <c r="P264" s="59" t="str">
        <f aca="false">IF(E264="","",IFERROR(INDEX(기본설정!$H$4:$H$14,MATCH(E264,기본설정!$G$4:$G$14,0)),""))</f>
        <v/>
      </c>
    </row>
    <row r="265" customFormat="false" ht="15" hidden="false" customHeight="false" outlineLevel="0" collapsed="false">
      <c r="A265" s="73"/>
      <c r="B265" s="10"/>
      <c r="C265" s="80"/>
      <c r="D265" s="80"/>
      <c r="E265" s="81" t="str">
        <f aca="false">IF(D265="","",IFERROR(INDEX(식자재단가!$B$4:$B$203,MATCH(D265,식자재단가!$C$4:$C$203,0)),""))</f>
        <v/>
      </c>
      <c r="F265" s="76"/>
      <c r="G265" s="59" t="str">
        <f aca="false">IF(D265="","",IFERROR(INDEX(식자재단가!$F$4:$F$203,MATCH(D265,식자재단가!$C$4:$C$203,0)),""))</f>
        <v/>
      </c>
      <c r="H265" s="50"/>
      <c r="I265" s="82" t="str">
        <f aca="false">IF(OR(F265="",H265=""),"",F265*H265)</f>
        <v/>
      </c>
      <c r="J265" s="83" t="str">
        <f aca="false">IF(D265="","",IFERROR(INDEX(식자재단가!$M$4:$M$203,MATCH(D265,식자재단가!$C$4:$C$203,0)),"과세"))</f>
        <v/>
      </c>
      <c r="K265" s="28" t="str">
        <f aca="false">IF(I265="","",IF(J265="과세",ROUND(I265*0.1,0),0))</f>
        <v/>
      </c>
      <c r="L265" s="28" t="str">
        <f aca="false">IF(I265="","",I265+K265)</f>
        <v/>
      </c>
      <c r="M265" s="10"/>
      <c r="N265" s="80"/>
      <c r="O265" s="80"/>
      <c r="P265" s="59" t="str">
        <f aca="false">IF(E265="","",IFERROR(INDEX(기본설정!$H$4:$H$14,MATCH(E265,기본설정!$G$4:$G$14,0)),""))</f>
        <v/>
      </c>
    </row>
    <row r="266" customFormat="false" ht="15" hidden="false" customHeight="false" outlineLevel="0" collapsed="false">
      <c r="A266" s="73"/>
      <c r="B266" s="10"/>
      <c r="C266" s="80"/>
      <c r="D266" s="80"/>
      <c r="E266" s="81" t="str">
        <f aca="false">IF(D266="","",IFERROR(INDEX(식자재단가!$B$4:$B$203,MATCH(D266,식자재단가!$C$4:$C$203,0)),""))</f>
        <v/>
      </c>
      <c r="F266" s="76"/>
      <c r="G266" s="59" t="str">
        <f aca="false">IF(D266="","",IFERROR(INDEX(식자재단가!$F$4:$F$203,MATCH(D266,식자재단가!$C$4:$C$203,0)),""))</f>
        <v/>
      </c>
      <c r="H266" s="50"/>
      <c r="I266" s="82" t="str">
        <f aca="false">IF(OR(F266="",H266=""),"",F266*H266)</f>
        <v/>
      </c>
      <c r="J266" s="83" t="str">
        <f aca="false">IF(D266="","",IFERROR(INDEX(식자재단가!$M$4:$M$203,MATCH(D266,식자재단가!$C$4:$C$203,0)),"과세"))</f>
        <v/>
      </c>
      <c r="K266" s="28" t="str">
        <f aca="false">IF(I266="","",IF(J266="과세",ROUND(I266*0.1,0),0))</f>
        <v/>
      </c>
      <c r="L266" s="28" t="str">
        <f aca="false">IF(I266="","",I266+K266)</f>
        <v/>
      </c>
      <c r="M266" s="10"/>
      <c r="N266" s="80"/>
      <c r="O266" s="80"/>
      <c r="P266" s="59" t="str">
        <f aca="false">IF(E266="","",IFERROR(INDEX(기본설정!$H$4:$H$14,MATCH(E266,기본설정!$G$4:$G$14,0)),""))</f>
        <v/>
      </c>
    </row>
    <row r="267" customFormat="false" ht="15" hidden="false" customHeight="false" outlineLevel="0" collapsed="false">
      <c r="A267" s="73"/>
      <c r="B267" s="10"/>
      <c r="C267" s="80"/>
      <c r="D267" s="80"/>
      <c r="E267" s="81" t="str">
        <f aca="false">IF(D267="","",IFERROR(INDEX(식자재단가!$B$4:$B$203,MATCH(D267,식자재단가!$C$4:$C$203,0)),""))</f>
        <v/>
      </c>
      <c r="F267" s="76"/>
      <c r="G267" s="59" t="str">
        <f aca="false">IF(D267="","",IFERROR(INDEX(식자재단가!$F$4:$F$203,MATCH(D267,식자재단가!$C$4:$C$203,0)),""))</f>
        <v/>
      </c>
      <c r="H267" s="50"/>
      <c r="I267" s="82" t="str">
        <f aca="false">IF(OR(F267="",H267=""),"",F267*H267)</f>
        <v/>
      </c>
      <c r="J267" s="83" t="str">
        <f aca="false">IF(D267="","",IFERROR(INDEX(식자재단가!$M$4:$M$203,MATCH(D267,식자재단가!$C$4:$C$203,0)),"과세"))</f>
        <v/>
      </c>
      <c r="K267" s="28" t="str">
        <f aca="false">IF(I267="","",IF(J267="과세",ROUND(I267*0.1,0),0))</f>
        <v/>
      </c>
      <c r="L267" s="28" t="str">
        <f aca="false">IF(I267="","",I267+K267)</f>
        <v/>
      </c>
      <c r="M267" s="10"/>
      <c r="N267" s="80"/>
      <c r="O267" s="80"/>
      <c r="P267" s="59" t="str">
        <f aca="false">IF(E267="","",IFERROR(INDEX(기본설정!$H$4:$H$14,MATCH(E267,기본설정!$G$4:$G$14,0)),""))</f>
        <v/>
      </c>
    </row>
    <row r="268" customFormat="false" ht="15" hidden="false" customHeight="false" outlineLevel="0" collapsed="false">
      <c r="A268" s="73"/>
      <c r="B268" s="10"/>
      <c r="C268" s="80"/>
      <c r="D268" s="80"/>
      <c r="E268" s="81" t="str">
        <f aca="false">IF(D268="","",IFERROR(INDEX(식자재단가!$B$4:$B$203,MATCH(D268,식자재단가!$C$4:$C$203,0)),""))</f>
        <v/>
      </c>
      <c r="F268" s="76"/>
      <c r="G268" s="59" t="str">
        <f aca="false">IF(D268="","",IFERROR(INDEX(식자재단가!$F$4:$F$203,MATCH(D268,식자재단가!$C$4:$C$203,0)),""))</f>
        <v/>
      </c>
      <c r="H268" s="50"/>
      <c r="I268" s="82" t="str">
        <f aca="false">IF(OR(F268="",H268=""),"",F268*H268)</f>
        <v/>
      </c>
      <c r="J268" s="83" t="str">
        <f aca="false">IF(D268="","",IFERROR(INDEX(식자재단가!$M$4:$M$203,MATCH(D268,식자재단가!$C$4:$C$203,0)),"과세"))</f>
        <v/>
      </c>
      <c r="K268" s="28" t="str">
        <f aca="false">IF(I268="","",IF(J268="과세",ROUND(I268*0.1,0),0))</f>
        <v/>
      </c>
      <c r="L268" s="28" t="str">
        <f aca="false">IF(I268="","",I268+K268)</f>
        <v/>
      </c>
      <c r="M268" s="10"/>
      <c r="N268" s="80"/>
      <c r="O268" s="80"/>
      <c r="P268" s="59" t="str">
        <f aca="false">IF(E268="","",IFERROR(INDEX(기본설정!$H$4:$H$14,MATCH(E268,기본설정!$G$4:$G$14,0)),""))</f>
        <v/>
      </c>
    </row>
    <row r="269" customFormat="false" ht="15" hidden="false" customHeight="false" outlineLevel="0" collapsed="false">
      <c r="A269" s="73"/>
      <c r="B269" s="10"/>
      <c r="C269" s="80"/>
      <c r="D269" s="80"/>
      <c r="E269" s="81" t="str">
        <f aca="false">IF(D269="","",IFERROR(INDEX(식자재단가!$B$4:$B$203,MATCH(D269,식자재단가!$C$4:$C$203,0)),""))</f>
        <v/>
      </c>
      <c r="F269" s="76"/>
      <c r="G269" s="59" t="str">
        <f aca="false">IF(D269="","",IFERROR(INDEX(식자재단가!$F$4:$F$203,MATCH(D269,식자재단가!$C$4:$C$203,0)),""))</f>
        <v/>
      </c>
      <c r="H269" s="50"/>
      <c r="I269" s="82" t="str">
        <f aca="false">IF(OR(F269="",H269=""),"",F269*H269)</f>
        <v/>
      </c>
      <c r="J269" s="83" t="str">
        <f aca="false">IF(D269="","",IFERROR(INDEX(식자재단가!$M$4:$M$203,MATCH(D269,식자재단가!$C$4:$C$203,0)),"과세"))</f>
        <v/>
      </c>
      <c r="K269" s="28" t="str">
        <f aca="false">IF(I269="","",IF(J269="과세",ROUND(I269*0.1,0),0))</f>
        <v/>
      </c>
      <c r="L269" s="28" t="str">
        <f aca="false">IF(I269="","",I269+K269)</f>
        <v/>
      </c>
      <c r="M269" s="10"/>
      <c r="N269" s="80"/>
      <c r="O269" s="80"/>
      <c r="P269" s="59" t="str">
        <f aca="false">IF(E269="","",IFERROR(INDEX(기본설정!$H$4:$H$14,MATCH(E269,기본설정!$G$4:$G$14,0)),""))</f>
        <v/>
      </c>
    </row>
    <row r="270" customFormat="false" ht="15" hidden="false" customHeight="false" outlineLevel="0" collapsed="false">
      <c r="A270" s="73"/>
      <c r="B270" s="10"/>
      <c r="C270" s="80"/>
      <c r="D270" s="80"/>
      <c r="E270" s="81" t="str">
        <f aca="false">IF(D270="","",IFERROR(INDEX(식자재단가!$B$4:$B$203,MATCH(D270,식자재단가!$C$4:$C$203,0)),""))</f>
        <v/>
      </c>
      <c r="F270" s="76"/>
      <c r="G270" s="59" t="str">
        <f aca="false">IF(D270="","",IFERROR(INDEX(식자재단가!$F$4:$F$203,MATCH(D270,식자재단가!$C$4:$C$203,0)),""))</f>
        <v/>
      </c>
      <c r="H270" s="50"/>
      <c r="I270" s="82" t="str">
        <f aca="false">IF(OR(F270="",H270=""),"",F270*H270)</f>
        <v/>
      </c>
      <c r="J270" s="83" t="str">
        <f aca="false">IF(D270="","",IFERROR(INDEX(식자재단가!$M$4:$M$203,MATCH(D270,식자재단가!$C$4:$C$203,0)),"과세"))</f>
        <v/>
      </c>
      <c r="K270" s="28" t="str">
        <f aca="false">IF(I270="","",IF(J270="과세",ROUND(I270*0.1,0),0))</f>
        <v/>
      </c>
      <c r="L270" s="28" t="str">
        <f aca="false">IF(I270="","",I270+K270)</f>
        <v/>
      </c>
      <c r="M270" s="10"/>
      <c r="N270" s="80"/>
      <c r="O270" s="80"/>
      <c r="P270" s="59" t="str">
        <f aca="false">IF(E270="","",IFERROR(INDEX(기본설정!$H$4:$H$14,MATCH(E270,기본설정!$G$4:$G$14,0)),""))</f>
        <v/>
      </c>
    </row>
    <row r="271" customFormat="false" ht="15" hidden="false" customHeight="false" outlineLevel="0" collapsed="false">
      <c r="A271" s="73"/>
      <c r="B271" s="10"/>
      <c r="C271" s="80"/>
      <c r="D271" s="80"/>
      <c r="E271" s="81" t="str">
        <f aca="false">IF(D271="","",IFERROR(INDEX(식자재단가!$B$4:$B$203,MATCH(D271,식자재단가!$C$4:$C$203,0)),""))</f>
        <v/>
      </c>
      <c r="F271" s="76"/>
      <c r="G271" s="59" t="str">
        <f aca="false">IF(D271="","",IFERROR(INDEX(식자재단가!$F$4:$F$203,MATCH(D271,식자재단가!$C$4:$C$203,0)),""))</f>
        <v/>
      </c>
      <c r="H271" s="50"/>
      <c r="I271" s="82" t="str">
        <f aca="false">IF(OR(F271="",H271=""),"",F271*H271)</f>
        <v/>
      </c>
      <c r="J271" s="83" t="str">
        <f aca="false">IF(D271="","",IFERROR(INDEX(식자재단가!$M$4:$M$203,MATCH(D271,식자재단가!$C$4:$C$203,0)),"과세"))</f>
        <v/>
      </c>
      <c r="K271" s="28" t="str">
        <f aca="false">IF(I271="","",IF(J271="과세",ROUND(I271*0.1,0),0))</f>
        <v/>
      </c>
      <c r="L271" s="28" t="str">
        <f aca="false">IF(I271="","",I271+K271)</f>
        <v/>
      </c>
      <c r="M271" s="10"/>
      <c r="N271" s="80"/>
      <c r="O271" s="80"/>
      <c r="P271" s="59" t="str">
        <f aca="false">IF(E271="","",IFERROR(INDEX(기본설정!$H$4:$H$14,MATCH(E271,기본설정!$G$4:$G$14,0)),""))</f>
        <v/>
      </c>
    </row>
    <row r="272" customFormat="false" ht="15" hidden="false" customHeight="false" outlineLevel="0" collapsed="false">
      <c r="A272" s="73"/>
      <c r="B272" s="10"/>
      <c r="C272" s="80"/>
      <c r="D272" s="80"/>
      <c r="E272" s="81" t="str">
        <f aca="false">IF(D272="","",IFERROR(INDEX(식자재단가!$B$4:$B$203,MATCH(D272,식자재단가!$C$4:$C$203,0)),""))</f>
        <v/>
      </c>
      <c r="F272" s="76"/>
      <c r="G272" s="59" t="str">
        <f aca="false">IF(D272="","",IFERROR(INDEX(식자재단가!$F$4:$F$203,MATCH(D272,식자재단가!$C$4:$C$203,0)),""))</f>
        <v/>
      </c>
      <c r="H272" s="50"/>
      <c r="I272" s="82" t="str">
        <f aca="false">IF(OR(F272="",H272=""),"",F272*H272)</f>
        <v/>
      </c>
      <c r="J272" s="83" t="str">
        <f aca="false">IF(D272="","",IFERROR(INDEX(식자재단가!$M$4:$M$203,MATCH(D272,식자재단가!$C$4:$C$203,0)),"과세"))</f>
        <v/>
      </c>
      <c r="K272" s="28" t="str">
        <f aca="false">IF(I272="","",IF(J272="과세",ROUND(I272*0.1,0),0))</f>
        <v/>
      </c>
      <c r="L272" s="28" t="str">
        <f aca="false">IF(I272="","",I272+K272)</f>
        <v/>
      </c>
      <c r="M272" s="10"/>
      <c r="N272" s="80"/>
      <c r="O272" s="80"/>
      <c r="P272" s="59" t="str">
        <f aca="false">IF(E272="","",IFERROR(INDEX(기본설정!$H$4:$H$14,MATCH(E272,기본설정!$G$4:$G$14,0)),""))</f>
        <v/>
      </c>
    </row>
    <row r="273" customFormat="false" ht="15" hidden="false" customHeight="false" outlineLevel="0" collapsed="false">
      <c r="A273" s="73"/>
      <c r="B273" s="10"/>
      <c r="C273" s="80"/>
      <c r="D273" s="80"/>
      <c r="E273" s="81" t="str">
        <f aca="false">IF(D273="","",IFERROR(INDEX(식자재단가!$B$4:$B$203,MATCH(D273,식자재단가!$C$4:$C$203,0)),""))</f>
        <v/>
      </c>
      <c r="F273" s="76"/>
      <c r="G273" s="59" t="str">
        <f aca="false">IF(D273="","",IFERROR(INDEX(식자재단가!$F$4:$F$203,MATCH(D273,식자재단가!$C$4:$C$203,0)),""))</f>
        <v/>
      </c>
      <c r="H273" s="50"/>
      <c r="I273" s="82" t="str">
        <f aca="false">IF(OR(F273="",H273=""),"",F273*H273)</f>
        <v/>
      </c>
      <c r="J273" s="83" t="str">
        <f aca="false">IF(D273="","",IFERROR(INDEX(식자재단가!$M$4:$M$203,MATCH(D273,식자재단가!$C$4:$C$203,0)),"과세"))</f>
        <v/>
      </c>
      <c r="K273" s="28" t="str">
        <f aca="false">IF(I273="","",IF(J273="과세",ROUND(I273*0.1,0),0))</f>
        <v/>
      </c>
      <c r="L273" s="28" t="str">
        <f aca="false">IF(I273="","",I273+K273)</f>
        <v/>
      </c>
      <c r="M273" s="10"/>
      <c r="N273" s="80"/>
      <c r="O273" s="80"/>
      <c r="P273" s="59" t="str">
        <f aca="false">IF(E273="","",IFERROR(INDEX(기본설정!$H$4:$H$14,MATCH(E273,기본설정!$G$4:$G$14,0)),""))</f>
        <v/>
      </c>
    </row>
    <row r="274" customFormat="false" ht="15" hidden="false" customHeight="false" outlineLevel="0" collapsed="false">
      <c r="A274" s="73"/>
      <c r="B274" s="10"/>
      <c r="C274" s="80"/>
      <c r="D274" s="80"/>
      <c r="E274" s="81" t="str">
        <f aca="false">IF(D274="","",IFERROR(INDEX(식자재단가!$B$4:$B$203,MATCH(D274,식자재단가!$C$4:$C$203,0)),""))</f>
        <v/>
      </c>
      <c r="F274" s="76"/>
      <c r="G274" s="59" t="str">
        <f aca="false">IF(D274="","",IFERROR(INDEX(식자재단가!$F$4:$F$203,MATCH(D274,식자재단가!$C$4:$C$203,0)),""))</f>
        <v/>
      </c>
      <c r="H274" s="50"/>
      <c r="I274" s="82" t="str">
        <f aca="false">IF(OR(F274="",H274=""),"",F274*H274)</f>
        <v/>
      </c>
      <c r="J274" s="83" t="str">
        <f aca="false">IF(D274="","",IFERROR(INDEX(식자재단가!$M$4:$M$203,MATCH(D274,식자재단가!$C$4:$C$203,0)),"과세"))</f>
        <v/>
      </c>
      <c r="K274" s="28" t="str">
        <f aca="false">IF(I274="","",IF(J274="과세",ROUND(I274*0.1,0),0))</f>
        <v/>
      </c>
      <c r="L274" s="28" t="str">
        <f aca="false">IF(I274="","",I274+K274)</f>
        <v/>
      </c>
      <c r="M274" s="10"/>
      <c r="N274" s="80"/>
      <c r="O274" s="80"/>
      <c r="P274" s="59" t="str">
        <f aca="false">IF(E274="","",IFERROR(INDEX(기본설정!$H$4:$H$14,MATCH(E274,기본설정!$G$4:$G$14,0)),""))</f>
        <v/>
      </c>
    </row>
    <row r="275" customFormat="false" ht="15" hidden="false" customHeight="false" outlineLevel="0" collapsed="false">
      <c r="A275" s="73"/>
      <c r="B275" s="10"/>
      <c r="C275" s="80"/>
      <c r="D275" s="80"/>
      <c r="E275" s="81" t="str">
        <f aca="false">IF(D275="","",IFERROR(INDEX(식자재단가!$B$4:$B$203,MATCH(D275,식자재단가!$C$4:$C$203,0)),""))</f>
        <v/>
      </c>
      <c r="F275" s="76"/>
      <c r="G275" s="59" t="str">
        <f aca="false">IF(D275="","",IFERROR(INDEX(식자재단가!$F$4:$F$203,MATCH(D275,식자재단가!$C$4:$C$203,0)),""))</f>
        <v/>
      </c>
      <c r="H275" s="50"/>
      <c r="I275" s="82" t="str">
        <f aca="false">IF(OR(F275="",H275=""),"",F275*H275)</f>
        <v/>
      </c>
      <c r="J275" s="83" t="str">
        <f aca="false">IF(D275="","",IFERROR(INDEX(식자재단가!$M$4:$M$203,MATCH(D275,식자재단가!$C$4:$C$203,0)),"과세"))</f>
        <v/>
      </c>
      <c r="K275" s="28" t="str">
        <f aca="false">IF(I275="","",IF(J275="과세",ROUND(I275*0.1,0),0))</f>
        <v/>
      </c>
      <c r="L275" s="28" t="str">
        <f aca="false">IF(I275="","",I275+K275)</f>
        <v/>
      </c>
      <c r="M275" s="10"/>
      <c r="N275" s="80"/>
      <c r="O275" s="80"/>
      <c r="P275" s="59" t="str">
        <f aca="false">IF(E275="","",IFERROR(INDEX(기본설정!$H$4:$H$14,MATCH(E275,기본설정!$G$4:$G$14,0)),""))</f>
        <v/>
      </c>
    </row>
    <row r="276" customFormat="false" ht="15" hidden="false" customHeight="false" outlineLevel="0" collapsed="false">
      <c r="A276" s="73"/>
      <c r="B276" s="10"/>
      <c r="C276" s="80"/>
      <c r="D276" s="80"/>
      <c r="E276" s="81" t="str">
        <f aca="false">IF(D276="","",IFERROR(INDEX(식자재단가!$B$4:$B$203,MATCH(D276,식자재단가!$C$4:$C$203,0)),""))</f>
        <v/>
      </c>
      <c r="F276" s="76"/>
      <c r="G276" s="59" t="str">
        <f aca="false">IF(D276="","",IFERROR(INDEX(식자재단가!$F$4:$F$203,MATCH(D276,식자재단가!$C$4:$C$203,0)),""))</f>
        <v/>
      </c>
      <c r="H276" s="50"/>
      <c r="I276" s="82" t="str">
        <f aca="false">IF(OR(F276="",H276=""),"",F276*H276)</f>
        <v/>
      </c>
      <c r="J276" s="83" t="str">
        <f aca="false">IF(D276="","",IFERROR(INDEX(식자재단가!$M$4:$M$203,MATCH(D276,식자재단가!$C$4:$C$203,0)),"과세"))</f>
        <v/>
      </c>
      <c r="K276" s="28" t="str">
        <f aca="false">IF(I276="","",IF(J276="과세",ROUND(I276*0.1,0),0))</f>
        <v/>
      </c>
      <c r="L276" s="28" t="str">
        <f aca="false">IF(I276="","",I276+K276)</f>
        <v/>
      </c>
      <c r="M276" s="10"/>
      <c r="N276" s="80"/>
      <c r="O276" s="80"/>
      <c r="P276" s="59" t="str">
        <f aca="false">IF(E276="","",IFERROR(INDEX(기본설정!$H$4:$H$14,MATCH(E276,기본설정!$G$4:$G$14,0)),""))</f>
        <v/>
      </c>
    </row>
    <row r="277" customFormat="false" ht="15" hidden="false" customHeight="false" outlineLevel="0" collapsed="false">
      <c r="A277" s="73"/>
      <c r="B277" s="10"/>
      <c r="C277" s="80"/>
      <c r="D277" s="80"/>
      <c r="E277" s="81" t="str">
        <f aca="false">IF(D277="","",IFERROR(INDEX(식자재단가!$B$4:$B$203,MATCH(D277,식자재단가!$C$4:$C$203,0)),""))</f>
        <v/>
      </c>
      <c r="F277" s="76"/>
      <c r="G277" s="59" t="str">
        <f aca="false">IF(D277="","",IFERROR(INDEX(식자재단가!$F$4:$F$203,MATCH(D277,식자재단가!$C$4:$C$203,0)),""))</f>
        <v/>
      </c>
      <c r="H277" s="50"/>
      <c r="I277" s="82" t="str">
        <f aca="false">IF(OR(F277="",H277=""),"",F277*H277)</f>
        <v/>
      </c>
      <c r="J277" s="83" t="str">
        <f aca="false">IF(D277="","",IFERROR(INDEX(식자재단가!$M$4:$M$203,MATCH(D277,식자재단가!$C$4:$C$203,0)),"과세"))</f>
        <v/>
      </c>
      <c r="K277" s="28" t="str">
        <f aca="false">IF(I277="","",IF(J277="과세",ROUND(I277*0.1,0),0))</f>
        <v/>
      </c>
      <c r="L277" s="28" t="str">
        <f aca="false">IF(I277="","",I277+K277)</f>
        <v/>
      </c>
      <c r="M277" s="10"/>
      <c r="N277" s="80"/>
      <c r="O277" s="80"/>
      <c r="P277" s="59" t="str">
        <f aca="false">IF(E277="","",IFERROR(INDEX(기본설정!$H$4:$H$14,MATCH(E277,기본설정!$G$4:$G$14,0)),""))</f>
        <v/>
      </c>
    </row>
    <row r="278" customFormat="false" ht="15" hidden="false" customHeight="false" outlineLevel="0" collapsed="false">
      <c r="A278" s="73"/>
      <c r="B278" s="10"/>
      <c r="C278" s="80"/>
      <c r="D278" s="80"/>
      <c r="E278" s="81" t="str">
        <f aca="false">IF(D278="","",IFERROR(INDEX(식자재단가!$B$4:$B$203,MATCH(D278,식자재단가!$C$4:$C$203,0)),""))</f>
        <v/>
      </c>
      <c r="F278" s="76"/>
      <c r="G278" s="59" t="str">
        <f aca="false">IF(D278="","",IFERROR(INDEX(식자재단가!$F$4:$F$203,MATCH(D278,식자재단가!$C$4:$C$203,0)),""))</f>
        <v/>
      </c>
      <c r="H278" s="50"/>
      <c r="I278" s="82" t="str">
        <f aca="false">IF(OR(F278="",H278=""),"",F278*H278)</f>
        <v/>
      </c>
      <c r="J278" s="83" t="str">
        <f aca="false">IF(D278="","",IFERROR(INDEX(식자재단가!$M$4:$M$203,MATCH(D278,식자재단가!$C$4:$C$203,0)),"과세"))</f>
        <v/>
      </c>
      <c r="K278" s="28" t="str">
        <f aca="false">IF(I278="","",IF(J278="과세",ROUND(I278*0.1,0),0))</f>
        <v/>
      </c>
      <c r="L278" s="28" t="str">
        <f aca="false">IF(I278="","",I278+K278)</f>
        <v/>
      </c>
      <c r="M278" s="10"/>
      <c r="N278" s="80"/>
      <c r="O278" s="80"/>
      <c r="P278" s="59" t="str">
        <f aca="false">IF(E278="","",IFERROR(INDEX(기본설정!$H$4:$H$14,MATCH(E278,기본설정!$G$4:$G$14,0)),""))</f>
        <v/>
      </c>
    </row>
    <row r="279" customFormat="false" ht="15" hidden="false" customHeight="false" outlineLevel="0" collapsed="false">
      <c r="A279" s="73"/>
      <c r="B279" s="10"/>
      <c r="C279" s="80"/>
      <c r="D279" s="80"/>
      <c r="E279" s="81" t="str">
        <f aca="false">IF(D279="","",IFERROR(INDEX(식자재단가!$B$4:$B$203,MATCH(D279,식자재단가!$C$4:$C$203,0)),""))</f>
        <v/>
      </c>
      <c r="F279" s="76"/>
      <c r="G279" s="59" t="str">
        <f aca="false">IF(D279="","",IFERROR(INDEX(식자재단가!$F$4:$F$203,MATCH(D279,식자재단가!$C$4:$C$203,0)),""))</f>
        <v/>
      </c>
      <c r="H279" s="50"/>
      <c r="I279" s="82" t="str">
        <f aca="false">IF(OR(F279="",H279=""),"",F279*H279)</f>
        <v/>
      </c>
      <c r="J279" s="83" t="str">
        <f aca="false">IF(D279="","",IFERROR(INDEX(식자재단가!$M$4:$M$203,MATCH(D279,식자재단가!$C$4:$C$203,0)),"과세"))</f>
        <v/>
      </c>
      <c r="K279" s="28" t="str">
        <f aca="false">IF(I279="","",IF(J279="과세",ROUND(I279*0.1,0),0))</f>
        <v/>
      </c>
      <c r="L279" s="28" t="str">
        <f aca="false">IF(I279="","",I279+K279)</f>
        <v/>
      </c>
      <c r="M279" s="10"/>
      <c r="N279" s="80"/>
      <c r="O279" s="80"/>
      <c r="P279" s="59" t="str">
        <f aca="false">IF(E279="","",IFERROR(INDEX(기본설정!$H$4:$H$14,MATCH(E279,기본설정!$G$4:$G$14,0)),""))</f>
        <v/>
      </c>
    </row>
    <row r="280" customFormat="false" ht="15" hidden="false" customHeight="false" outlineLevel="0" collapsed="false">
      <c r="A280" s="73"/>
      <c r="B280" s="10"/>
      <c r="C280" s="80"/>
      <c r="D280" s="80"/>
      <c r="E280" s="81" t="str">
        <f aca="false">IF(D280="","",IFERROR(INDEX(식자재단가!$B$4:$B$203,MATCH(D280,식자재단가!$C$4:$C$203,0)),""))</f>
        <v/>
      </c>
      <c r="F280" s="76"/>
      <c r="G280" s="59" t="str">
        <f aca="false">IF(D280="","",IFERROR(INDEX(식자재단가!$F$4:$F$203,MATCH(D280,식자재단가!$C$4:$C$203,0)),""))</f>
        <v/>
      </c>
      <c r="H280" s="50"/>
      <c r="I280" s="82" t="str">
        <f aca="false">IF(OR(F280="",H280=""),"",F280*H280)</f>
        <v/>
      </c>
      <c r="J280" s="83" t="str">
        <f aca="false">IF(D280="","",IFERROR(INDEX(식자재단가!$M$4:$M$203,MATCH(D280,식자재단가!$C$4:$C$203,0)),"과세"))</f>
        <v/>
      </c>
      <c r="K280" s="28" t="str">
        <f aca="false">IF(I280="","",IF(J280="과세",ROUND(I280*0.1,0),0))</f>
        <v/>
      </c>
      <c r="L280" s="28" t="str">
        <f aca="false">IF(I280="","",I280+K280)</f>
        <v/>
      </c>
      <c r="M280" s="10"/>
      <c r="N280" s="80"/>
      <c r="O280" s="80"/>
      <c r="P280" s="59" t="str">
        <f aca="false">IF(E280="","",IFERROR(INDEX(기본설정!$H$4:$H$14,MATCH(E280,기본설정!$G$4:$G$14,0)),""))</f>
        <v/>
      </c>
    </row>
    <row r="281" customFormat="false" ht="15" hidden="false" customHeight="false" outlineLevel="0" collapsed="false">
      <c r="A281" s="73"/>
      <c r="B281" s="10"/>
      <c r="C281" s="80"/>
      <c r="D281" s="80"/>
      <c r="E281" s="81" t="str">
        <f aca="false">IF(D281="","",IFERROR(INDEX(식자재단가!$B$4:$B$203,MATCH(D281,식자재단가!$C$4:$C$203,0)),""))</f>
        <v/>
      </c>
      <c r="F281" s="76"/>
      <c r="G281" s="59" t="str">
        <f aca="false">IF(D281="","",IFERROR(INDEX(식자재단가!$F$4:$F$203,MATCH(D281,식자재단가!$C$4:$C$203,0)),""))</f>
        <v/>
      </c>
      <c r="H281" s="50"/>
      <c r="I281" s="82" t="str">
        <f aca="false">IF(OR(F281="",H281=""),"",F281*H281)</f>
        <v/>
      </c>
      <c r="J281" s="83" t="str">
        <f aca="false">IF(D281="","",IFERROR(INDEX(식자재단가!$M$4:$M$203,MATCH(D281,식자재단가!$C$4:$C$203,0)),"과세"))</f>
        <v/>
      </c>
      <c r="K281" s="28" t="str">
        <f aca="false">IF(I281="","",IF(J281="과세",ROUND(I281*0.1,0),0))</f>
        <v/>
      </c>
      <c r="L281" s="28" t="str">
        <f aca="false">IF(I281="","",I281+K281)</f>
        <v/>
      </c>
      <c r="M281" s="10"/>
      <c r="N281" s="80"/>
      <c r="O281" s="80"/>
      <c r="P281" s="59" t="str">
        <f aca="false">IF(E281="","",IFERROR(INDEX(기본설정!$H$4:$H$14,MATCH(E281,기본설정!$G$4:$G$14,0)),""))</f>
        <v/>
      </c>
    </row>
    <row r="282" customFormat="false" ht="15" hidden="false" customHeight="false" outlineLevel="0" collapsed="false">
      <c r="A282" s="73"/>
      <c r="B282" s="10"/>
      <c r="C282" s="80"/>
      <c r="D282" s="80"/>
      <c r="E282" s="81" t="str">
        <f aca="false">IF(D282="","",IFERROR(INDEX(식자재단가!$B$4:$B$203,MATCH(D282,식자재단가!$C$4:$C$203,0)),""))</f>
        <v/>
      </c>
      <c r="F282" s="76"/>
      <c r="G282" s="59" t="str">
        <f aca="false">IF(D282="","",IFERROR(INDEX(식자재단가!$F$4:$F$203,MATCH(D282,식자재단가!$C$4:$C$203,0)),""))</f>
        <v/>
      </c>
      <c r="H282" s="50"/>
      <c r="I282" s="82" t="str">
        <f aca="false">IF(OR(F282="",H282=""),"",F282*H282)</f>
        <v/>
      </c>
      <c r="J282" s="83" t="str">
        <f aca="false">IF(D282="","",IFERROR(INDEX(식자재단가!$M$4:$M$203,MATCH(D282,식자재단가!$C$4:$C$203,0)),"과세"))</f>
        <v/>
      </c>
      <c r="K282" s="28" t="str">
        <f aca="false">IF(I282="","",IF(J282="과세",ROUND(I282*0.1,0),0))</f>
        <v/>
      </c>
      <c r="L282" s="28" t="str">
        <f aca="false">IF(I282="","",I282+K282)</f>
        <v/>
      </c>
      <c r="M282" s="10"/>
      <c r="N282" s="80"/>
      <c r="O282" s="80"/>
      <c r="P282" s="59" t="str">
        <f aca="false">IF(E282="","",IFERROR(INDEX(기본설정!$H$4:$H$14,MATCH(E282,기본설정!$G$4:$G$14,0)),""))</f>
        <v/>
      </c>
    </row>
    <row r="283" customFormat="false" ht="15" hidden="false" customHeight="false" outlineLevel="0" collapsed="false">
      <c r="A283" s="73"/>
      <c r="B283" s="10"/>
      <c r="C283" s="80"/>
      <c r="D283" s="80"/>
      <c r="E283" s="81" t="str">
        <f aca="false">IF(D283="","",IFERROR(INDEX(식자재단가!$B$4:$B$203,MATCH(D283,식자재단가!$C$4:$C$203,0)),""))</f>
        <v/>
      </c>
      <c r="F283" s="76"/>
      <c r="G283" s="59" t="str">
        <f aca="false">IF(D283="","",IFERROR(INDEX(식자재단가!$F$4:$F$203,MATCH(D283,식자재단가!$C$4:$C$203,0)),""))</f>
        <v/>
      </c>
      <c r="H283" s="50"/>
      <c r="I283" s="82" t="str">
        <f aca="false">IF(OR(F283="",H283=""),"",F283*H283)</f>
        <v/>
      </c>
      <c r="J283" s="83" t="str">
        <f aca="false">IF(D283="","",IFERROR(INDEX(식자재단가!$M$4:$M$203,MATCH(D283,식자재단가!$C$4:$C$203,0)),"과세"))</f>
        <v/>
      </c>
      <c r="K283" s="28" t="str">
        <f aca="false">IF(I283="","",IF(J283="과세",ROUND(I283*0.1,0),0))</f>
        <v/>
      </c>
      <c r="L283" s="28" t="str">
        <f aca="false">IF(I283="","",I283+K283)</f>
        <v/>
      </c>
      <c r="M283" s="10"/>
      <c r="N283" s="80"/>
      <c r="O283" s="80"/>
      <c r="P283" s="59" t="str">
        <f aca="false">IF(E283="","",IFERROR(INDEX(기본설정!$H$4:$H$14,MATCH(E283,기본설정!$G$4:$G$14,0)),""))</f>
        <v/>
      </c>
    </row>
    <row r="284" customFormat="false" ht="15" hidden="false" customHeight="false" outlineLevel="0" collapsed="false">
      <c r="A284" s="73"/>
      <c r="B284" s="10"/>
      <c r="C284" s="80"/>
      <c r="D284" s="80"/>
      <c r="E284" s="81" t="str">
        <f aca="false">IF(D284="","",IFERROR(INDEX(식자재단가!$B$4:$B$203,MATCH(D284,식자재단가!$C$4:$C$203,0)),""))</f>
        <v/>
      </c>
      <c r="F284" s="76"/>
      <c r="G284" s="59" t="str">
        <f aca="false">IF(D284="","",IFERROR(INDEX(식자재단가!$F$4:$F$203,MATCH(D284,식자재단가!$C$4:$C$203,0)),""))</f>
        <v/>
      </c>
      <c r="H284" s="50"/>
      <c r="I284" s="82" t="str">
        <f aca="false">IF(OR(F284="",H284=""),"",F284*H284)</f>
        <v/>
      </c>
      <c r="J284" s="83" t="str">
        <f aca="false">IF(D284="","",IFERROR(INDEX(식자재단가!$M$4:$M$203,MATCH(D284,식자재단가!$C$4:$C$203,0)),"과세"))</f>
        <v/>
      </c>
      <c r="K284" s="28" t="str">
        <f aca="false">IF(I284="","",IF(J284="과세",ROUND(I284*0.1,0),0))</f>
        <v/>
      </c>
      <c r="L284" s="28" t="str">
        <f aca="false">IF(I284="","",I284+K284)</f>
        <v/>
      </c>
      <c r="M284" s="10"/>
      <c r="N284" s="80"/>
      <c r="O284" s="80"/>
      <c r="P284" s="59" t="str">
        <f aca="false">IF(E284="","",IFERROR(INDEX(기본설정!$H$4:$H$14,MATCH(E284,기본설정!$G$4:$G$14,0)),""))</f>
        <v/>
      </c>
    </row>
    <row r="285" customFormat="false" ht="15" hidden="false" customHeight="false" outlineLevel="0" collapsed="false">
      <c r="A285" s="73"/>
      <c r="B285" s="10"/>
      <c r="C285" s="80"/>
      <c r="D285" s="80"/>
      <c r="E285" s="81" t="str">
        <f aca="false">IF(D285="","",IFERROR(INDEX(식자재단가!$B$4:$B$203,MATCH(D285,식자재단가!$C$4:$C$203,0)),""))</f>
        <v/>
      </c>
      <c r="F285" s="76"/>
      <c r="G285" s="59" t="str">
        <f aca="false">IF(D285="","",IFERROR(INDEX(식자재단가!$F$4:$F$203,MATCH(D285,식자재단가!$C$4:$C$203,0)),""))</f>
        <v/>
      </c>
      <c r="H285" s="50"/>
      <c r="I285" s="82" t="str">
        <f aca="false">IF(OR(F285="",H285=""),"",F285*H285)</f>
        <v/>
      </c>
      <c r="J285" s="83" t="str">
        <f aca="false">IF(D285="","",IFERROR(INDEX(식자재단가!$M$4:$M$203,MATCH(D285,식자재단가!$C$4:$C$203,0)),"과세"))</f>
        <v/>
      </c>
      <c r="K285" s="28" t="str">
        <f aca="false">IF(I285="","",IF(J285="과세",ROUND(I285*0.1,0),0))</f>
        <v/>
      </c>
      <c r="L285" s="28" t="str">
        <f aca="false">IF(I285="","",I285+K285)</f>
        <v/>
      </c>
      <c r="M285" s="10"/>
      <c r="N285" s="80"/>
      <c r="O285" s="80"/>
      <c r="P285" s="59" t="str">
        <f aca="false">IF(E285="","",IFERROR(INDEX(기본설정!$H$4:$H$14,MATCH(E285,기본설정!$G$4:$G$14,0)),""))</f>
        <v/>
      </c>
    </row>
    <row r="286" customFormat="false" ht="15" hidden="false" customHeight="false" outlineLevel="0" collapsed="false">
      <c r="A286" s="73"/>
      <c r="B286" s="10"/>
      <c r="C286" s="80"/>
      <c r="D286" s="80"/>
      <c r="E286" s="81" t="str">
        <f aca="false">IF(D286="","",IFERROR(INDEX(식자재단가!$B$4:$B$203,MATCH(D286,식자재단가!$C$4:$C$203,0)),""))</f>
        <v/>
      </c>
      <c r="F286" s="76"/>
      <c r="G286" s="59" t="str">
        <f aca="false">IF(D286="","",IFERROR(INDEX(식자재단가!$F$4:$F$203,MATCH(D286,식자재단가!$C$4:$C$203,0)),""))</f>
        <v/>
      </c>
      <c r="H286" s="50"/>
      <c r="I286" s="82" t="str">
        <f aca="false">IF(OR(F286="",H286=""),"",F286*H286)</f>
        <v/>
      </c>
      <c r="J286" s="83" t="str">
        <f aca="false">IF(D286="","",IFERROR(INDEX(식자재단가!$M$4:$M$203,MATCH(D286,식자재단가!$C$4:$C$203,0)),"과세"))</f>
        <v/>
      </c>
      <c r="K286" s="28" t="str">
        <f aca="false">IF(I286="","",IF(J286="과세",ROUND(I286*0.1,0),0))</f>
        <v/>
      </c>
      <c r="L286" s="28" t="str">
        <f aca="false">IF(I286="","",I286+K286)</f>
        <v/>
      </c>
      <c r="M286" s="10"/>
      <c r="N286" s="80"/>
      <c r="O286" s="80"/>
      <c r="P286" s="59" t="str">
        <f aca="false">IF(E286="","",IFERROR(INDEX(기본설정!$H$4:$H$14,MATCH(E286,기본설정!$G$4:$G$14,0)),""))</f>
        <v/>
      </c>
    </row>
    <row r="287" customFormat="false" ht="15" hidden="false" customHeight="false" outlineLevel="0" collapsed="false">
      <c r="A287" s="73"/>
      <c r="B287" s="10"/>
      <c r="C287" s="80"/>
      <c r="D287" s="80"/>
      <c r="E287" s="81" t="str">
        <f aca="false">IF(D287="","",IFERROR(INDEX(식자재단가!$B$4:$B$203,MATCH(D287,식자재단가!$C$4:$C$203,0)),""))</f>
        <v/>
      </c>
      <c r="F287" s="76"/>
      <c r="G287" s="59" t="str">
        <f aca="false">IF(D287="","",IFERROR(INDEX(식자재단가!$F$4:$F$203,MATCH(D287,식자재단가!$C$4:$C$203,0)),""))</f>
        <v/>
      </c>
      <c r="H287" s="50"/>
      <c r="I287" s="82" t="str">
        <f aca="false">IF(OR(F287="",H287=""),"",F287*H287)</f>
        <v/>
      </c>
      <c r="J287" s="83" t="str">
        <f aca="false">IF(D287="","",IFERROR(INDEX(식자재단가!$M$4:$M$203,MATCH(D287,식자재단가!$C$4:$C$203,0)),"과세"))</f>
        <v/>
      </c>
      <c r="K287" s="28" t="str">
        <f aca="false">IF(I287="","",IF(J287="과세",ROUND(I287*0.1,0),0))</f>
        <v/>
      </c>
      <c r="L287" s="28" t="str">
        <f aca="false">IF(I287="","",I287+K287)</f>
        <v/>
      </c>
      <c r="M287" s="10"/>
      <c r="N287" s="80"/>
      <c r="O287" s="80"/>
      <c r="P287" s="59" t="str">
        <f aca="false">IF(E287="","",IFERROR(INDEX(기본설정!$H$4:$H$14,MATCH(E287,기본설정!$G$4:$G$14,0)),""))</f>
        <v/>
      </c>
    </row>
    <row r="288" customFormat="false" ht="15" hidden="false" customHeight="false" outlineLevel="0" collapsed="false">
      <c r="A288" s="73"/>
      <c r="B288" s="10"/>
      <c r="C288" s="80"/>
      <c r="D288" s="80"/>
      <c r="E288" s="81" t="str">
        <f aca="false">IF(D288="","",IFERROR(INDEX(식자재단가!$B$4:$B$203,MATCH(D288,식자재단가!$C$4:$C$203,0)),""))</f>
        <v/>
      </c>
      <c r="F288" s="76"/>
      <c r="G288" s="59" t="str">
        <f aca="false">IF(D288="","",IFERROR(INDEX(식자재단가!$F$4:$F$203,MATCH(D288,식자재단가!$C$4:$C$203,0)),""))</f>
        <v/>
      </c>
      <c r="H288" s="50"/>
      <c r="I288" s="82" t="str">
        <f aca="false">IF(OR(F288="",H288=""),"",F288*H288)</f>
        <v/>
      </c>
      <c r="J288" s="83" t="str">
        <f aca="false">IF(D288="","",IFERROR(INDEX(식자재단가!$M$4:$M$203,MATCH(D288,식자재단가!$C$4:$C$203,0)),"과세"))</f>
        <v/>
      </c>
      <c r="K288" s="28" t="str">
        <f aca="false">IF(I288="","",IF(J288="과세",ROUND(I288*0.1,0),0))</f>
        <v/>
      </c>
      <c r="L288" s="28" t="str">
        <f aca="false">IF(I288="","",I288+K288)</f>
        <v/>
      </c>
      <c r="M288" s="10"/>
      <c r="N288" s="80"/>
      <c r="O288" s="80"/>
      <c r="P288" s="59" t="str">
        <f aca="false">IF(E288="","",IFERROR(INDEX(기본설정!$H$4:$H$14,MATCH(E288,기본설정!$G$4:$G$14,0)),""))</f>
        <v/>
      </c>
    </row>
    <row r="289" customFormat="false" ht="15" hidden="false" customHeight="false" outlineLevel="0" collapsed="false">
      <c r="A289" s="73"/>
      <c r="B289" s="10"/>
      <c r="C289" s="80"/>
      <c r="D289" s="80"/>
      <c r="E289" s="81" t="str">
        <f aca="false">IF(D289="","",IFERROR(INDEX(식자재단가!$B$4:$B$203,MATCH(D289,식자재단가!$C$4:$C$203,0)),""))</f>
        <v/>
      </c>
      <c r="F289" s="76"/>
      <c r="G289" s="59" t="str">
        <f aca="false">IF(D289="","",IFERROR(INDEX(식자재단가!$F$4:$F$203,MATCH(D289,식자재단가!$C$4:$C$203,0)),""))</f>
        <v/>
      </c>
      <c r="H289" s="50"/>
      <c r="I289" s="82" t="str">
        <f aca="false">IF(OR(F289="",H289=""),"",F289*H289)</f>
        <v/>
      </c>
      <c r="J289" s="83" t="str">
        <f aca="false">IF(D289="","",IFERROR(INDEX(식자재단가!$M$4:$M$203,MATCH(D289,식자재단가!$C$4:$C$203,0)),"과세"))</f>
        <v/>
      </c>
      <c r="K289" s="28" t="str">
        <f aca="false">IF(I289="","",IF(J289="과세",ROUND(I289*0.1,0),0))</f>
        <v/>
      </c>
      <c r="L289" s="28" t="str">
        <f aca="false">IF(I289="","",I289+K289)</f>
        <v/>
      </c>
      <c r="M289" s="10"/>
      <c r="N289" s="80"/>
      <c r="O289" s="80"/>
      <c r="P289" s="59" t="str">
        <f aca="false">IF(E289="","",IFERROR(INDEX(기본설정!$H$4:$H$14,MATCH(E289,기본설정!$G$4:$G$14,0)),""))</f>
        <v/>
      </c>
    </row>
    <row r="290" customFormat="false" ht="15" hidden="false" customHeight="false" outlineLevel="0" collapsed="false">
      <c r="A290" s="73"/>
      <c r="B290" s="10"/>
      <c r="C290" s="80"/>
      <c r="D290" s="80"/>
      <c r="E290" s="81" t="str">
        <f aca="false">IF(D290="","",IFERROR(INDEX(식자재단가!$B$4:$B$203,MATCH(D290,식자재단가!$C$4:$C$203,0)),""))</f>
        <v/>
      </c>
      <c r="F290" s="76"/>
      <c r="G290" s="59" t="str">
        <f aca="false">IF(D290="","",IFERROR(INDEX(식자재단가!$F$4:$F$203,MATCH(D290,식자재단가!$C$4:$C$203,0)),""))</f>
        <v/>
      </c>
      <c r="H290" s="50"/>
      <c r="I290" s="82" t="str">
        <f aca="false">IF(OR(F290="",H290=""),"",F290*H290)</f>
        <v/>
      </c>
      <c r="J290" s="83" t="str">
        <f aca="false">IF(D290="","",IFERROR(INDEX(식자재단가!$M$4:$M$203,MATCH(D290,식자재단가!$C$4:$C$203,0)),"과세"))</f>
        <v/>
      </c>
      <c r="K290" s="28" t="str">
        <f aca="false">IF(I290="","",IF(J290="과세",ROUND(I290*0.1,0),0))</f>
        <v/>
      </c>
      <c r="L290" s="28" t="str">
        <f aca="false">IF(I290="","",I290+K290)</f>
        <v/>
      </c>
      <c r="M290" s="10"/>
      <c r="N290" s="80"/>
      <c r="O290" s="80"/>
      <c r="P290" s="59" t="str">
        <f aca="false">IF(E290="","",IFERROR(INDEX(기본설정!$H$4:$H$14,MATCH(E290,기본설정!$G$4:$G$14,0)),""))</f>
        <v/>
      </c>
    </row>
    <row r="291" customFormat="false" ht="15" hidden="false" customHeight="false" outlineLevel="0" collapsed="false">
      <c r="A291" s="73"/>
      <c r="B291" s="10"/>
      <c r="C291" s="80"/>
      <c r="D291" s="80"/>
      <c r="E291" s="81" t="str">
        <f aca="false">IF(D291="","",IFERROR(INDEX(식자재단가!$B$4:$B$203,MATCH(D291,식자재단가!$C$4:$C$203,0)),""))</f>
        <v/>
      </c>
      <c r="F291" s="76"/>
      <c r="G291" s="59" t="str">
        <f aca="false">IF(D291="","",IFERROR(INDEX(식자재단가!$F$4:$F$203,MATCH(D291,식자재단가!$C$4:$C$203,0)),""))</f>
        <v/>
      </c>
      <c r="H291" s="50"/>
      <c r="I291" s="82" t="str">
        <f aca="false">IF(OR(F291="",H291=""),"",F291*H291)</f>
        <v/>
      </c>
      <c r="J291" s="83" t="str">
        <f aca="false">IF(D291="","",IFERROR(INDEX(식자재단가!$M$4:$M$203,MATCH(D291,식자재단가!$C$4:$C$203,0)),"과세"))</f>
        <v/>
      </c>
      <c r="K291" s="28" t="str">
        <f aca="false">IF(I291="","",IF(J291="과세",ROUND(I291*0.1,0),0))</f>
        <v/>
      </c>
      <c r="L291" s="28" t="str">
        <f aca="false">IF(I291="","",I291+K291)</f>
        <v/>
      </c>
      <c r="M291" s="10"/>
      <c r="N291" s="80"/>
      <c r="O291" s="80"/>
      <c r="P291" s="59" t="str">
        <f aca="false">IF(E291="","",IFERROR(INDEX(기본설정!$H$4:$H$14,MATCH(E291,기본설정!$G$4:$G$14,0)),""))</f>
        <v/>
      </c>
    </row>
    <row r="292" customFormat="false" ht="15" hidden="false" customHeight="false" outlineLevel="0" collapsed="false">
      <c r="A292" s="73"/>
      <c r="B292" s="10"/>
      <c r="C292" s="80"/>
      <c r="D292" s="80"/>
      <c r="E292" s="81" t="str">
        <f aca="false">IF(D292="","",IFERROR(INDEX(식자재단가!$B$4:$B$203,MATCH(D292,식자재단가!$C$4:$C$203,0)),""))</f>
        <v/>
      </c>
      <c r="F292" s="76"/>
      <c r="G292" s="59" t="str">
        <f aca="false">IF(D292="","",IFERROR(INDEX(식자재단가!$F$4:$F$203,MATCH(D292,식자재단가!$C$4:$C$203,0)),""))</f>
        <v/>
      </c>
      <c r="H292" s="50"/>
      <c r="I292" s="82" t="str">
        <f aca="false">IF(OR(F292="",H292=""),"",F292*H292)</f>
        <v/>
      </c>
      <c r="J292" s="83" t="str">
        <f aca="false">IF(D292="","",IFERROR(INDEX(식자재단가!$M$4:$M$203,MATCH(D292,식자재단가!$C$4:$C$203,0)),"과세"))</f>
        <v/>
      </c>
      <c r="K292" s="28" t="str">
        <f aca="false">IF(I292="","",IF(J292="과세",ROUND(I292*0.1,0),0))</f>
        <v/>
      </c>
      <c r="L292" s="28" t="str">
        <f aca="false">IF(I292="","",I292+K292)</f>
        <v/>
      </c>
      <c r="M292" s="10"/>
      <c r="N292" s="80"/>
      <c r="O292" s="80"/>
      <c r="P292" s="59" t="str">
        <f aca="false">IF(E292="","",IFERROR(INDEX(기본설정!$H$4:$H$14,MATCH(E292,기본설정!$G$4:$G$14,0)),""))</f>
        <v/>
      </c>
    </row>
    <row r="293" customFormat="false" ht="15" hidden="false" customHeight="false" outlineLevel="0" collapsed="false">
      <c r="A293" s="73"/>
      <c r="B293" s="10"/>
      <c r="C293" s="80"/>
      <c r="D293" s="80"/>
      <c r="E293" s="81" t="str">
        <f aca="false">IF(D293="","",IFERROR(INDEX(식자재단가!$B$4:$B$203,MATCH(D293,식자재단가!$C$4:$C$203,0)),""))</f>
        <v/>
      </c>
      <c r="F293" s="76"/>
      <c r="G293" s="59" t="str">
        <f aca="false">IF(D293="","",IFERROR(INDEX(식자재단가!$F$4:$F$203,MATCH(D293,식자재단가!$C$4:$C$203,0)),""))</f>
        <v/>
      </c>
      <c r="H293" s="50"/>
      <c r="I293" s="82" t="str">
        <f aca="false">IF(OR(F293="",H293=""),"",F293*H293)</f>
        <v/>
      </c>
      <c r="J293" s="83" t="str">
        <f aca="false">IF(D293="","",IFERROR(INDEX(식자재단가!$M$4:$M$203,MATCH(D293,식자재단가!$C$4:$C$203,0)),"과세"))</f>
        <v/>
      </c>
      <c r="K293" s="28" t="str">
        <f aca="false">IF(I293="","",IF(J293="과세",ROUND(I293*0.1,0),0))</f>
        <v/>
      </c>
      <c r="L293" s="28" t="str">
        <f aca="false">IF(I293="","",I293+K293)</f>
        <v/>
      </c>
      <c r="M293" s="10"/>
      <c r="N293" s="80"/>
      <c r="O293" s="80"/>
      <c r="P293" s="59" t="str">
        <f aca="false">IF(E293="","",IFERROR(INDEX(기본설정!$H$4:$H$14,MATCH(E293,기본설정!$G$4:$G$14,0)),""))</f>
        <v/>
      </c>
    </row>
    <row r="294" customFormat="false" ht="15" hidden="false" customHeight="false" outlineLevel="0" collapsed="false">
      <c r="A294" s="73"/>
      <c r="B294" s="10"/>
      <c r="C294" s="80"/>
      <c r="D294" s="80"/>
      <c r="E294" s="81" t="str">
        <f aca="false">IF(D294="","",IFERROR(INDEX(식자재단가!$B$4:$B$203,MATCH(D294,식자재단가!$C$4:$C$203,0)),""))</f>
        <v/>
      </c>
      <c r="F294" s="76"/>
      <c r="G294" s="59" t="str">
        <f aca="false">IF(D294="","",IFERROR(INDEX(식자재단가!$F$4:$F$203,MATCH(D294,식자재단가!$C$4:$C$203,0)),""))</f>
        <v/>
      </c>
      <c r="H294" s="50"/>
      <c r="I294" s="82" t="str">
        <f aca="false">IF(OR(F294="",H294=""),"",F294*H294)</f>
        <v/>
      </c>
      <c r="J294" s="83" t="str">
        <f aca="false">IF(D294="","",IFERROR(INDEX(식자재단가!$M$4:$M$203,MATCH(D294,식자재단가!$C$4:$C$203,0)),"과세"))</f>
        <v/>
      </c>
      <c r="K294" s="28" t="str">
        <f aca="false">IF(I294="","",IF(J294="과세",ROUND(I294*0.1,0),0))</f>
        <v/>
      </c>
      <c r="L294" s="28" t="str">
        <f aca="false">IF(I294="","",I294+K294)</f>
        <v/>
      </c>
      <c r="M294" s="10"/>
      <c r="N294" s="80"/>
      <c r="O294" s="80"/>
      <c r="P294" s="59" t="str">
        <f aca="false">IF(E294="","",IFERROR(INDEX(기본설정!$H$4:$H$14,MATCH(E294,기본설정!$G$4:$G$14,0)),""))</f>
        <v/>
      </c>
    </row>
    <row r="295" customFormat="false" ht="15" hidden="false" customHeight="false" outlineLevel="0" collapsed="false">
      <c r="A295" s="73"/>
      <c r="B295" s="10"/>
      <c r="C295" s="80"/>
      <c r="D295" s="80"/>
      <c r="E295" s="81" t="str">
        <f aca="false">IF(D295="","",IFERROR(INDEX(식자재단가!$B$4:$B$203,MATCH(D295,식자재단가!$C$4:$C$203,0)),""))</f>
        <v/>
      </c>
      <c r="F295" s="76"/>
      <c r="G295" s="59" t="str">
        <f aca="false">IF(D295="","",IFERROR(INDEX(식자재단가!$F$4:$F$203,MATCH(D295,식자재단가!$C$4:$C$203,0)),""))</f>
        <v/>
      </c>
      <c r="H295" s="50"/>
      <c r="I295" s="82" t="str">
        <f aca="false">IF(OR(F295="",H295=""),"",F295*H295)</f>
        <v/>
      </c>
      <c r="J295" s="83" t="str">
        <f aca="false">IF(D295="","",IFERROR(INDEX(식자재단가!$M$4:$M$203,MATCH(D295,식자재단가!$C$4:$C$203,0)),"과세"))</f>
        <v/>
      </c>
      <c r="K295" s="28" t="str">
        <f aca="false">IF(I295="","",IF(J295="과세",ROUND(I295*0.1,0),0))</f>
        <v/>
      </c>
      <c r="L295" s="28" t="str">
        <f aca="false">IF(I295="","",I295+K295)</f>
        <v/>
      </c>
      <c r="M295" s="10"/>
      <c r="N295" s="80"/>
      <c r="O295" s="80"/>
      <c r="P295" s="59" t="str">
        <f aca="false">IF(E295="","",IFERROR(INDEX(기본설정!$H$4:$H$14,MATCH(E295,기본설정!$G$4:$G$14,0)),""))</f>
        <v/>
      </c>
    </row>
    <row r="296" customFormat="false" ht="15" hidden="false" customHeight="false" outlineLevel="0" collapsed="false">
      <c r="A296" s="73"/>
      <c r="B296" s="10"/>
      <c r="C296" s="80"/>
      <c r="D296" s="80"/>
      <c r="E296" s="81" t="str">
        <f aca="false">IF(D296="","",IFERROR(INDEX(식자재단가!$B$4:$B$203,MATCH(D296,식자재단가!$C$4:$C$203,0)),""))</f>
        <v/>
      </c>
      <c r="F296" s="76"/>
      <c r="G296" s="59" t="str">
        <f aca="false">IF(D296="","",IFERROR(INDEX(식자재단가!$F$4:$F$203,MATCH(D296,식자재단가!$C$4:$C$203,0)),""))</f>
        <v/>
      </c>
      <c r="H296" s="50"/>
      <c r="I296" s="82" t="str">
        <f aca="false">IF(OR(F296="",H296=""),"",F296*H296)</f>
        <v/>
      </c>
      <c r="J296" s="83" t="str">
        <f aca="false">IF(D296="","",IFERROR(INDEX(식자재단가!$M$4:$M$203,MATCH(D296,식자재단가!$C$4:$C$203,0)),"과세"))</f>
        <v/>
      </c>
      <c r="K296" s="28" t="str">
        <f aca="false">IF(I296="","",IF(J296="과세",ROUND(I296*0.1,0),0))</f>
        <v/>
      </c>
      <c r="L296" s="28" t="str">
        <f aca="false">IF(I296="","",I296+K296)</f>
        <v/>
      </c>
      <c r="M296" s="10"/>
      <c r="N296" s="80"/>
      <c r="O296" s="80"/>
      <c r="P296" s="59" t="str">
        <f aca="false">IF(E296="","",IFERROR(INDEX(기본설정!$H$4:$H$14,MATCH(E296,기본설정!$G$4:$G$14,0)),""))</f>
        <v/>
      </c>
    </row>
    <row r="297" customFormat="false" ht="15" hidden="false" customHeight="false" outlineLevel="0" collapsed="false">
      <c r="A297" s="73"/>
      <c r="B297" s="10"/>
      <c r="C297" s="80"/>
      <c r="D297" s="80"/>
      <c r="E297" s="81" t="str">
        <f aca="false">IF(D297="","",IFERROR(INDEX(식자재단가!$B$4:$B$203,MATCH(D297,식자재단가!$C$4:$C$203,0)),""))</f>
        <v/>
      </c>
      <c r="F297" s="76"/>
      <c r="G297" s="59" t="str">
        <f aca="false">IF(D297="","",IFERROR(INDEX(식자재단가!$F$4:$F$203,MATCH(D297,식자재단가!$C$4:$C$203,0)),""))</f>
        <v/>
      </c>
      <c r="H297" s="50"/>
      <c r="I297" s="82" t="str">
        <f aca="false">IF(OR(F297="",H297=""),"",F297*H297)</f>
        <v/>
      </c>
      <c r="J297" s="83" t="str">
        <f aca="false">IF(D297="","",IFERROR(INDEX(식자재단가!$M$4:$M$203,MATCH(D297,식자재단가!$C$4:$C$203,0)),"과세"))</f>
        <v/>
      </c>
      <c r="K297" s="28" t="str">
        <f aca="false">IF(I297="","",IF(J297="과세",ROUND(I297*0.1,0),0))</f>
        <v/>
      </c>
      <c r="L297" s="28" t="str">
        <f aca="false">IF(I297="","",I297+K297)</f>
        <v/>
      </c>
      <c r="M297" s="10"/>
      <c r="N297" s="80"/>
      <c r="O297" s="80"/>
      <c r="P297" s="59" t="str">
        <f aca="false">IF(E297="","",IFERROR(INDEX(기본설정!$H$4:$H$14,MATCH(E297,기본설정!$G$4:$G$14,0)),""))</f>
        <v/>
      </c>
    </row>
    <row r="298" customFormat="false" ht="15" hidden="false" customHeight="false" outlineLevel="0" collapsed="false">
      <c r="A298" s="73"/>
      <c r="B298" s="10"/>
      <c r="C298" s="80"/>
      <c r="D298" s="80"/>
      <c r="E298" s="81" t="str">
        <f aca="false">IF(D298="","",IFERROR(INDEX(식자재단가!$B$4:$B$203,MATCH(D298,식자재단가!$C$4:$C$203,0)),""))</f>
        <v/>
      </c>
      <c r="F298" s="76"/>
      <c r="G298" s="59" t="str">
        <f aca="false">IF(D298="","",IFERROR(INDEX(식자재단가!$F$4:$F$203,MATCH(D298,식자재단가!$C$4:$C$203,0)),""))</f>
        <v/>
      </c>
      <c r="H298" s="50"/>
      <c r="I298" s="82" t="str">
        <f aca="false">IF(OR(F298="",H298=""),"",F298*H298)</f>
        <v/>
      </c>
      <c r="J298" s="83" t="str">
        <f aca="false">IF(D298="","",IFERROR(INDEX(식자재단가!$M$4:$M$203,MATCH(D298,식자재단가!$C$4:$C$203,0)),"과세"))</f>
        <v/>
      </c>
      <c r="K298" s="28" t="str">
        <f aca="false">IF(I298="","",IF(J298="과세",ROUND(I298*0.1,0),0))</f>
        <v/>
      </c>
      <c r="L298" s="28" t="str">
        <f aca="false">IF(I298="","",I298+K298)</f>
        <v/>
      </c>
      <c r="M298" s="10"/>
      <c r="N298" s="80"/>
      <c r="O298" s="80"/>
      <c r="P298" s="59" t="str">
        <f aca="false">IF(E298="","",IFERROR(INDEX(기본설정!$H$4:$H$14,MATCH(E298,기본설정!$G$4:$G$14,0)),""))</f>
        <v/>
      </c>
    </row>
    <row r="299" customFormat="false" ht="15" hidden="false" customHeight="false" outlineLevel="0" collapsed="false">
      <c r="A299" s="73"/>
      <c r="B299" s="10"/>
      <c r="C299" s="80"/>
      <c r="D299" s="80"/>
      <c r="E299" s="81" t="str">
        <f aca="false">IF(D299="","",IFERROR(INDEX(식자재단가!$B$4:$B$203,MATCH(D299,식자재단가!$C$4:$C$203,0)),""))</f>
        <v/>
      </c>
      <c r="F299" s="76"/>
      <c r="G299" s="59" t="str">
        <f aca="false">IF(D299="","",IFERROR(INDEX(식자재단가!$F$4:$F$203,MATCH(D299,식자재단가!$C$4:$C$203,0)),""))</f>
        <v/>
      </c>
      <c r="H299" s="50"/>
      <c r="I299" s="82" t="str">
        <f aca="false">IF(OR(F299="",H299=""),"",F299*H299)</f>
        <v/>
      </c>
      <c r="J299" s="83" t="str">
        <f aca="false">IF(D299="","",IFERROR(INDEX(식자재단가!$M$4:$M$203,MATCH(D299,식자재단가!$C$4:$C$203,0)),"과세"))</f>
        <v/>
      </c>
      <c r="K299" s="28" t="str">
        <f aca="false">IF(I299="","",IF(J299="과세",ROUND(I299*0.1,0),0))</f>
        <v/>
      </c>
      <c r="L299" s="28" t="str">
        <f aca="false">IF(I299="","",I299+K299)</f>
        <v/>
      </c>
      <c r="M299" s="10"/>
      <c r="N299" s="80"/>
      <c r="O299" s="80"/>
      <c r="P299" s="59" t="str">
        <f aca="false">IF(E299="","",IFERROR(INDEX(기본설정!$H$4:$H$14,MATCH(E299,기본설정!$G$4:$G$14,0)),""))</f>
        <v/>
      </c>
    </row>
    <row r="300" customFormat="false" ht="15" hidden="false" customHeight="false" outlineLevel="0" collapsed="false">
      <c r="A300" s="73"/>
      <c r="B300" s="10"/>
      <c r="C300" s="80"/>
      <c r="D300" s="80"/>
      <c r="E300" s="81" t="str">
        <f aca="false">IF(D300="","",IFERROR(INDEX(식자재단가!$B$4:$B$203,MATCH(D300,식자재단가!$C$4:$C$203,0)),""))</f>
        <v/>
      </c>
      <c r="F300" s="76"/>
      <c r="G300" s="59" t="str">
        <f aca="false">IF(D300="","",IFERROR(INDEX(식자재단가!$F$4:$F$203,MATCH(D300,식자재단가!$C$4:$C$203,0)),""))</f>
        <v/>
      </c>
      <c r="H300" s="50"/>
      <c r="I300" s="82" t="str">
        <f aca="false">IF(OR(F300="",H300=""),"",F300*H300)</f>
        <v/>
      </c>
      <c r="J300" s="83" t="str">
        <f aca="false">IF(D300="","",IFERROR(INDEX(식자재단가!$M$4:$M$203,MATCH(D300,식자재단가!$C$4:$C$203,0)),"과세"))</f>
        <v/>
      </c>
      <c r="K300" s="28" t="str">
        <f aca="false">IF(I300="","",IF(J300="과세",ROUND(I300*0.1,0),0))</f>
        <v/>
      </c>
      <c r="L300" s="28" t="str">
        <f aca="false">IF(I300="","",I300+K300)</f>
        <v/>
      </c>
      <c r="M300" s="10"/>
      <c r="N300" s="80"/>
      <c r="O300" s="80"/>
      <c r="P300" s="59" t="str">
        <f aca="false">IF(E300="","",IFERROR(INDEX(기본설정!$H$4:$H$14,MATCH(E300,기본설정!$G$4:$G$14,0)),""))</f>
        <v/>
      </c>
    </row>
    <row r="301" customFormat="false" ht="15" hidden="false" customHeight="false" outlineLevel="0" collapsed="false">
      <c r="A301" s="73"/>
      <c r="B301" s="10"/>
      <c r="C301" s="80"/>
      <c r="D301" s="80"/>
      <c r="E301" s="81" t="str">
        <f aca="false">IF(D301="","",IFERROR(INDEX(식자재단가!$B$4:$B$203,MATCH(D301,식자재단가!$C$4:$C$203,0)),""))</f>
        <v/>
      </c>
      <c r="F301" s="76"/>
      <c r="G301" s="59" t="str">
        <f aca="false">IF(D301="","",IFERROR(INDEX(식자재단가!$F$4:$F$203,MATCH(D301,식자재단가!$C$4:$C$203,0)),""))</f>
        <v/>
      </c>
      <c r="H301" s="50"/>
      <c r="I301" s="82" t="str">
        <f aca="false">IF(OR(F301="",H301=""),"",F301*H301)</f>
        <v/>
      </c>
      <c r="J301" s="83" t="str">
        <f aca="false">IF(D301="","",IFERROR(INDEX(식자재단가!$M$4:$M$203,MATCH(D301,식자재단가!$C$4:$C$203,0)),"과세"))</f>
        <v/>
      </c>
      <c r="K301" s="28" t="str">
        <f aca="false">IF(I301="","",IF(J301="과세",ROUND(I301*0.1,0),0))</f>
        <v/>
      </c>
      <c r="L301" s="28" t="str">
        <f aca="false">IF(I301="","",I301+K301)</f>
        <v/>
      </c>
      <c r="M301" s="10"/>
      <c r="N301" s="80"/>
      <c r="O301" s="80"/>
      <c r="P301" s="59" t="str">
        <f aca="false">IF(E301="","",IFERROR(INDEX(기본설정!$H$4:$H$14,MATCH(E301,기본설정!$G$4:$G$14,0)),""))</f>
        <v/>
      </c>
    </row>
    <row r="302" customFormat="false" ht="15" hidden="false" customHeight="false" outlineLevel="0" collapsed="false">
      <c r="A302" s="73"/>
      <c r="B302" s="10"/>
      <c r="C302" s="80"/>
      <c r="D302" s="80"/>
      <c r="E302" s="81" t="str">
        <f aca="false">IF(D302="","",IFERROR(INDEX(식자재단가!$B$4:$B$203,MATCH(D302,식자재단가!$C$4:$C$203,0)),""))</f>
        <v/>
      </c>
      <c r="F302" s="76"/>
      <c r="G302" s="59" t="str">
        <f aca="false">IF(D302="","",IFERROR(INDEX(식자재단가!$F$4:$F$203,MATCH(D302,식자재단가!$C$4:$C$203,0)),""))</f>
        <v/>
      </c>
      <c r="H302" s="50"/>
      <c r="I302" s="82" t="str">
        <f aca="false">IF(OR(F302="",H302=""),"",F302*H302)</f>
        <v/>
      </c>
      <c r="J302" s="83" t="str">
        <f aca="false">IF(D302="","",IFERROR(INDEX(식자재단가!$M$4:$M$203,MATCH(D302,식자재단가!$C$4:$C$203,0)),"과세"))</f>
        <v/>
      </c>
      <c r="K302" s="28" t="str">
        <f aca="false">IF(I302="","",IF(J302="과세",ROUND(I302*0.1,0),0))</f>
        <v/>
      </c>
      <c r="L302" s="28" t="str">
        <f aca="false">IF(I302="","",I302+K302)</f>
        <v/>
      </c>
      <c r="M302" s="10"/>
      <c r="N302" s="80"/>
      <c r="O302" s="80"/>
      <c r="P302" s="59" t="str">
        <f aca="false">IF(E302="","",IFERROR(INDEX(기본설정!$H$4:$H$14,MATCH(E302,기본설정!$G$4:$G$14,0)),""))</f>
        <v/>
      </c>
    </row>
    <row r="303" customFormat="false" ht="15" hidden="false" customHeight="false" outlineLevel="0" collapsed="false">
      <c r="A303" s="73"/>
      <c r="B303" s="10"/>
      <c r="C303" s="80"/>
      <c r="D303" s="80"/>
      <c r="E303" s="81" t="str">
        <f aca="false">IF(D303="","",IFERROR(INDEX(식자재단가!$B$4:$B$203,MATCH(D303,식자재단가!$C$4:$C$203,0)),""))</f>
        <v/>
      </c>
      <c r="F303" s="76"/>
      <c r="G303" s="59" t="str">
        <f aca="false">IF(D303="","",IFERROR(INDEX(식자재단가!$F$4:$F$203,MATCH(D303,식자재단가!$C$4:$C$203,0)),""))</f>
        <v/>
      </c>
      <c r="H303" s="50"/>
      <c r="I303" s="82" t="str">
        <f aca="false">IF(OR(F303="",H303=""),"",F303*H303)</f>
        <v/>
      </c>
      <c r="J303" s="83" t="str">
        <f aca="false">IF(D303="","",IFERROR(INDEX(식자재단가!$M$4:$M$203,MATCH(D303,식자재단가!$C$4:$C$203,0)),"과세"))</f>
        <v/>
      </c>
      <c r="K303" s="28" t="str">
        <f aca="false">IF(I303="","",IF(J303="과세",ROUND(I303*0.1,0),0))</f>
        <v/>
      </c>
      <c r="L303" s="28" t="str">
        <f aca="false">IF(I303="","",I303+K303)</f>
        <v/>
      </c>
      <c r="M303" s="10"/>
      <c r="N303" s="80"/>
      <c r="O303" s="80"/>
      <c r="P303" s="59" t="str">
        <f aca="false">IF(E303="","",IFERROR(INDEX(기본설정!$H$4:$H$14,MATCH(E303,기본설정!$G$4:$G$14,0)),""))</f>
        <v/>
      </c>
    </row>
    <row r="304" customFormat="false" ht="15" hidden="false" customHeight="false" outlineLevel="0" collapsed="false">
      <c r="A304" s="73"/>
      <c r="B304" s="10"/>
      <c r="C304" s="80"/>
      <c r="D304" s="80"/>
      <c r="E304" s="81" t="str">
        <f aca="false">IF(D304="","",IFERROR(INDEX(식자재단가!$B$4:$B$203,MATCH(D304,식자재단가!$C$4:$C$203,0)),""))</f>
        <v/>
      </c>
      <c r="F304" s="76"/>
      <c r="G304" s="59" t="str">
        <f aca="false">IF(D304="","",IFERROR(INDEX(식자재단가!$F$4:$F$203,MATCH(D304,식자재단가!$C$4:$C$203,0)),""))</f>
        <v/>
      </c>
      <c r="H304" s="50"/>
      <c r="I304" s="82" t="str">
        <f aca="false">IF(OR(F304="",H304=""),"",F304*H304)</f>
        <v/>
      </c>
      <c r="J304" s="83" t="str">
        <f aca="false">IF(D304="","",IFERROR(INDEX(식자재단가!$M$4:$M$203,MATCH(D304,식자재단가!$C$4:$C$203,0)),"과세"))</f>
        <v/>
      </c>
      <c r="K304" s="28" t="str">
        <f aca="false">IF(I304="","",IF(J304="과세",ROUND(I304*0.1,0),0))</f>
        <v/>
      </c>
      <c r="L304" s="28" t="str">
        <f aca="false">IF(I304="","",I304+K304)</f>
        <v/>
      </c>
      <c r="M304" s="10"/>
      <c r="N304" s="80"/>
      <c r="O304" s="80"/>
      <c r="P304" s="59" t="str">
        <f aca="false">IF(E304="","",IFERROR(INDEX(기본설정!$H$4:$H$14,MATCH(E304,기본설정!$G$4:$G$14,0)),""))</f>
        <v/>
      </c>
    </row>
    <row r="305" customFormat="false" ht="15" hidden="false" customHeight="false" outlineLevel="0" collapsed="false">
      <c r="A305" s="73"/>
      <c r="B305" s="10"/>
      <c r="C305" s="80"/>
      <c r="D305" s="80"/>
      <c r="E305" s="81" t="str">
        <f aca="false">IF(D305="","",IFERROR(INDEX(식자재단가!$B$4:$B$203,MATCH(D305,식자재단가!$C$4:$C$203,0)),""))</f>
        <v/>
      </c>
      <c r="F305" s="76"/>
      <c r="G305" s="59" t="str">
        <f aca="false">IF(D305="","",IFERROR(INDEX(식자재단가!$F$4:$F$203,MATCH(D305,식자재단가!$C$4:$C$203,0)),""))</f>
        <v/>
      </c>
      <c r="H305" s="50"/>
      <c r="I305" s="82" t="str">
        <f aca="false">IF(OR(F305="",H305=""),"",F305*H305)</f>
        <v/>
      </c>
      <c r="J305" s="83" t="str">
        <f aca="false">IF(D305="","",IFERROR(INDEX(식자재단가!$M$4:$M$203,MATCH(D305,식자재단가!$C$4:$C$203,0)),"과세"))</f>
        <v/>
      </c>
      <c r="K305" s="28" t="str">
        <f aca="false">IF(I305="","",IF(J305="과세",ROUND(I305*0.1,0),0))</f>
        <v/>
      </c>
      <c r="L305" s="28" t="str">
        <f aca="false">IF(I305="","",I305+K305)</f>
        <v/>
      </c>
      <c r="M305" s="10"/>
      <c r="N305" s="80"/>
      <c r="O305" s="80"/>
      <c r="P305" s="59" t="str">
        <f aca="false">IF(E305="","",IFERROR(INDEX(기본설정!$H$4:$H$14,MATCH(E305,기본설정!$G$4:$G$14,0)),""))</f>
        <v/>
      </c>
    </row>
    <row r="306" customFormat="false" ht="15" hidden="false" customHeight="false" outlineLevel="0" collapsed="false">
      <c r="A306" s="73"/>
      <c r="B306" s="10"/>
      <c r="C306" s="80"/>
      <c r="D306" s="80"/>
      <c r="E306" s="81" t="str">
        <f aca="false">IF(D306="","",IFERROR(INDEX(식자재단가!$B$4:$B$203,MATCH(D306,식자재단가!$C$4:$C$203,0)),""))</f>
        <v/>
      </c>
      <c r="F306" s="76"/>
      <c r="G306" s="59" t="str">
        <f aca="false">IF(D306="","",IFERROR(INDEX(식자재단가!$F$4:$F$203,MATCH(D306,식자재단가!$C$4:$C$203,0)),""))</f>
        <v/>
      </c>
      <c r="H306" s="50"/>
      <c r="I306" s="82" t="str">
        <f aca="false">IF(OR(F306="",H306=""),"",F306*H306)</f>
        <v/>
      </c>
      <c r="J306" s="83" t="str">
        <f aca="false">IF(D306="","",IFERROR(INDEX(식자재단가!$M$4:$M$203,MATCH(D306,식자재단가!$C$4:$C$203,0)),"과세"))</f>
        <v/>
      </c>
      <c r="K306" s="28" t="str">
        <f aca="false">IF(I306="","",IF(J306="과세",ROUND(I306*0.1,0),0))</f>
        <v/>
      </c>
      <c r="L306" s="28" t="str">
        <f aca="false">IF(I306="","",I306+K306)</f>
        <v/>
      </c>
      <c r="M306" s="10"/>
      <c r="N306" s="80"/>
      <c r="O306" s="80"/>
      <c r="P306" s="59" t="str">
        <f aca="false">IF(E306="","",IFERROR(INDEX(기본설정!$H$4:$H$14,MATCH(E306,기본설정!$G$4:$G$14,0)),""))</f>
        <v/>
      </c>
    </row>
    <row r="307" customFormat="false" ht="15" hidden="false" customHeight="false" outlineLevel="0" collapsed="false">
      <c r="A307" s="73"/>
      <c r="B307" s="10"/>
      <c r="C307" s="80"/>
      <c r="D307" s="80"/>
      <c r="E307" s="81" t="str">
        <f aca="false">IF(D307="","",IFERROR(INDEX(식자재단가!$B$4:$B$203,MATCH(D307,식자재단가!$C$4:$C$203,0)),""))</f>
        <v/>
      </c>
      <c r="F307" s="76"/>
      <c r="G307" s="59" t="str">
        <f aca="false">IF(D307="","",IFERROR(INDEX(식자재단가!$F$4:$F$203,MATCH(D307,식자재단가!$C$4:$C$203,0)),""))</f>
        <v/>
      </c>
      <c r="H307" s="50"/>
      <c r="I307" s="82" t="str">
        <f aca="false">IF(OR(F307="",H307=""),"",F307*H307)</f>
        <v/>
      </c>
      <c r="J307" s="83" t="str">
        <f aca="false">IF(D307="","",IFERROR(INDEX(식자재단가!$M$4:$M$203,MATCH(D307,식자재단가!$C$4:$C$203,0)),"과세"))</f>
        <v/>
      </c>
      <c r="K307" s="28" t="str">
        <f aca="false">IF(I307="","",IF(J307="과세",ROUND(I307*0.1,0),0))</f>
        <v/>
      </c>
      <c r="L307" s="28" t="str">
        <f aca="false">IF(I307="","",I307+K307)</f>
        <v/>
      </c>
      <c r="M307" s="10"/>
      <c r="N307" s="80"/>
      <c r="O307" s="80"/>
      <c r="P307" s="59" t="str">
        <f aca="false">IF(E307="","",IFERROR(INDEX(기본설정!$H$4:$H$14,MATCH(E307,기본설정!$G$4:$G$14,0)),""))</f>
        <v/>
      </c>
    </row>
    <row r="308" customFormat="false" ht="15" hidden="false" customHeight="false" outlineLevel="0" collapsed="false">
      <c r="A308" s="73"/>
      <c r="B308" s="10"/>
      <c r="C308" s="80"/>
      <c r="D308" s="80"/>
      <c r="E308" s="81" t="str">
        <f aca="false">IF(D308="","",IFERROR(INDEX(식자재단가!$B$4:$B$203,MATCH(D308,식자재단가!$C$4:$C$203,0)),""))</f>
        <v/>
      </c>
      <c r="F308" s="76"/>
      <c r="G308" s="59" t="str">
        <f aca="false">IF(D308="","",IFERROR(INDEX(식자재단가!$F$4:$F$203,MATCH(D308,식자재단가!$C$4:$C$203,0)),""))</f>
        <v/>
      </c>
      <c r="H308" s="50"/>
      <c r="I308" s="82" t="str">
        <f aca="false">IF(OR(F308="",H308=""),"",F308*H308)</f>
        <v/>
      </c>
      <c r="J308" s="83" t="str">
        <f aca="false">IF(D308="","",IFERROR(INDEX(식자재단가!$M$4:$M$203,MATCH(D308,식자재단가!$C$4:$C$203,0)),"과세"))</f>
        <v/>
      </c>
      <c r="K308" s="28" t="str">
        <f aca="false">IF(I308="","",IF(J308="과세",ROUND(I308*0.1,0),0))</f>
        <v/>
      </c>
      <c r="L308" s="28" t="str">
        <f aca="false">IF(I308="","",I308+K308)</f>
        <v/>
      </c>
      <c r="M308" s="10"/>
      <c r="N308" s="80"/>
      <c r="O308" s="80"/>
      <c r="P308" s="59" t="str">
        <f aca="false">IF(E308="","",IFERROR(INDEX(기본설정!$H$4:$H$14,MATCH(E308,기본설정!$G$4:$G$14,0)),""))</f>
        <v/>
      </c>
    </row>
    <row r="309" customFormat="false" ht="15" hidden="false" customHeight="false" outlineLevel="0" collapsed="false">
      <c r="A309" s="73"/>
      <c r="B309" s="10"/>
      <c r="C309" s="80"/>
      <c r="D309" s="80"/>
      <c r="E309" s="81" t="str">
        <f aca="false">IF(D309="","",IFERROR(INDEX(식자재단가!$B$4:$B$203,MATCH(D309,식자재단가!$C$4:$C$203,0)),""))</f>
        <v/>
      </c>
      <c r="F309" s="76"/>
      <c r="G309" s="59" t="str">
        <f aca="false">IF(D309="","",IFERROR(INDEX(식자재단가!$F$4:$F$203,MATCH(D309,식자재단가!$C$4:$C$203,0)),""))</f>
        <v/>
      </c>
      <c r="H309" s="50"/>
      <c r="I309" s="82" t="str">
        <f aca="false">IF(OR(F309="",H309=""),"",F309*H309)</f>
        <v/>
      </c>
      <c r="J309" s="83" t="str">
        <f aca="false">IF(D309="","",IFERROR(INDEX(식자재단가!$M$4:$M$203,MATCH(D309,식자재단가!$C$4:$C$203,0)),"과세"))</f>
        <v/>
      </c>
      <c r="K309" s="28" t="str">
        <f aca="false">IF(I309="","",IF(J309="과세",ROUND(I309*0.1,0),0))</f>
        <v/>
      </c>
      <c r="L309" s="28" t="str">
        <f aca="false">IF(I309="","",I309+K309)</f>
        <v/>
      </c>
      <c r="M309" s="10"/>
      <c r="N309" s="80"/>
      <c r="O309" s="80"/>
      <c r="P309" s="59" t="str">
        <f aca="false">IF(E309="","",IFERROR(INDEX(기본설정!$H$4:$H$14,MATCH(E309,기본설정!$G$4:$G$14,0)),""))</f>
        <v/>
      </c>
    </row>
    <row r="310" customFormat="false" ht="15" hidden="false" customHeight="false" outlineLevel="0" collapsed="false">
      <c r="A310" s="73"/>
      <c r="B310" s="10"/>
      <c r="C310" s="80"/>
      <c r="D310" s="80"/>
      <c r="E310" s="81" t="str">
        <f aca="false">IF(D310="","",IFERROR(INDEX(식자재단가!$B$4:$B$203,MATCH(D310,식자재단가!$C$4:$C$203,0)),""))</f>
        <v/>
      </c>
      <c r="F310" s="76"/>
      <c r="G310" s="59" t="str">
        <f aca="false">IF(D310="","",IFERROR(INDEX(식자재단가!$F$4:$F$203,MATCH(D310,식자재단가!$C$4:$C$203,0)),""))</f>
        <v/>
      </c>
      <c r="H310" s="50"/>
      <c r="I310" s="82" t="str">
        <f aca="false">IF(OR(F310="",H310=""),"",F310*H310)</f>
        <v/>
      </c>
      <c r="J310" s="83" t="str">
        <f aca="false">IF(D310="","",IFERROR(INDEX(식자재단가!$M$4:$M$203,MATCH(D310,식자재단가!$C$4:$C$203,0)),"과세"))</f>
        <v/>
      </c>
      <c r="K310" s="28" t="str">
        <f aca="false">IF(I310="","",IF(J310="과세",ROUND(I310*0.1,0),0))</f>
        <v/>
      </c>
      <c r="L310" s="28" t="str">
        <f aca="false">IF(I310="","",I310+K310)</f>
        <v/>
      </c>
      <c r="M310" s="10"/>
      <c r="N310" s="80"/>
      <c r="O310" s="80"/>
      <c r="P310" s="59" t="str">
        <f aca="false">IF(E310="","",IFERROR(INDEX(기본설정!$H$4:$H$14,MATCH(E310,기본설정!$G$4:$G$14,0)),""))</f>
        <v/>
      </c>
    </row>
    <row r="311" customFormat="false" ht="15" hidden="false" customHeight="false" outlineLevel="0" collapsed="false">
      <c r="A311" s="73"/>
      <c r="B311" s="10"/>
      <c r="C311" s="80"/>
      <c r="D311" s="80"/>
      <c r="E311" s="81" t="str">
        <f aca="false">IF(D311="","",IFERROR(INDEX(식자재단가!$B$4:$B$203,MATCH(D311,식자재단가!$C$4:$C$203,0)),""))</f>
        <v/>
      </c>
      <c r="F311" s="76"/>
      <c r="G311" s="59" t="str">
        <f aca="false">IF(D311="","",IFERROR(INDEX(식자재단가!$F$4:$F$203,MATCH(D311,식자재단가!$C$4:$C$203,0)),""))</f>
        <v/>
      </c>
      <c r="H311" s="50"/>
      <c r="I311" s="82" t="str">
        <f aca="false">IF(OR(F311="",H311=""),"",F311*H311)</f>
        <v/>
      </c>
      <c r="J311" s="83" t="str">
        <f aca="false">IF(D311="","",IFERROR(INDEX(식자재단가!$M$4:$M$203,MATCH(D311,식자재단가!$C$4:$C$203,0)),"과세"))</f>
        <v/>
      </c>
      <c r="K311" s="28" t="str">
        <f aca="false">IF(I311="","",IF(J311="과세",ROUND(I311*0.1,0),0))</f>
        <v/>
      </c>
      <c r="L311" s="28" t="str">
        <f aca="false">IF(I311="","",I311+K311)</f>
        <v/>
      </c>
      <c r="M311" s="10"/>
      <c r="N311" s="80"/>
      <c r="O311" s="80"/>
      <c r="P311" s="59" t="str">
        <f aca="false">IF(E311="","",IFERROR(INDEX(기본설정!$H$4:$H$14,MATCH(E311,기본설정!$G$4:$G$14,0)),""))</f>
        <v/>
      </c>
    </row>
    <row r="312" customFormat="false" ht="15" hidden="false" customHeight="false" outlineLevel="0" collapsed="false">
      <c r="A312" s="73"/>
      <c r="B312" s="10"/>
      <c r="C312" s="80"/>
      <c r="D312" s="80"/>
      <c r="E312" s="81" t="str">
        <f aca="false">IF(D312="","",IFERROR(INDEX(식자재단가!$B$4:$B$203,MATCH(D312,식자재단가!$C$4:$C$203,0)),""))</f>
        <v/>
      </c>
      <c r="F312" s="76"/>
      <c r="G312" s="59" t="str">
        <f aca="false">IF(D312="","",IFERROR(INDEX(식자재단가!$F$4:$F$203,MATCH(D312,식자재단가!$C$4:$C$203,0)),""))</f>
        <v/>
      </c>
      <c r="H312" s="50"/>
      <c r="I312" s="82" t="str">
        <f aca="false">IF(OR(F312="",H312=""),"",F312*H312)</f>
        <v/>
      </c>
      <c r="J312" s="83" t="str">
        <f aca="false">IF(D312="","",IFERROR(INDEX(식자재단가!$M$4:$M$203,MATCH(D312,식자재단가!$C$4:$C$203,0)),"과세"))</f>
        <v/>
      </c>
      <c r="K312" s="28" t="str">
        <f aca="false">IF(I312="","",IF(J312="과세",ROUND(I312*0.1,0),0))</f>
        <v/>
      </c>
      <c r="L312" s="28" t="str">
        <f aca="false">IF(I312="","",I312+K312)</f>
        <v/>
      </c>
      <c r="M312" s="10"/>
      <c r="N312" s="80"/>
      <c r="O312" s="80"/>
      <c r="P312" s="59" t="str">
        <f aca="false">IF(E312="","",IFERROR(INDEX(기본설정!$H$4:$H$14,MATCH(E312,기본설정!$G$4:$G$14,0)),""))</f>
        <v/>
      </c>
    </row>
    <row r="313" customFormat="false" ht="15" hidden="false" customHeight="false" outlineLevel="0" collapsed="false">
      <c r="A313" s="73"/>
      <c r="B313" s="10"/>
      <c r="C313" s="80"/>
      <c r="D313" s="80"/>
      <c r="E313" s="81" t="str">
        <f aca="false">IF(D313="","",IFERROR(INDEX(식자재단가!$B$4:$B$203,MATCH(D313,식자재단가!$C$4:$C$203,0)),""))</f>
        <v/>
      </c>
      <c r="F313" s="76"/>
      <c r="G313" s="59" t="str">
        <f aca="false">IF(D313="","",IFERROR(INDEX(식자재단가!$F$4:$F$203,MATCH(D313,식자재단가!$C$4:$C$203,0)),""))</f>
        <v/>
      </c>
      <c r="H313" s="50"/>
      <c r="I313" s="82" t="str">
        <f aca="false">IF(OR(F313="",H313=""),"",F313*H313)</f>
        <v/>
      </c>
      <c r="J313" s="83" t="str">
        <f aca="false">IF(D313="","",IFERROR(INDEX(식자재단가!$M$4:$M$203,MATCH(D313,식자재단가!$C$4:$C$203,0)),"과세"))</f>
        <v/>
      </c>
      <c r="K313" s="28" t="str">
        <f aca="false">IF(I313="","",IF(J313="과세",ROUND(I313*0.1,0),0))</f>
        <v/>
      </c>
      <c r="L313" s="28" t="str">
        <f aca="false">IF(I313="","",I313+K313)</f>
        <v/>
      </c>
      <c r="M313" s="10"/>
      <c r="N313" s="80"/>
      <c r="O313" s="80"/>
      <c r="P313" s="59" t="str">
        <f aca="false">IF(E313="","",IFERROR(INDEX(기본설정!$H$4:$H$14,MATCH(E313,기본설정!$G$4:$G$14,0)),""))</f>
        <v/>
      </c>
    </row>
    <row r="314" customFormat="false" ht="15" hidden="false" customHeight="false" outlineLevel="0" collapsed="false">
      <c r="A314" s="73"/>
      <c r="B314" s="10"/>
      <c r="C314" s="80"/>
      <c r="D314" s="80"/>
      <c r="E314" s="81" t="str">
        <f aca="false">IF(D314="","",IFERROR(INDEX(식자재단가!$B$4:$B$203,MATCH(D314,식자재단가!$C$4:$C$203,0)),""))</f>
        <v/>
      </c>
      <c r="F314" s="76"/>
      <c r="G314" s="59" t="str">
        <f aca="false">IF(D314="","",IFERROR(INDEX(식자재단가!$F$4:$F$203,MATCH(D314,식자재단가!$C$4:$C$203,0)),""))</f>
        <v/>
      </c>
      <c r="H314" s="50"/>
      <c r="I314" s="82" t="str">
        <f aca="false">IF(OR(F314="",H314=""),"",F314*H314)</f>
        <v/>
      </c>
      <c r="J314" s="83" t="str">
        <f aca="false">IF(D314="","",IFERROR(INDEX(식자재단가!$M$4:$M$203,MATCH(D314,식자재단가!$C$4:$C$203,0)),"과세"))</f>
        <v/>
      </c>
      <c r="K314" s="28" t="str">
        <f aca="false">IF(I314="","",IF(J314="과세",ROUND(I314*0.1,0),0))</f>
        <v/>
      </c>
      <c r="L314" s="28" t="str">
        <f aca="false">IF(I314="","",I314+K314)</f>
        <v/>
      </c>
      <c r="M314" s="10"/>
      <c r="N314" s="80"/>
      <c r="O314" s="80"/>
      <c r="P314" s="59" t="str">
        <f aca="false">IF(E314="","",IFERROR(INDEX(기본설정!$H$4:$H$14,MATCH(E314,기본설정!$G$4:$G$14,0)),""))</f>
        <v/>
      </c>
    </row>
    <row r="315" customFormat="false" ht="15" hidden="false" customHeight="false" outlineLevel="0" collapsed="false">
      <c r="A315" s="73"/>
      <c r="B315" s="10"/>
      <c r="C315" s="80"/>
      <c r="D315" s="80"/>
      <c r="E315" s="81" t="str">
        <f aca="false">IF(D315="","",IFERROR(INDEX(식자재단가!$B$4:$B$203,MATCH(D315,식자재단가!$C$4:$C$203,0)),""))</f>
        <v/>
      </c>
      <c r="F315" s="76"/>
      <c r="G315" s="59" t="str">
        <f aca="false">IF(D315="","",IFERROR(INDEX(식자재단가!$F$4:$F$203,MATCH(D315,식자재단가!$C$4:$C$203,0)),""))</f>
        <v/>
      </c>
      <c r="H315" s="50"/>
      <c r="I315" s="82" t="str">
        <f aca="false">IF(OR(F315="",H315=""),"",F315*H315)</f>
        <v/>
      </c>
      <c r="J315" s="83" t="str">
        <f aca="false">IF(D315="","",IFERROR(INDEX(식자재단가!$M$4:$M$203,MATCH(D315,식자재단가!$C$4:$C$203,0)),"과세"))</f>
        <v/>
      </c>
      <c r="K315" s="28" t="str">
        <f aca="false">IF(I315="","",IF(J315="과세",ROUND(I315*0.1,0),0))</f>
        <v/>
      </c>
      <c r="L315" s="28" t="str">
        <f aca="false">IF(I315="","",I315+K315)</f>
        <v/>
      </c>
      <c r="M315" s="10"/>
      <c r="N315" s="80"/>
      <c r="O315" s="80"/>
      <c r="P315" s="59" t="str">
        <f aca="false">IF(E315="","",IFERROR(INDEX(기본설정!$H$4:$H$14,MATCH(E315,기본설정!$G$4:$G$14,0)),""))</f>
        <v/>
      </c>
    </row>
    <row r="316" customFormat="false" ht="15" hidden="false" customHeight="false" outlineLevel="0" collapsed="false">
      <c r="A316" s="73"/>
      <c r="B316" s="10"/>
      <c r="C316" s="80"/>
      <c r="D316" s="80"/>
      <c r="E316" s="81" t="str">
        <f aca="false">IF(D316="","",IFERROR(INDEX(식자재단가!$B$4:$B$203,MATCH(D316,식자재단가!$C$4:$C$203,0)),""))</f>
        <v/>
      </c>
      <c r="F316" s="76"/>
      <c r="G316" s="59" t="str">
        <f aca="false">IF(D316="","",IFERROR(INDEX(식자재단가!$F$4:$F$203,MATCH(D316,식자재단가!$C$4:$C$203,0)),""))</f>
        <v/>
      </c>
      <c r="H316" s="50"/>
      <c r="I316" s="82" t="str">
        <f aca="false">IF(OR(F316="",H316=""),"",F316*H316)</f>
        <v/>
      </c>
      <c r="J316" s="83" t="str">
        <f aca="false">IF(D316="","",IFERROR(INDEX(식자재단가!$M$4:$M$203,MATCH(D316,식자재단가!$C$4:$C$203,0)),"과세"))</f>
        <v/>
      </c>
      <c r="K316" s="28" t="str">
        <f aca="false">IF(I316="","",IF(J316="과세",ROUND(I316*0.1,0),0))</f>
        <v/>
      </c>
      <c r="L316" s="28" t="str">
        <f aca="false">IF(I316="","",I316+K316)</f>
        <v/>
      </c>
      <c r="M316" s="10"/>
      <c r="N316" s="80"/>
      <c r="O316" s="80"/>
      <c r="P316" s="59" t="str">
        <f aca="false">IF(E316="","",IFERROR(INDEX(기본설정!$H$4:$H$14,MATCH(E316,기본설정!$G$4:$G$14,0)),""))</f>
        <v/>
      </c>
    </row>
    <row r="317" customFormat="false" ht="15" hidden="false" customHeight="false" outlineLevel="0" collapsed="false">
      <c r="A317" s="73"/>
      <c r="B317" s="10"/>
      <c r="C317" s="80"/>
      <c r="D317" s="80"/>
      <c r="E317" s="81" t="str">
        <f aca="false">IF(D317="","",IFERROR(INDEX(식자재단가!$B$4:$B$203,MATCH(D317,식자재단가!$C$4:$C$203,0)),""))</f>
        <v/>
      </c>
      <c r="F317" s="76"/>
      <c r="G317" s="59" t="str">
        <f aca="false">IF(D317="","",IFERROR(INDEX(식자재단가!$F$4:$F$203,MATCH(D317,식자재단가!$C$4:$C$203,0)),""))</f>
        <v/>
      </c>
      <c r="H317" s="50"/>
      <c r="I317" s="82" t="str">
        <f aca="false">IF(OR(F317="",H317=""),"",F317*H317)</f>
        <v/>
      </c>
      <c r="J317" s="83" t="str">
        <f aca="false">IF(D317="","",IFERROR(INDEX(식자재단가!$M$4:$M$203,MATCH(D317,식자재단가!$C$4:$C$203,0)),"과세"))</f>
        <v/>
      </c>
      <c r="K317" s="28" t="str">
        <f aca="false">IF(I317="","",IF(J317="과세",ROUND(I317*0.1,0),0))</f>
        <v/>
      </c>
      <c r="L317" s="28" t="str">
        <f aca="false">IF(I317="","",I317+K317)</f>
        <v/>
      </c>
      <c r="M317" s="10"/>
      <c r="N317" s="80"/>
      <c r="O317" s="80"/>
      <c r="P317" s="59" t="str">
        <f aca="false">IF(E317="","",IFERROR(INDEX(기본설정!$H$4:$H$14,MATCH(E317,기본설정!$G$4:$G$14,0)),""))</f>
        <v/>
      </c>
    </row>
    <row r="318" customFormat="false" ht="15" hidden="false" customHeight="false" outlineLevel="0" collapsed="false">
      <c r="A318" s="73"/>
      <c r="B318" s="10"/>
      <c r="C318" s="80"/>
      <c r="D318" s="80"/>
      <c r="E318" s="81" t="str">
        <f aca="false">IF(D318="","",IFERROR(INDEX(식자재단가!$B$4:$B$203,MATCH(D318,식자재단가!$C$4:$C$203,0)),""))</f>
        <v/>
      </c>
      <c r="F318" s="76"/>
      <c r="G318" s="59" t="str">
        <f aca="false">IF(D318="","",IFERROR(INDEX(식자재단가!$F$4:$F$203,MATCH(D318,식자재단가!$C$4:$C$203,0)),""))</f>
        <v/>
      </c>
      <c r="H318" s="50"/>
      <c r="I318" s="82" t="str">
        <f aca="false">IF(OR(F318="",H318=""),"",F318*H318)</f>
        <v/>
      </c>
      <c r="J318" s="83" t="str">
        <f aca="false">IF(D318="","",IFERROR(INDEX(식자재단가!$M$4:$M$203,MATCH(D318,식자재단가!$C$4:$C$203,0)),"과세"))</f>
        <v/>
      </c>
      <c r="K318" s="28" t="str">
        <f aca="false">IF(I318="","",IF(J318="과세",ROUND(I318*0.1,0),0))</f>
        <v/>
      </c>
      <c r="L318" s="28" t="str">
        <f aca="false">IF(I318="","",I318+K318)</f>
        <v/>
      </c>
      <c r="M318" s="10"/>
      <c r="N318" s="80"/>
      <c r="O318" s="80"/>
      <c r="P318" s="59" t="str">
        <f aca="false">IF(E318="","",IFERROR(INDEX(기본설정!$H$4:$H$14,MATCH(E318,기본설정!$G$4:$G$14,0)),""))</f>
        <v/>
      </c>
    </row>
    <row r="319" customFormat="false" ht="15" hidden="false" customHeight="false" outlineLevel="0" collapsed="false">
      <c r="A319" s="73"/>
      <c r="B319" s="10"/>
      <c r="C319" s="80"/>
      <c r="D319" s="80"/>
      <c r="E319" s="81" t="str">
        <f aca="false">IF(D319="","",IFERROR(INDEX(식자재단가!$B$4:$B$203,MATCH(D319,식자재단가!$C$4:$C$203,0)),""))</f>
        <v/>
      </c>
      <c r="F319" s="76"/>
      <c r="G319" s="59" t="str">
        <f aca="false">IF(D319="","",IFERROR(INDEX(식자재단가!$F$4:$F$203,MATCH(D319,식자재단가!$C$4:$C$203,0)),""))</f>
        <v/>
      </c>
      <c r="H319" s="50"/>
      <c r="I319" s="82" t="str">
        <f aca="false">IF(OR(F319="",H319=""),"",F319*H319)</f>
        <v/>
      </c>
      <c r="J319" s="83" t="str">
        <f aca="false">IF(D319="","",IFERROR(INDEX(식자재단가!$M$4:$M$203,MATCH(D319,식자재단가!$C$4:$C$203,0)),"과세"))</f>
        <v/>
      </c>
      <c r="K319" s="28" t="str">
        <f aca="false">IF(I319="","",IF(J319="과세",ROUND(I319*0.1,0),0))</f>
        <v/>
      </c>
      <c r="L319" s="28" t="str">
        <f aca="false">IF(I319="","",I319+K319)</f>
        <v/>
      </c>
      <c r="M319" s="10"/>
      <c r="N319" s="80"/>
      <c r="O319" s="80"/>
      <c r="P319" s="59" t="str">
        <f aca="false">IF(E319="","",IFERROR(INDEX(기본설정!$H$4:$H$14,MATCH(E319,기본설정!$G$4:$G$14,0)),""))</f>
        <v/>
      </c>
    </row>
    <row r="320" customFormat="false" ht="15" hidden="false" customHeight="false" outlineLevel="0" collapsed="false">
      <c r="A320" s="73"/>
      <c r="B320" s="10"/>
      <c r="C320" s="80"/>
      <c r="D320" s="80"/>
      <c r="E320" s="81" t="str">
        <f aca="false">IF(D320="","",IFERROR(INDEX(식자재단가!$B$4:$B$203,MATCH(D320,식자재단가!$C$4:$C$203,0)),""))</f>
        <v/>
      </c>
      <c r="F320" s="76"/>
      <c r="G320" s="59" t="str">
        <f aca="false">IF(D320="","",IFERROR(INDEX(식자재단가!$F$4:$F$203,MATCH(D320,식자재단가!$C$4:$C$203,0)),""))</f>
        <v/>
      </c>
      <c r="H320" s="50"/>
      <c r="I320" s="82" t="str">
        <f aca="false">IF(OR(F320="",H320=""),"",F320*H320)</f>
        <v/>
      </c>
      <c r="J320" s="83" t="str">
        <f aca="false">IF(D320="","",IFERROR(INDEX(식자재단가!$M$4:$M$203,MATCH(D320,식자재단가!$C$4:$C$203,0)),"과세"))</f>
        <v/>
      </c>
      <c r="K320" s="28" t="str">
        <f aca="false">IF(I320="","",IF(J320="과세",ROUND(I320*0.1,0),0))</f>
        <v/>
      </c>
      <c r="L320" s="28" t="str">
        <f aca="false">IF(I320="","",I320+K320)</f>
        <v/>
      </c>
      <c r="M320" s="10"/>
      <c r="N320" s="80"/>
      <c r="O320" s="80"/>
      <c r="P320" s="59" t="str">
        <f aca="false">IF(E320="","",IFERROR(INDEX(기본설정!$H$4:$H$14,MATCH(E320,기본설정!$G$4:$G$14,0)),""))</f>
        <v/>
      </c>
    </row>
    <row r="321" customFormat="false" ht="15" hidden="false" customHeight="false" outlineLevel="0" collapsed="false">
      <c r="A321" s="73"/>
      <c r="B321" s="10"/>
      <c r="C321" s="80"/>
      <c r="D321" s="80"/>
      <c r="E321" s="81" t="str">
        <f aca="false">IF(D321="","",IFERROR(INDEX(식자재단가!$B$4:$B$203,MATCH(D321,식자재단가!$C$4:$C$203,0)),""))</f>
        <v/>
      </c>
      <c r="F321" s="76"/>
      <c r="G321" s="59" t="str">
        <f aca="false">IF(D321="","",IFERROR(INDEX(식자재단가!$F$4:$F$203,MATCH(D321,식자재단가!$C$4:$C$203,0)),""))</f>
        <v/>
      </c>
      <c r="H321" s="50"/>
      <c r="I321" s="82" t="str">
        <f aca="false">IF(OR(F321="",H321=""),"",F321*H321)</f>
        <v/>
      </c>
      <c r="J321" s="83" t="str">
        <f aca="false">IF(D321="","",IFERROR(INDEX(식자재단가!$M$4:$M$203,MATCH(D321,식자재단가!$C$4:$C$203,0)),"과세"))</f>
        <v/>
      </c>
      <c r="K321" s="28" t="str">
        <f aca="false">IF(I321="","",IF(J321="과세",ROUND(I321*0.1,0),0))</f>
        <v/>
      </c>
      <c r="L321" s="28" t="str">
        <f aca="false">IF(I321="","",I321+K321)</f>
        <v/>
      </c>
      <c r="M321" s="10"/>
      <c r="N321" s="80"/>
      <c r="O321" s="80"/>
      <c r="P321" s="59" t="str">
        <f aca="false">IF(E321="","",IFERROR(INDEX(기본설정!$H$4:$H$14,MATCH(E321,기본설정!$G$4:$G$14,0)),""))</f>
        <v/>
      </c>
    </row>
    <row r="322" customFormat="false" ht="15" hidden="false" customHeight="false" outlineLevel="0" collapsed="false">
      <c r="A322" s="73"/>
      <c r="B322" s="10"/>
      <c r="C322" s="80"/>
      <c r="D322" s="80"/>
      <c r="E322" s="81" t="str">
        <f aca="false">IF(D322="","",IFERROR(INDEX(식자재단가!$B$4:$B$203,MATCH(D322,식자재단가!$C$4:$C$203,0)),""))</f>
        <v/>
      </c>
      <c r="F322" s="76"/>
      <c r="G322" s="59" t="str">
        <f aca="false">IF(D322="","",IFERROR(INDEX(식자재단가!$F$4:$F$203,MATCH(D322,식자재단가!$C$4:$C$203,0)),""))</f>
        <v/>
      </c>
      <c r="H322" s="50"/>
      <c r="I322" s="82" t="str">
        <f aca="false">IF(OR(F322="",H322=""),"",F322*H322)</f>
        <v/>
      </c>
      <c r="J322" s="83" t="str">
        <f aca="false">IF(D322="","",IFERROR(INDEX(식자재단가!$M$4:$M$203,MATCH(D322,식자재단가!$C$4:$C$203,0)),"과세"))</f>
        <v/>
      </c>
      <c r="K322" s="28" t="str">
        <f aca="false">IF(I322="","",IF(J322="과세",ROUND(I322*0.1,0),0))</f>
        <v/>
      </c>
      <c r="L322" s="28" t="str">
        <f aca="false">IF(I322="","",I322+K322)</f>
        <v/>
      </c>
      <c r="M322" s="10"/>
      <c r="N322" s="80"/>
      <c r="O322" s="80"/>
      <c r="P322" s="59" t="str">
        <f aca="false">IF(E322="","",IFERROR(INDEX(기본설정!$H$4:$H$14,MATCH(E322,기본설정!$G$4:$G$14,0)),""))</f>
        <v/>
      </c>
    </row>
    <row r="323" customFormat="false" ht="15" hidden="false" customHeight="false" outlineLevel="0" collapsed="false">
      <c r="A323" s="73"/>
      <c r="B323" s="10"/>
      <c r="C323" s="80"/>
      <c r="D323" s="80"/>
      <c r="E323" s="81" t="str">
        <f aca="false">IF(D323="","",IFERROR(INDEX(식자재단가!$B$4:$B$203,MATCH(D323,식자재단가!$C$4:$C$203,0)),""))</f>
        <v/>
      </c>
      <c r="F323" s="76"/>
      <c r="G323" s="59" t="str">
        <f aca="false">IF(D323="","",IFERROR(INDEX(식자재단가!$F$4:$F$203,MATCH(D323,식자재단가!$C$4:$C$203,0)),""))</f>
        <v/>
      </c>
      <c r="H323" s="50"/>
      <c r="I323" s="82" t="str">
        <f aca="false">IF(OR(F323="",H323=""),"",F323*H323)</f>
        <v/>
      </c>
      <c r="J323" s="83" t="str">
        <f aca="false">IF(D323="","",IFERROR(INDEX(식자재단가!$M$4:$M$203,MATCH(D323,식자재단가!$C$4:$C$203,0)),"과세"))</f>
        <v/>
      </c>
      <c r="K323" s="28" t="str">
        <f aca="false">IF(I323="","",IF(J323="과세",ROUND(I323*0.1,0),0))</f>
        <v/>
      </c>
      <c r="L323" s="28" t="str">
        <f aca="false">IF(I323="","",I323+K323)</f>
        <v/>
      </c>
      <c r="M323" s="10"/>
      <c r="N323" s="80"/>
      <c r="O323" s="80"/>
      <c r="P323" s="59" t="str">
        <f aca="false">IF(E323="","",IFERROR(INDEX(기본설정!$H$4:$H$14,MATCH(E323,기본설정!$G$4:$G$14,0)),""))</f>
        <v/>
      </c>
    </row>
    <row r="324" customFormat="false" ht="15" hidden="false" customHeight="false" outlineLevel="0" collapsed="false">
      <c r="A324" s="73"/>
      <c r="B324" s="10"/>
      <c r="C324" s="80"/>
      <c r="D324" s="80"/>
      <c r="E324" s="81" t="str">
        <f aca="false">IF(D324="","",IFERROR(INDEX(식자재단가!$B$4:$B$203,MATCH(D324,식자재단가!$C$4:$C$203,0)),""))</f>
        <v/>
      </c>
      <c r="F324" s="76"/>
      <c r="G324" s="59" t="str">
        <f aca="false">IF(D324="","",IFERROR(INDEX(식자재단가!$F$4:$F$203,MATCH(D324,식자재단가!$C$4:$C$203,0)),""))</f>
        <v/>
      </c>
      <c r="H324" s="50"/>
      <c r="I324" s="82" t="str">
        <f aca="false">IF(OR(F324="",H324=""),"",F324*H324)</f>
        <v/>
      </c>
      <c r="J324" s="83" t="str">
        <f aca="false">IF(D324="","",IFERROR(INDEX(식자재단가!$M$4:$M$203,MATCH(D324,식자재단가!$C$4:$C$203,0)),"과세"))</f>
        <v/>
      </c>
      <c r="K324" s="28" t="str">
        <f aca="false">IF(I324="","",IF(J324="과세",ROUND(I324*0.1,0),0))</f>
        <v/>
      </c>
      <c r="L324" s="28" t="str">
        <f aca="false">IF(I324="","",I324+K324)</f>
        <v/>
      </c>
      <c r="M324" s="10"/>
      <c r="N324" s="80"/>
      <c r="O324" s="80"/>
      <c r="P324" s="59" t="str">
        <f aca="false">IF(E324="","",IFERROR(INDEX(기본설정!$H$4:$H$14,MATCH(E324,기본설정!$G$4:$G$14,0)),""))</f>
        <v/>
      </c>
    </row>
    <row r="325" customFormat="false" ht="15" hidden="false" customHeight="false" outlineLevel="0" collapsed="false">
      <c r="A325" s="73"/>
      <c r="B325" s="10"/>
      <c r="C325" s="80"/>
      <c r="D325" s="80"/>
      <c r="E325" s="81" t="str">
        <f aca="false">IF(D325="","",IFERROR(INDEX(식자재단가!$B$4:$B$203,MATCH(D325,식자재단가!$C$4:$C$203,0)),""))</f>
        <v/>
      </c>
      <c r="F325" s="76"/>
      <c r="G325" s="59" t="str">
        <f aca="false">IF(D325="","",IFERROR(INDEX(식자재단가!$F$4:$F$203,MATCH(D325,식자재단가!$C$4:$C$203,0)),""))</f>
        <v/>
      </c>
      <c r="H325" s="50"/>
      <c r="I325" s="82" t="str">
        <f aca="false">IF(OR(F325="",H325=""),"",F325*H325)</f>
        <v/>
      </c>
      <c r="J325" s="83" t="str">
        <f aca="false">IF(D325="","",IFERROR(INDEX(식자재단가!$M$4:$M$203,MATCH(D325,식자재단가!$C$4:$C$203,0)),"과세"))</f>
        <v/>
      </c>
      <c r="K325" s="28" t="str">
        <f aca="false">IF(I325="","",IF(J325="과세",ROUND(I325*0.1,0),0))</f>
        <v/>
      </c>
      <c r="L325" s="28" t="str">
        <f aca="false">IF(I325="","",I325+K325)</f>
        <v/>
      </c>
      <c r="M325" s="10"/>
      <c r="N325" s="80"/>
      <c r="O325" s="80"/>
      <c r="P325" s="59" t="str">
        <f aca="false">IF(E325="","",IFERROR(INDEX(기본설정!$H$4:$H$14,MATCH(E325,기본설정!$G$4:$G$14,0)),""))</f>
        <v/>
      </c>
    </row>
    <row r="326" customFormat="false" ht="15" hidden="false" customHeight="false" outlineLevel="0" collapsed="false">
      <c r="A326" s="73"/>
      <c r="B326" s="10"/>
      <c r="C326" s="80"/>
      <c r="D326" s="80"/>
      <c r="E326" s="81" t="str">
        <f aca="false">IF(D326="","",IFERROR(INDEX(식자재단가!$B$4:$B$203,MATCH(D326,식자재단가!$C$4:$C$203,0)),""))</f>
        <v/>
      </c>
      <c r="F326" s="76"/>
      <c r="G326" s="59" t="str">
        <f aca="false">IF(D326="","",IFERROR(INDEX(식자재단가!$F$4:$F$203,MATCH(D326,식자재단가!$C$4:$C$203,0)),""))</f>
        <v/>
      </c>
      <c r="H326" s="50"/>
      <c r="I326" s="82" t="str">
        <f aca="false">IF(OR(F326="",H326=""),"",F326*H326)</f>
        <v/>
      </c>
      <c r="J326" s="83" t="str">
        <f aca="false">IF(D326="","",IFERROR(INDEX(식자재단가!$M$4:$M$203,MATCH(D326,식자재단가!$C$4:$C$203,0)),"과세"))</f>
        <v/>
      </c>
      <c r="K326" s="28" t="str">
        <f aca="false">IF(I326="","",IF(J326="과세",ROUND(I326*0.1,0),0))</f>
        <v/>
      </c>
      <c r="L326" s="28" t="str">
        <f aca="false">IF(I326="","",I326+K326)</f>
        <v/>
      </c>
      <c r="M326" s="10"/>
      <c r="N326" s="80"/>
      <c r="O326" s="80"/>
      <c r="P326" s="59" t="str">
        <f aca="false">IF(E326="","",IFERROR(INDEX(기본설정!$H$4:$H$14,MATCH(E326,기본설정!$G$4:$G$14,0)),""))</f>
        <v/>
      </c>
    </row>
    <row r="327" customFormat="false" ht="15" hidden="false" customHeight="false" outlineLevel="0" collapsed="false">
      <c r="A327" s="73"/>
      <c r="B327" s="10"/>
      <c r="C327" s="80"/>
      <c r="D327" s="80"/>
      <c r="E327" s="81" t="str">
        <f aca="false">IF(D327="","",IFERROR(INDEX(식자재단가!$B$4:$B$203,MATCH(D327,식자재단가!$C$4:$C$203,0)),""))</f>
        <v/>
      </c>
      <c r="F327" s="76"/>
      <c r="G327" s="59" t="str">
        <f aca="false">IF(D327="","",IFERROR(INDEX(식자재단가!$F$4:$F$203,MATCH(D327,식자재단가!$C$4:$C$203,0)),""))</f>
        <v/>
      </c>
      <c r="H327" s="50"/>
      <c r="I327" s="82" t="str">
        <f aca="false">IF(OR(F327="",H327=""),"",F327*H327)</f>
        <v/>
      </c>
      <c r="J327" s="83" t="str">
        <f aca="false">IF(D327="","",IFERROR(INDEX(식자재단가!$M$4:$M$203,MATCH(D327,식자재단가!$C$4:$C$203,0)),"과세"))</f>
        <v/>
      </c>
      <c r="K327" s="28" t="str">
        <f aca="false">IF(I327="","",IF(J327="과세",ROUND(I327*0.1,0),0))</f>
        <v/>
      </c>
      <c r="L327" s="28" t="str">
        <f aca="false">IF(I327="","",I327+K327)</f>
        <v/>
      </c>
      <c r="M327" s="10"/>
      <c r="N327" s="80"/>
      <c r="O327" s="80"/>
      <c r="P327" s="59" t="str">
        <f aca="false">IF(E327="","",IFERROR(INDEX(기본설정!$H$4:$H$14,MATCH(E327,기본설정!$G$4:$G$14,0)),""))</f>
        <v/>
      </c>
    </row>
    <row r="328" customFormat="false" ht="15" hidden="false" customHeight="false" outlineLevel="0" collapsed="false">
      <c r="A328" s="73"/>
      <c r="B328" s="10"/>
      <c r="C328" s="80"/>
      <c r="D328" s="80"/>
      <c r="E328" s="81" t="str">
        <f aca="false">IF(D328="","",IFERROR(INDEX(식자재단가!$B$4:$B$203,MATCH(D328,식자재단가!$C$4:$C$203,0)),""))</f>
        <v/>
      </c>
      <c r="F328" s="76"/>
      <c r="G328" s="59" t="str">
        <f aca="false">IF(D328="","",IFERROR(INDEX(식자재단가!$F$4:$F$203,MATCH(D328,식자재단가!$C$4:$C$203,0)),""))</f>
        <v/>
      </c>
      <c r="H328" s="50"/>
      <c r="I328" s="82" t="str">
        <f aca="false">IF(OR(F328="",H328=""),"",F328*H328)</f>
        <v/>
      </c>
      <c r="J328" s="83" t="str">
        <f aca="false">IF(D328="","",IFERROR(INDEX(식자재단가!$M$4:$M$203,MATCH(D328,식자재단가!$C$4:$C$203,0)),"과세"))</f>
        <v/>
      </c>
      <c r="K328" s="28" t="str">
        <f aca="false">IF(I328="","",IF(J328="과세",ROUND(I328*0.1,0),0))</f>
        <v/>
      </c>
      <c r="L328" s="28" t="str">
        <f aca="false">IF(I328="","",I328+K328)</f>
        <v/>
      </c>
      <c r="M328" s="10"/>
      <c r="N328" s="80"/>
      <c r="O328" s="80"/>
      <c r="P328" s="59" t="str">
        <f aca="false">IF(E328="","",IFERROR(INDEX(기본설정!$H$4:$H$14,MATCH(E328,기본설정!$G$4:$G$14,0)),""))</f>
        <v/>
      </c>
    </row>
    <row r="329" customFormat="false" ht="15" hidden="false" customHeight="false" outlineLevel="0" collapsed="false">
      <c r="A329" s="73"/>
      <c r="B329" s="10"/>
      <c r="C329" s="80"/>
      <c r="D329" s="80"/>
      <c r="E329" s="81" t="str">
        <f aca="false">IF(D329="","",IFERROR(INDEX(식자재단가!$B$4:$B$203,MATCH(D329,식자재단가!$C$4:$C$203,0)),""))</f>
        <v/>
      </c>
      <c r="F329" s="76"/>
      <c r="G329" s="59" t="str">
        <f aca="false">IF(D329="","",IFERROR(INDEX(식자재단가!$F$4:$F$203,MATCH(D329,식자재단가!$C$4:$C$203,0)),""))</f>
        <v/>
      </c>
      <c r="H329" s="50"/>
      <c r="I329" s="82" t="str">
        <f aca="false">IF(OR(F329="",H329=""),"",F329*H329)</f>
        <v/>
      </c>
      <c r="J329" s="83" t="str">
        <f aca="false">IF(D329="","",IFERROR(INDEX(식자재단가!$M$4:$M$203,MATCH(D329,식자재단가!$C$4:$C$203,0)),"과세"))</f>
        <v/>
      </c>
      <c r="K329" s="28" t="str">
        <f aca="false">IF(I329="","",IF(J329="과세",ROUND(I329*0.1,0),0))</f>
        <v/>
      </c>
      <c r="L329" s="28" t="str">
        <f aca="false">IF(I329="","",I329+K329)</f>
        <v/>
      </c>
      <c r="M329" s="10"/>
      <c r="N329" s="80"/>
      <c r="O329" s="80"/>
      <c r="P329" s="59" t="str">
        <f aca="false">IF(E329="","",IFERROR(INDEX(기본설정!$H$4:$H$14,MATCH(E329,기본설정!$G$4:$G$14,0)),""))</f>
        <v/>
      </c>
    </row>
    <row r="330" customFormat="false" ht="15" hidden="false" customHeight="false" outlineLevel="0" collapsed="false">
      <c r="A330" s="73"/>
      <c r="B330" s="10"/>
      <c r="C330" s="80"/>
      <c r="D330" s="80"/>
      <c r="E330" s="81" t="str">
        <f aca="false">IF(D330="","",IFERROR(INDEX(식자재단가!$B$4:$B$203,MATCH(D330,식자재단가!$C$4:$C$203,0)),""))</f>
        <v/>
      </c>
      <c r="F330" s="76"/>
      <c r="G330" s="59" t="str">
        <f aca="false">IF(D330="","",IFERROR(INDEX(식자재단가!$F$4:$F$203,MATCH(D330,식자재단가!$C$4:$C$203,0)),""))</f>
        <v/>
      </c>
      <c r="H330" s="50"/>
      <c r="I330" s="82" t="str">
        <f aca="false">IF(OR(F330="",H330=""),"",F330*H330)</f>
        <v/>
      </c>
      <c r="J330" s="83" t="str">
        <f aca="false">IF(D330="","",IFERROR(INDEX(식자재단가!$M$4:$M$203,MATCH(D330,식자재단가!$C$4:$C$203,0)),"과세"))</f>
        <v/>
      </c>
      <c r="K330" s="28" t="str">
        <f aca="false">IF(I330="","",IF(J330="과세",ROUND(I330*0.1,0),0))</f>
        <v/>
      </c>
      <c r="L330" s="28" t="str">
        <f aca="false">IF(I330="","",I330+K330)</f>
        <v/>
      </c>
      <c r="M330" s="10"/>
      <c r="N330" s="80"/>
      <c r="O330" s="80"/>
      <c r="P330" s="59" t="str">
        <f aca="false">IF(E330="","",IFERROR(INDEX(기본설정!$H$4:$H$14,MATCH(E330,기본설정!$G$4:$G$14,0)),""))</f>
        <v/>
      </c>
    </row>
    <row r="331" customFormat="false" ht="15" hidden="false" customHeight="false" outlineLevel="0" collapsed="false">
      <c r="A331" s="73"/>
      <c r="B331" s="10"/>
      <c r="C331" s="80"/>
      <c r="D331" s="80"/>
      <c r="E331" s="81" t="str">
        <f aca="false">IF(D331="","",IFERROR(INDEX(식자재단가!$B$4:$B$203,MATCH(D331,식자재단가!$C$4:$C$203,0)),""))</f>
        <v/>
      </c>
      <c r="F331" s="76"/>
      <c r="G331" s="59" t="str">
        <f aca="false">IF(D331="","",IFERROR(INDEX(식자재단가!$F$4:$F$203,MATCH(D331,식자재단가!$C$4:$C$203,0)),""))</f>
        <v/>
      </c>
      <c r="H331" s="50"/>
      <c r="I331" s="82" t="str">
        <f aca="false">IF(OR(F331="",H331=""),"",F331*H331)</f>
        <v/>
      </c>
      <c r="J331" s="83" t="str">
        <f aca="false">IF(D331="","",IFERROR(INDEX(식자재단가!$M$4:$M$203,MATCH(D331,식자재단가!$C$4:$C$203,0)),"과세"))</f>
        <v/>
      </c>
      <c r="K331" s="28" t="str">
        <f aca="false">IF(I331="","",IF(J331="과세",ROUND(I331*0.1,0),0))</f>
        <v/>
      </c>
      <c r="L331" s="28" t="str">
        <f aca="false">IF(I331="","",I331+K331)</f>
        <v/>
      </c>
      <c r="M331" s="10"/>
      <c r="N331" s="80"/>
      <c r="O331" s="80"/>
      <c r="P331" s="59" t="str">
        <f aca="false">IF(E331="","",IFERROR(INDEX(기본설정!$H$4:$H$14,MATCH(E331,기본설정!$G$4:$G$14,0)),""))</f>
        <v/>
      </c>
    </row>
    <row r="332" customFormat="false" ht="15" hidden="false" customHeight="false" outlineLevel="0" collapsed="false">
      <c r="A332" s="73"/>
      <c r="B332" s="10"/>
      <c r="C332" s="80"/>
      <c r="D332" s="80"/>
      <c r="E332" s="81" t="str">
        <f aca="false">IF(D332="","",IFERROR(INDEX(식자재단가!$B$4:$B$203,MATCH(D332,식자재단가!$C$4:$C$203,0)),""))</f>
        <v/>
      </c>
      <c r="F332" s="76"/>
      <c r="G332" s="59" t="str">
        <f aca="false">IF(D332="","",IFERROR(INDEX(식자재단가!$F$4:$F$203,MATCH(D332,식자재단가!$C$4:$C$203,0)),""))</f>
        <v/>
      </c>
      <c r="H332" s="50"/>
      <c r="I332" s="82" t="str">
        <f aca="false">IF(OR(F332="",H332=""),"",F332*H332)</f>
        <v/>
      </c>
      <c r="J332" s="83" t="str">
        <f aca="false">IF(D332="","",IFERROR(INDEX(식자재단가!$M$4:$M$203,MATCH(D332,식자재단가!$C$4:$C$203,0)),"과세"))</f>
        <v/>
      </c>
      <c r="K332" s="28" t="str">
        <f aca="false">IF(I332="","",IF(J332="과세",ROUND(I332*0.1,0),0))</f>
        <v/>
      </c>
      <c r="L332" s="28" t="str">
        <f aca="false">IF(I332="","",I332+K332)</f>
        <v/>
      </c>
      <c r="M332" s="10"/>
      <c r="N332" s="80"/>
      <c r="O332" s="80"/>
      <c r="P332" s="59" t="str">
        <f aca="false">IF(E332="","",IFERROR(INDEX(기본설정!$H$4:$H$14,MATCH(E332,기본설정!$G$4:$G$14,0)),""))</f>
        <v/>
      </c>
    </row>
    <row r="333" customFormat="false" ht="15" hidden="false" customHeight="false" outlineLevel="0" collapsed="false">
      <c r="A333" s="73"/>
      <c r="B333" s="10"/>
      <c r="C333" s="80"/>
      <c r="D333" s="80"/>
      <c r="E333" s="81" t="str">
        <f aca="false">IF(D333="","",IFERROR(INDEX(식자재단가!$B$4:$B$203,MATCH(D333,식자재단가!$C$4:$C$203,0)),""))</f>
        <v/>
      </c>
      <c r="F333" s="76"/>
      <c r="G333" s="59" t="str">
        <f aca="false">IF(D333="","",IFERROR(INDEX(식자재단가!$F$4:$F$203,MATCH(D333,식자재단가!$C$4:$C$203,0)),""))</f>
        <v/>
      </c>
      <c r="H333" s="50"/>
      <c r="I333" s="82" t="str">
        <f aca="false">IF(OR(F333="",H333=""),"",F333*H333)</f>
        <v/>
      </c>
      <c r="J333" s="83" t="str">
        <f aca="false">IF(D333="","",IFERROR(INDEX(식자재단가!$M$4:$M$203,MATCH(D333,식자재단가!$C$4:$C$203,0)),"과세"))</f>
        <v/>
      </c>
      <c r="K333" s="28" t="str">
        <f aca="false">IF(I333="","",IF(J333="과세",ROUND(I333*0.1,0),0))</f>
        <v/>
      </c>
      <c r="L333" s="28" t="str">
        <f aca="false">IF(I333="","",I333+K333)</f>
        <v/>
      </c>
      <c r="M333" s="10"/>
      <c r="N333" s="80"/>
      <c r="O333" s="80"/>
      <c r="P333" s="59" t="str">
        <f aca="false">IF(E333="","",IFERROR(INDEX(기본설정!$H$4:$H$14,MATCH(E333,기본설정!$G$4:$G$14,0)),""))</f>
        <v/>
      </c>
    </row>
    <row r="334" customFormat="false" ht="15" hidden="false" customHeight="false" outlineLevel="0" collapsed="false">
      <c r="A334" s="73"/>
      <c r="B334" s="10"/>
      <c r="C334" s="80"/>
      <c r="D334" s="80"/>
      <c r="E334" s="81" t="str">
        <f aca="false">IF(D334="","",IFERROR(INDEX(식자재단가!$B$4:$B$203,MATCH(D334,식자재단가!$C$4:$C$203,0)),""))</f>
        <v/>
      </c>
      <c r="F334" s="76"/>
      <c r="G334" s="59" t="str">
        <f aca="false">IF(D334="","",IFERROR(INDEX(식자재단가!$F$4:$F$203,MATCH(D334,식자재단가!$C$4:$C$203,0)),""))</f>
        <v/>
      </c>
      <c r="H334" s="50"/>
      <c r="I334" s="82" t="str">
        <f aca="false">IF(OR(F334="",H334=""),"",F334*H334)</f>
        <v/>
      </c>
      <c r="J334" s="83" t="str">
        <f aca="false">IF(D334="","",IFERROR(INDEX(식자재단가!$M$4:$M$203,MATCH(D334,식자재단가!$C$4:$C$203,0)),"과세"))</f>
        <v/>
      </c>
      <c r="K334" s="28" t="str">
        <f aca="false">IF(I334="","",IF(J334="과세",ROUND(I334*0.1,0),0))</f>
        <v/>
      </c>
      <c r="L334" s="28" t="str">
        <f aca="false">IF(I334="","",I334+K334)</f>
        <v/>
      </c>
      <c r="M334" s="10"/>
      <c r="N334" s="80"/>
      <c r="O334" s="80"/>
      <c r="P334" s="59" t="str">
        <f aca="false">IF(E334="","",IFERROR(INDEX(기본설정!$H$4:$H$14,MATCH(E334,기본설정!$G$4:$G$14,0)),""))</f>
        <v/>
      </c>
    </row>
    <row r="335" customFormat="false" ht="15" hidden="false" customHeight="false" outlineLevel="0" collapsed="false">
      <c r="A335" s="73"/>
      <c r="B335" s="10"/>
      <c r="C335" s="80"/>
      <c r="D335" s="80"/>
      <c r="E335" s="81" t="str">
        <f aca="false">IF(D335="","",IFERROR(INDEX(식자재단가!$B$4:$B$203,MATCH(D335,식자재단가!$C$4:$C$203,0)),""))</f>
        <v/>
      </c>
      <c r="F335" s="76"/>
      <c r="G335" s="59" t="str">
        <f aca="false">IF(D335="","",IFERROR(INDEX(식자재단가!$F$4:$F$203,MATCH(D335,식자재단가!$C$4:$C$203,0)),""))</f>
        <v/>
      </c>
      <c r="H335" s="50"/>
      <c r="I335" s="82" t="str">
        <f aca="false">IF(OR(F335="",H335=""),"",F335*H335)</f>
        <v/>
      </c>
      <c r="J335" s="83" t="str">
        <f aca="false">IF(D335="","",IFERROR(INDEX(식자재단가!$M$4:$M$203,MATCH(D335,식자재단가!$C$4:$C$203,0)),"과세"))</f>
        <v/>
      </c>
      <c r="K335" s="28" t="str">
        <f aca="false">IF(I335="","",IF(J335="과세",ROUND(I335*0.1,0),0))</f>
        <v/>
      </c>
      <c r="L335" s="28" t="str">
        <f aca="false">IF(I335="","",I335+K335)</f>
        <v/>
      </c>
      <c r="M335" s="10"/>
      <c r="N335" s="80"/>
      <c r="O335" s="80"/>
      <c r="P335" s="59" t="str">
        <f aca="false">IF(E335="","",IFERROR(INDEX(기본설정!$H$4:$H$14,MATCH(E335,기본설정!$G$4:$G$14,0)),""))</f>
        <v/>
      </c>
    </row>
    <row r="336" customFormat="false" ht="15" hidden="false" customHeight="false" outlineLevel="0" collapsed="false">
      <c r="A336" s="73"/>
      <c r="B336" s="10"/>
      <c r="C336" s="80"/>
      <c r="D336" s="80"/>
      <c r="E336" s="81" t="str">
        <f aca="false">IF(D336="","",IFERROR(INDEX(식자재단가!$B$4:$B$203,MATCH(D336,식자재단가!$C$4:$C$203,0)),""))</f>
        <v/>
      </c>
      <c r="F336" s="76"/>
      <c r="G336" s="59" t="str">
        <f aca="false">IF(D336="","",IFERROR(INDEX(식자재단가!$F$4:$F$203,MATCH(D336,식자재단가!$C$4:$C$203,0)),""))</f>
        <v/>
      </c>
      <c r="H336" s="50"/>
      <c r="I336" s="82" t="str">
        <f aca="false">IF(OR(F336="",H336=""),"",F336*H336)</f>
        <v/>
      </c>
      <c r="J336" s="83" t="str">
        <f aca="false">IF(D336="","",IFERROR(INDEX(식자재단가!$M$4:$M$203,MATCH(D336,식자재단가!$C$4:$C$203,0)),"과세"))</f>
        <v/>
      </c>
      <c r="K336" s="28" t="str">
        <f aca="false">IF(I336="","",IF(J336="과세",ROUND(I336*0.1,0),0))</f>
        <v/>
      </c>
      <c r="L336" s="28" t="str">
        <f aca="false">IF(I336="","",I336+K336)</f>
        <v/>
      </c>
      <c r="M336" s="10"/>
      <c r="N336" s="80"/>
      <c r="O336" s="80"/>
      <c r="P336" s="59" t="str">
        <f aca="false">IF(E336="","",IFERROR(INDEX(기본설정!$H$4:$H$14,MATCH(E336,기본설정!$G$4:$G$14,0)),""))</f>
        <v/>
      </c>
    </row>
    <row r="337" customFormat="false" ht="15" hidden="false" customHeight="false" outlineLevel="0" collapsed="false">
      <c r="A337" s="73"/>
      <c r="B337" s="10"/>
      <c r="C337" s="80"/>
      <c r="D337" s="80"/>
      <c r="E337" s="81" t="str">
        <f aca="false">IF(D337="","",IFERROR(INDEX(식자재단가!$B$4:$B$203,MATCH(D337,식자재단가!$C$4:$C$203,0)),""))</f>
        <v/>
      </c>
      <c r="F337" s="76"/>
      <c r="G337" s="59" t="str">
        <f aca="false">IF(D337="","",IFERROR(INDEX(식자재단가!$F$4:$F$203,MATCH(D337,식자재단가!$C$4:$C$203,0)),""))</f>
        <v/>
      </c>
      <c r="H337" s="50"/>
      <c r="I337" s="82" t="str">
        <f aca="false">IF(OR(F337="",H337=""),"",F337*H337)</f>
        <v/>
      </c>
      <c r="J337" s="83" t="str">
        <f aca="false">IF(D337="","",IFERROR(INDEX(식자재단가!$M$4:$M$203,MATCH(D337,식자재단가!$C$4:$C$203,0)),"과세"))</f>
        <v/>
      </c>
      <c r="K337" s="28" t="str">
        <f aca="false">IF(I337="","",IF(J337="과세",ROUND(I337*0.1,0),0))</f>
        <v/>
      </c>
      <c r="L337" s="28" t="str">
        <f aca="false">IF(I337="","",I337+K337)</f>
        <v/>
      </c>
      <c r="M337" s="10"/>
      <c r="N337" s="80"/>
      <c r="O337" s="80"/>
      <c r="P337" s="59" t="str">
        <f aca="false">IF(E337="","",IFERROR(INDEX(기본설정!$H$4:$H$14,MATCH(E337,기본설정!$G$4:$G$14,0)),""))</f>
        <v/>
      </c>
    </row>
    <row r="338" customFormat="false" ht="15" hidden="false" customHeight="false" outlineLevel="0" collapsed="false">
      <c r="A338" s="73"/>
      <c r="B338" s="10"/>
      <c r="C338" s="80"/>
      <c r="D338" s="80"/>
      <c r="E338" s="81" t="str">
        <f aca="false">IF(D338="","",IFERROR(INDEX(식자재단가!$B$4:$B$203,MATCH(D338,식자재단가!$C$4:$C$203,0)),""))</f>
        <v/>
      </c>
      <c r="F338" s="76"/>
      <c r="G338" s="59" t="str">
        <f aca="false">IF(D338="","",IFERROR(INDEX(식자재단가!$F$4:$F$203,MATCH(D338,식자재단가!$C$4:$C$203,0)),""))</f>
        <v/>
      </c>
      <c r="H338" s="50"/>
      <c r="I338" s="82" t="str">
        <f aca="false">IF(OR(F338="",H338=""),"",F338*H338)</f>
        <v/>
      </c>
      <c r="J338" s="83" t="str">
        <f aca="false">IF(D338="","",IFERROR(INDEX(식자재단가!$M$4:$M$203,MATCH(D338,식자재단가!$C$4:$C$203,0)),"과세"))</f>
        <v/>
      </c>
      <c r="K338" s="28" t="str">
        <f aca="false">IF(I338="","",IF(J338="과세",ROUND(I338*0.1,0),0))</f>
        <v/>
      </c>
      <c r="L338" s="28" t="str">
        <f aca="false">IF(I338="","",I338+K338)</f>
        <v/>
      </c>
      <c r="M338" s="10"/>
      <c r="N338" s="80"/>
      <c r="O338" s="80"/>
      <c r="P338" s="59" t="str">
        <f aca="false">IF(E338="","",IFERROR(INDEX(기본설정!$H$4:$H$14,MATCH(E338,기본설정!$G$4:$G$14,0)),""))</f>
        <v/>
      </c>
    </row>
    <row r="339" customFormat="false" ht="15" hidden="false" customHeight="false" outlineLevel="0" collapsed="false">
      <c r="A339" s="73"/>
      <c r="B339" s="10"/>
      <c r="C339" s="80"/>
      <c r="D339" s="80"/>
      <c r="E339" s="81" t="str">
        <f aca="false">IF(D339="","",IFERROR(INDEX(식자재단가!$B$4:$B$203,MATCH(D339,식자재단가!$C$4:$C$203,0)),""))</f>
        <v/>
      </c>
      <c r="F339" s="76"/>
      <c r="G339" s="59" t="str">
        <f aca="false">IF(D339="","",IFERROR(INDEX(식자재단가!$F$4:$F$203,MATCH(D339,식자재단가!$C$4:$C$203,0)),""))</f>
        <v/>
      </c>
      <c r="H339" s="50"/>
      <c r="I339" s="82" t="str">
        <f aca="false">IF(OR(F339="",H339=""),"",F339*H339)</f>
        <v/>
      </c>
      <c r="J339" s="83" t="str">
        <f aca="false">IF(D339="","",IFERROR(INDEX(식자재단가!$M$4:$M$203,MATCH(D339,식자재단가!$C$4:$C$203,0)),"과세"))</f>
        <v/>
      </c>
      <c r="K339" s="28" t="str">
        <f aca="false">IF(I339="","",IF(J339="과세",ROUND(I339*0.1,0),0))</f>
        <v/>
      </c>
      <c r="L339" s="28" t="str">
        <f aca="false">IF(I339="","",I339+K339)</f>
        <v/>
      </c>
      <c r="M339" s="10"/>
      <c r="N339" s="80"/>
      <c r="O339" s="80"/>
      <c r="P339" s="59" t="str">
        <f aca="false">IF(E339="","",IFERROR(INDEX(기본설정!$H$4:$H$14,MATCH(E339,기본설정!$G$4:$G$14,0)),""))</f>
        <v/>
      </c>
    </row>
    <row r="340" customFormat="false" ht="15" hidden="false" customHeight="false" outlineLevel="0" collapsed="false">
      <c r="A340" s="73"/>
      <c r="B340" s="10"/>
      <c r="C340" s="80"/>
      <c r="D340" s="80"/>
      <c r="E340" s="81" t="str">
        <f aca="false">IF(D340="","",IFERROR(INDEX(식자재단가!$B$4:$B$203,MATCH(D340,식자재단가!$C$4:$C$203,0)),""))</f>
        <v/>
      </c>
      <c r="F340" s="76"/>
      <c r="G340" s="59" t="str">
        <f aca="false">IF(D340="","",IFERROR(INDEX(식자재단가!$F$4:$F$203,MATCH(D340,식자재단가!$C$4:$C$203,0)),""))</f>
        <v/>
      </c>
      <c r="H340" s="50"/>
      <c r="I340" s="82" t="str">
        <f aca="false">IF(OR(F340="",H340=""),"",F340*H340)</f>
        <v/>
      </c>
      <c r="J340" s="83" t="str">
        <f aca="false">IF(D340="","",IFERROR(INDEX(식자재단가!$M$4:$M$203,MATCH(D340,식자재단가!$C$4:$C$203,0)),"과세"))</f>
        <v/>
      </c>
      <c r="K340" s="28" t="str">
        <f aca="false">IF(I340="","",IF(J340="과세",ROUND(I340*0.1,0),0))</f>
        <v/>
      </c>
      <c r="L340" s="28" t="str">
        <f aca="false">IF(I340="","",I340+K340)</f>
        <v/>
      </c>
      <c r="M340" s="10"/>
      <c r="N340" s="80"/>
      <c r="O340" s="80"/>
      <c r="P340" s="59" t="str">
        <f aca="false">IF(E340="","",IFERROR(INDEX(기본설정!$H$4:$H$14,MATCH(E340,기본설정!$G$4:$G$14,0)),""))</f>
        <v/>
      </c>
    </row>
    <row r="341" customFormat="false" ht="15" hidden="false" customHeight="false" outlineLevel="0" collapsed="false">
      <c r="A341" s="73"/>
      <c r="B341" s="10"/>
      <c r="C341" s="80"/>
      <c r="D341" s="80"/>
      <c r="E341" s="81" t="str">
        <f aca="false">IF(D341="","",IFERROR(INDEX(식자재단가!$B$4:$B$203,MATCH(D341,식자재단가!$C$4:$C$203,0)),""))</f>
        <v/>
      </c>
      <c r="F341" s="76"/>
      <c r="G341" s="59" t="str">
        <f aca="false">IF(D341="","",IFERROR(INDEX(식자재단가!$F$4:$F$203,MATCH(D341,식자재단가!$C$4:$C$203,0)),""))</f>
        <v/>
      </c>
      <c r="H341" s="50"/>
      <c r="I341" s="82" t="str">
        <f aca="false">IF(OR(F341="",H341=""),"",F341*H341)</f>
        <v/>
      </c>
      <c r="J341" s="83" t="str">
        <f aca="false">IF(D341="","",IFERROR(INDEX(식자재단가!$M$4:$M$203,MATCH(D341,식자재단가!$C$4:$C$203,0)),"과세"))</f>
        <v/>
      </c>
      <c r="K341" s="28" t="str">
        <f aca="false">IF(I341="","",IF(J341="과세",ROUND(I341*0.1,0),0))</f>
        <v/>
      </c>
      <c r="L341" s="28" t="str">
        <f aca="false">IF(I341="","",I341+K341)</f>
        <v/>
      </c>
      <c r="M341" s="10"/>
      <c r="N341" s="80"/>
      <c r="O341" s="80"/>
      <c r="P341" s="59" t="str">
        <f aca="false">IF(E341="","",IFERROR(INDEX(기본설정!$H$4:$H$14,MATCH(E341,기본설정!$G$4:$G$14,0)),""))</f>
        <v/>
      </c>
    </row>
    <row r="342" customFormat="false" ht="15" hidden="false" customHeight="false" outlineLevel="0" collapsed="false">
      <c r="A342" s="73"/>
      <c r="B342" s="10"/>
      <c r="C342" s="80"/>
      <c r="D342" s="80"/>
      <c r="E342" s="81" t="str">
        <f aca="false">IF(D342="","",IFERROR(INDEX(식자재단가!$B$4:$B$203,MATCH(D342,식자재단가!$C$4:$C$203,0)),""))</f>
        <v/>
      </c>
      <c r="F342" s="76"/>
      <c r="G342" s="59" t="str">
        <f aca="false">IF(D342="","",IFERROR(INDEX(식자재단가!$F$4:$F$203,MATCH(D342,식자재단가!$C$4:$C$203,0)),""))</f>
        <v/>
      </c>
      <c r="H342" s="50"/>
      <c r="I342" s="82" t="str">
        <f aca="false">IF(OR(F342="",H342=""),"",F342*H342)</f>
        <v/>
      </c>
      <c r="J342" s="83" t="str">
        <f aca="false">IF(D342="","",IFERROR(INDEX(식자재단가!$M$4:$M$203,MATCH(D342,식자재단가!$C$4:$C$203,0)),"과세"))</f>
        <v/>
      </c>
      <c r="K342" s="28" t="str">
        <f aca="false">IF(I342="","",IF(J342="과세",ROUND(I342*0.1,0),0))</f>
        <v/>
      </c>
      <c r="L342" s="28" t="str">
        <f aca="false">IF(I342="","",I342+K342)</f>
        <v/>
      </c>
      <c r="M342" s="10"/>
      <c r="N342" s="80"/>
      <c r="O342" s="80"/>
      <c r="P342" s="59" t="str">
        <f aca="false">IF(E342="","",IFERROR(INDEX(기본설정!$H$4:$H$14,MATCH(E342,기본설정!$G$4:$G$14,0)),""))</f>
        <v/>
      </c>
    </row>
    <row r="343" customFormat="false" ht="15" hidden="false" customHeight="false" outlineLevel="0" collapsed="false">
      <c r="A343" s="73"/>
      <c r="B343" s="10"/>
      <c r="C343" s="80"/>
      <c r="D343" s="80"/>
      <c r="E343" s="81" t="str">
        <f aca="false">IF(D343="","",IFERROR(INDEX(식자재단가!$B$4:$B$203,MATCH(D343,식자재단가!$C$4:$C$203,0)),""))</f>
        <v/>
      </c>
      <c r="F343" s="76"/>
      <c r="G343" s="59" t="str">
        <f aca="false">IF(D343="","",IFERROR(INDEX(식자재단가!$F$4:$F$203,MATCH(D343,식자재단가!$C$4:$C$203,0)),""))</f>
        <v/>
      </c>
      <c r="H343" s="50"/>
      <c r="I343" s="82" t="str">
        <f aca="false">IF(OR(F343="",H343=""),"",F343*H343)</f>
        <v/>
      </c>
      <c r="J343" s="83" t="str">
        <f aca="false">IF(D343="","",IFERROR(INDEX(식자재단가!$M$4:$M$203,MATCH(D343,식자재단가!$C$4:$C$203,0)),"과세"))</f>
        <v/>
      </c>
      <c r="K343" s="28" t="str">
        <f aca="false">IF(I343="","",IF(J343="과세",ROUND(I343*0.1,0),0))</f>
        <v/>
      </c>
      <c r="L343" s="28" t="str">
        <f aca="false">IF(I343="","",I343+K343)</f>
        <v/>
      </c>
      <c r="M343" s="10"/>
      <c r="N343" s="80"/>
      <c r="O343" s="80"/>
      <c r="P343" s="59" t="str">
        <f aca="false">IF(E343="","",IFERROR(INDEX(기본설정!$H$4:$H$14,MATCH(E343,기본설정!$G$4:$G$14,0)),""))</f>
        <v/>
      </c>
    </row>
    <row r="344" customFormat="false" ht="15" hidden="false" customHeight="false" outlineLevel="0" collapsed="false">
      <c r="A344" s="73"/>
      <c r="B344" s="10"/>
      <c r="C344" s="80"/>
      <c r="D344" s="80"/>
      <c r="E344" s="81" t="str">
        <f aca="false">IF(D344="","",IFERROR(INDEX(식자재단가!$B$4:$B$203,MATCH(D344,식자재단가!$C$4:$C$203,0)),""))</f>
        <v/>
      </c>
      <c r="F344" s="76"/>
      <c r="G344" s="59" t="str">
        <f aca="false">IF(D344="","",IFERROR(INDEX(식자재단가!$F$4:$F$203,MATCH(D344,식자재단가!$C$4:$C$203,0)),""))</f>
        <v/>
      </c>
      <c r="H344" s="50"/>
      <c r="I344" s="82" t="str">
        <f aca="false">IF(OR(F344="",H344=""),"",F344*H344)</f>
        <v/>
      </c>
      <c r="J344" s="83" t="str">
        <f aca="false">IF(D344="","",IFERROR(INDEX(식자재단가!$M$4:$M$203,MATCH(D344,식자재단가!$C$4:$C$203,0)),"과세"))</f>
        <v/>
      </c>
      <c r="K344" s="28" t="str">
        <f aca="false">IF(I344="","",IF(J344="과세",ROUND(I344*0.1,0),0))</f>
        <v/>
      </c>
      <c r="L344" s="28" t="str">
        <f aca="false">IF(I344="","",I344+K344)</f>
        <v/>
      </c>
      <c r="M344" s="10"/>
      <c r="N344" s="80"/>
      <c r="O344" s="80"/>
      <c r="P344" s="59" t="str">
        <f aca="false">IF(E344="","",IFERROR(INDEX(기본설정!$H$4:$H$14,MATCH(E344,기본설정!$G$4:$G$14,0)),""))</f>
        <v/>
      </c>
    </row>
    <row r="345" customFormat="false" ht="15" hidden="false" customHeight="false" outlineLevel="0" collapsed="false">
      <c r="A345" s="73"/>
      <c r="B345" s="10"/>
      <c r="C345" s="80"/>
      <c r="D345" s="80"/>
      <c r="E345" s="81" t="str">
        <f aca="false">IF(D345="","",IFERROR(INDEX(식자재단가!$B$4:$B$203,MATCH(D345,식자재단가!$C$4:$C$203,0)),""))</f>
        <v/>
      </c>
      <c r="F345" s="76"/>
      <c r="G345" s="59" t="str">
        <f aca="false">IF(D345="","",IFERROR(INDEX(식자재단가!$F$4:$F$203,MATCH(D345,식자재단가!$C$4:$C$203,0)),""))</f>
        <v/>
      </c>
      <c r="H345" s="50"/>
      <c r="I345" s="82" t="str">
        <f aca="false">IF(OR(F345="",H345=""),"",F345*H345)</f>
        <v/>
      </c>
      <c r="J345" s="83" t="str">
        <f aca="false">IF(D345="","",IFERROR(INDEX(식자재단가!$M$4:$M$203,MATCH(D345,식자재단가!$C$4:$C$203,0)),"과세"))</f>
        <v/>
      </c>
      <c r="K345" s="28" t="str">
        <f aca="false">IF(I345="","",IF(J345="과세",ROUND(I345*0.1,0),0))</f>
        <v/>
      </c>
      <c r="L345" s="28" t="str">
        <f aca="false">IF(I345="","",I345+K345)</f>
        <v/>
      </c>
      <c r="M345" s="10"/>
      <c r="N345" s="80"/>
      <c r="O345" s="80"/>
      <c r="P345" s="59" t="str">
        <f aca="false">IF(E345="","",IFERROR(INDEX(기본설정!$H$4:$H$14,MATCH(E345,기본설정!$G$4:$G$14,0)),""))</f>
        <v/>
      </c>
    </row>
    <row r="346" customFormat="false" ht="15" hidden="false" customHeight="false" outlineLevel="0" collapsed="false">
      <c r="A346" s="73"/>
      <c r="B346" s="10"/>
      <c r="C346" s="80"/>
      <c r="D346" s="80"/>
      <c r="E346" s="81" t="str">
        <f aca="false">IF(D346="","",IFERROR(INDEX(식자재단가!$B$4:$B$203,MATCH(D346,식자재단가!$C$4:$C$203,0)),""))</f>
        <v/>
      </c>
      <c r="F346" s="76"/>
      <c r="G346" s="59" t="str">
        <f aca="false">IF(D346="","",IFERROR(INDEX(식자재단가!$F$4:$F$203,MATCH(D346,식자재단가!$C$4:$C$203,0)),""))</f>
        <v/>
      </c>
      <c r="H346" s="50"/>
      <c r="I346" s="82" t="str">
        <f aca="false">IF(OR(F346="",H346=""),"",F346*H346)</f>
        <v/>
      </c>
      <c r="J346" s="83" t="str">
        <f aca="false">IF(D346="","",IFERROR(INDEX(식자재단가!$M$4:$M$203,MATCH(D346,식자재단가!$C$4:$C$203,0)),"과세"))</f>
        <v/>
      </c>
      <c r="K346" s="28" t="str">
        <f aca="false">IF(I346="","",IF(J346="과세",ROUND(I346*0.1,0),0))</f>
        <v/>
      </c>
      <c r="L346" s="28" t="str">
        <f aca="false">IF(I346="","",I346+K346)</f>
        <v/>
      </c>
      <c r="M346" s="10"/>
      <c r="N346" s="80"/>
      <c r="O346" s="80"/>
      <c r="P346" s="59" t="str">
        <f aca="false">IF(E346="","",IFERROR(INDEX(기본설정!$H$4:$H$14,MATCH(E346,기본설정!$G$4:$G$14,0)),""))</f>
        <v/>
      </c>
    </row>
    <row r="347" customFormat="false" ht="15" hidden="false" customHeight="false" outlineLevel="0" collapsed="false">
      <c r="A347" s="73"/>
      <c r="B347" s="10"/>
      <c r="C347" s="80"/>
      <c r="D347" s="80"/>
      <c r="E347" s="81" t="str">
        <f aca="false">IF(D347="","",IFERROR(INDEX(식자재단가!$B$4:$B$203,MATCH(D347,식자재단가!$C$4:$C$203,0)),""))</f>
        <v/>
      </c>
      <c r="F347" s="76"/>
      <c r="G347" s="59" t="str">
        <f aca="false">IF(D347="","",IFERROR(INDEX(식자재단가!$F$4:$F$203,MATCH(D347,식자재단가!$C$4:$C$203,0)),""))</f>
        <v/>
      </c>
      <c r="H347" s="50"/>
      <c r="I347" s="82" t="str">
        <f aca="false">IF(OR(F347="",H347=""),"",F347*H347)</f>
        <v/>
      </c>
      <c r="J347" s="83" t="str">
        <f aca="false">IF(D347="","",IFERROR(INDEX(식자재단가!$M$4:$M$203,MATCH(D347,식자재단가!$C$4:$C$203,0)),"과세"))</f>
        <v/>
      </c>
      <c r="K347" s="28" t="str">
        <f aca="false">IF(I347="","",IF(J347="과세",ROUND(I347*0.1,0),0))</f>
        <v/>
      </c>
      <c r="L347" s="28" t="str">
        <f aca="false">IF(I347="","",I347+K347)</f>
        <v/>
      </c>
      <c r="M347" s="10"/>
      <c r="N347" s="80"/>
      <c r="O347" s="80"/>
      <c r="P347" s="59" t="str">
        <f aca="false">IF(E347="","",IFERROR(INDEX(기본설정!$H$4:$H$14,MATCH(E347,기본설정!$G$4:$G$14,0)),""))</f>
        <v/>
      </c>
    </row>
    <row r="348" customFormat="false" ht="15" hidden="false" customHeight="false" outlineLevel="0" collapsed="false">
      <c r="A348" s="73"/>
      <c r="B348" s="10"/>
      <c r="C348" s="80"/>
      <c r="D348" s="80"/>
      <c r="E348" s="81" t="str">
        <f aca="false">IF(D348="","",IFERROR(INDEX(식자재단가!$B$4:$B$203,MATCH(D348,식자재단가!$C$4:$C$203,0)),""))</f>
        <v/>
      </c>
      <c r="F348" s="76"/>
      <c r="G348" s="59" t="str">
        <f aca="false">IF(D348="","",IFERROR(INDEX(식자재단가!$F$4:$F$203,MATCH(D348,식자재단가!$C$4:$C$203,0)),""))</f>
        <v/>
      </c>
      <c r="H348" s="50"/>
      <c r="I348" s="82" t="str">
        <f aca="false">IF(OR(F348="",H348=""),"",F348*H348)</f>
        <v/>
      </c>
      <c r="J348" s="83" t="str">
        <f aca="false">IF(D348="","",IFERROR(INDEX(식자재단가!$M$4:$M$203,MATCH(D348,식자재단가!$C$4:$C$203,0)),"과세"))</f>
        <v/>
      </c>
      <c r="K348" s="28" t="str">
        <f aca="false">IF(I348="","",IF(J348="과세",ROUND(I348*0.1,0),0))</f>
        <v/>
      </c>
      <c r="L348" s="28" t="str">
        <f aca="false">IF(I348="","",I348+K348)</f>
        <v/>
      </c>
      <c r="M348" s="10"/>
      <c r="N348" s="80"/>
      <c r="O348" s="80"/>
      <c r="P348" s="59" t="str">
        <f aca="false">IF(E348="","",IFERROR(INDEX(기본설정!$H$4:$H$14,MATCH(E348,기본설정!$G$4:$G$14,0)),""))</f>
        <v/>
      </c>
    </row>
    <row r="349" customFormat="false" ht="15" hidden="false" customHeight="false" outlineLevel="0" collapsed="false">
      <c r="A349" s="73"/>
      <c r="B349" s="10"/>
      <c r="C349" s="80"/>
      <c r="D349" s="80"/>
      <c r="E349" s="81" t="str">
        <f aca="false">IF(D349="","",IFERROR(INDEX(식자재단가!$B$4:$B$203,MATCH(D349,식자재단가!$C$4:$C$203,0)),""))</f>
        <v/>
      </c>
      <c r="F349" s="76"/>
      <c r="G349" s="59" t="str">
        <f aca="false">IF(D349="","",IFERROR(INDEX(식자재단가!$F$4:$F$203,MATCH(D349,식자재단가!$C$4:$C$203,0)),""))</f>
        <v/>
      </c>
      <c r="H349" s="50"/>
      <c r="I349" s="82" t="str">
        <f aca="false">IF(OR(F349="",H349=""),"",F349*H349)</f>
        <v/>
      </c>
      <c r="J349" s="83" t="str">
        <f aca="false">IF(D349="","",IFERROR(INDEX(식자재단가!$M$4:$M$203,MATCH(D349,식자재단가!$C$4:$C$203,0)),"과세"))</f>
        <v/>
      </c>
      <c r="K349" s="28" t="str">
        <f aca="false">IF(I349="","",IF(J349="과세",ROUND(I349*0.1,0),0))</f>
        <v/>
      </c>
      <c r="L349" s="28" t="str">
        <f aca="false">IF(I349="","",I349+K349)</f>
        <v/>
      </c>
      <c r="M349" s="10"/>
      <c r="N349" s="80"/>
      <c r="O349" s="80"/>
      <c r="P349" s="59" t="str">
        <f aca="false">IF(E349="","",IFERROR(INDEX(기본설정!$H$4:$H$14,MATCH(E349,기본설정!$G$4:$G$14,0)),""))</f>
        <v/>
      </c>
    </row>
    <row r="350" customFormat="false" ht="15" hidden="false" customHeight="false" outlineLevel="0" collapsed="false">
      <c r="A350" s="73"/>
      <c r="B350" s="10"/>
      <c r="C350" s="80"/>
      <c r="D350" s="80"/>
      <c r="E350" s="81" t="str">
        <f aca="false">IF(D350="","",IFERROR(INDEX(식자재단가!$B$4:$B$203,MATCH(D350,식자재단가!$C$4:$C$203,0)),""))</f>
        <v/>
      </c>
      <c r="F350" s="76"/>
      <c r="G350" s="59" t="str">
        <f aca="false">IF(D350="","",IFERROR(INDEX(식자재단가!$F$4:$F$203,MATCH(D350,식자재단가!$C$4:$C$203,0)),""))</f>
        <v/>
      </c>
      <c r="H350" s="50"/>
      <c r="I350" s="82" t="str">
        <f aca="false">IF(OR(F350="",H350=""),"",F350*H350)</f>
        <v/>
      </c>
      <c r="J350" s="83" t="str">
        <f aca="false">IF(D350="","",IFERROR(INDEX(식자재단가!$M$4:$M$203,MATCH(D350,식자재단가!$C$4:$C$203,0)),"과세"))</f>
        <v/>
      </c>
      <c r="K350" s="28" t="str">
        <f aca="false">IF(I350="","",IF(J350="과세",ROUND(I350*0.1,0),0))</f>
        <v/>
      </c>
      <c r="L350" s="28" t="str">
        <f aca="false">IF(I350="","",I350+K350)</f>
        <v/>
      </c>
      <c r="M350" s="10"/>
      <c r="N350" s="80"/>
      <c r="O350" s="80"/>
      <c r="P350" s="59" t="str">
        <f aca="false">IF(E350="","",IFERROR(INDEX(기본설정!$H$4:$H$14,MATCH(E350,기본설정!$G$4:$G$14,0)),""))</f>
        <v/>
      </c>
    </row>
    <row r="351" customFormat="false" ht="15" hidden="false" customHeight="false" outlineLevel="0" collapsed="false">
      <c r="A351" s="73"/>
      <c r="B351" s="10"/>
      <c r="C351" s="80"/>
      <c r="D351" s="80"/>
      <c r="E351" s="81" t="str">
        <f aca="false">IF(D351="","",IFERROR(INDEX(식자재단가!$B$4:$B$203,MATCH(D351,식자재단가!$C$4:$C$203,0)),""))</f>
        <v/>
      </c>
      <c r="F351" s="76"/>
      <c r="G351" s="59" t="str">
        <f aca="false">IF(D351="","",IFERROR(INDEX(식자재단가!$F$4:$F$203,MATCH(D351,식자재단가!$C$4:$C$203,0)),""))</f>
        <v/>
      </c>
      <c r="H351" s="50"/>
      <c r="I351" s="82" t="str">
        <f aca="false">IF(OR(F351="",H351=""),"",F351*H351)</f>
        <v/>
      </c>
      <c r="J351" s="83" t="str">
        <f aca="false">IF(D351="","",IFERROR(INDEX(식자재단가!$M$4:$M$203,MATCH(D351,식자재단가!$C$4:$C$203,0)),"과세"))</f>
        <v/>
      </c>
      <c r="K351" s="28" t="str">
        <f aca="false">IF(I351="","",IF(J351="과세",ROUND(I351*0.1,0),0))</f>
        <v/>
      </c>
      <c r="L351" s="28" t="str">
        <f aca="false">IF(I351="","",I351+K351)</f>
        <v/>
      </c>
      <c r="M351" s="10"/>
      <c r="N351" s="80"/>
      <c r="O351" s="80"/>
      <c r="P351" s="59" t="str">
        <f aca="false">IF(E351="","",IFERROR(INDEX(기본설정!$H$4:$H$14,MATCH(E351,기본설정!$G$4:$G$14,0)),""))</f>
        <v/>
      </c>
    </row>
    <row r="352" customFormat="false" ht="15" hidden="false" customHeight="false" outlineLevel="0" collapsed="false">
      <c r="A352" s="73"/>
      <c r="B352" s="10"/>
      <c r="C352" s="80"/>
      <c r="D352" s="80"/>
      <c r="E352" s="81" t="str">
        <f aca="false">IF(D352="","",IFERROR(INDEX(식자재단가!$B$4:$B$203,MATCH(D352,식자재단가!$C$4:$C$203,0)),""))</f>
        <v/>
      </c>
      <c r="F352" s="76"/>
      <c r="G352" s="59" t="str">
        <f aca="false">IF(D352="","",IFERROR(INDEX(식자재단가!$F$4:$F$203,MATCH(D352,식자재단가!$C$4:$C$203,0)),""))</f>
        <v/>
      </c>
      <c r="H352" s="50"/>
      <c r="I352" s="82" t="str">
        <f aca="false">IF(OR(F352="",H352=""),"",F352*H352)</f>
        <v/>
      </c>
      <c r="J352" s="83" t="str">
        <f aca="false">IF(D352="","",IFERROR(INDEX(식자재단가!$M$4:$M$203,MATCH(D352,식자재단가!$C$4:$C$203,0)),"과세"))</f>
        <v/>
      </c>
      <c r="K352" s="28" t="str">
        <f aca="false">IF(I352="","",IF(J352="과세",ROUND(I352*0.1,0),0))</f>
        <v/>
      </c>
      <c r="L352" s="28" t="str">
        <f aca="false">IF(I352="","",I352+K352)</f>
        <v/>
      </c>
      <c r="M352" s="10"/>
      <c r="N352" s="80"/>
      <c r="O352" s="80"/>
      <c r="P352" s="59" t="str">
        <f aca="false">IF(E352="","",IFERROR(INDEX(기본설정!$H$4:$H$14,MATCH(E352,기본설정!$G$4:$G$14,0)),""))</f>
        <v/>
      </c>
    </row>
    <row r="353" customFormat="false" ht="15" hidden="false" customHeight="false" outlineLevel="0" collapsed="false">
      <c r="A353" s="73"/>
      <c r="B353" s="10"/>
      <c r="C353" s="80"/>
      <c r="D353" s="80"/>
      <c r="E353" s="81" t="str">
        <f aca="false">IF(D353="","",IFERROR(INDEX(식자재단가!$B$4:$B$203,MATCH(D353,식자재단가!$C$4:$C$203,0)),""))</f>
        <v/>
      </c>
      <c r="F353" s="76"/>
      <c r="G353" s="59" t="str">
        <f aca="false">IF(D353="","",IFERROR(INDEX(식자재단가!$F$4:$F$203,MATCH(D353,식자재단가!$C$4:$C$203,0)),""))</f>
        <v/>
      </c>
      <c r="H353" s="50"/>
      <c r="I353" s="82" t="str">
        <f aca="false">IF(OR(F353="",H353=""),"",F353*H353)</f>
        <v/>
      </c>
      <c r="J353" s="83" t="str">
        <f aca="false">IF(D353="","",IFERROR(INDEX(식자재단가!$M$4:$M$203,MATCH(D353,식자재단가!$C$4:$C$203,0)),"과세"))</f>
        <v/>
      </c>
      <c r="K353" s="28" t="str">
        <f aca="false">IF(I353="","",IF(J353="과세",ROUND(I353*0.1,0),0))</f>
        <v/>
      </c>
      <c r="L353" s="28" t="str">
        <f aca="false">IF(I353="","",I353+K353)</f>
        <v/>
      </c>
      <c r="M353" s="10"/>
      <c r="N353" s="80"/>
      <c r="O353" s="80"/>
      <c r="P353" s="59" t="str">
        <f aca="false">IF(E353="","",IFERROR(INDEX(기본설정!$H$4:$H$14,MATCH(E353,기본설정!$G$4:$G$14,0)),""))</f>
        <v/>
      </c>
    </row>
    <row r="354" customFormat="false" ht="15" hidden="false" customHeight="false" outlineLevel="0" collapsed="false">
      <c r="A354" s="73"/>
      <c r="B354" s="10"/>
      <c r="C354" s="80"/>
      <c r="D354" s="80"/>
      <c r="E354" s="81" t="str">
        <f aca="false">IF(D354="","",IFERROR(INDEX(식자재단가!$B$4:$B$203,MATCH(D354,식자재단가!$C$4:$C$203,0)),""))</f>
        <v/>
      </c>
      <c r="F354" s="76"/>
      <c r="G354" s="59" t="str">
        <f aca="false">IF(D354="","",IFERROR(INDEX(식자재단가!$F$4:$F$203,MATCH(D354,식자재단가!$C$4:$C$203,0)),""))</f>
        <v/>
      </c>
      <c r="H354" s="50"/>
      <c r="I354" s="82" t="str">
        <f aca="false">IF(OR(F354="",H354=""),"",F354*H354)</f>
        <v/>
      </c>
      <c r="J354" s="83" t="str">
        <f aca="false">IF(D354="","",IFERROR(INDEX(식자재단가!$M$4:$M$203,MATCH(D354,식자재단가!$C$4:$C$203,0)),"과세"))</f>
        <v/>
      </c>
      <c r="K354" s="28" t="str">
        <f aca="false">IF(I354="","",IF(J354="과세",ROUND(I354*0.1,0),0))</f>
        <v/>
      </c>
      <c r="L354" s="28" t="str">
        <f aca="false">IF(I354="","",I354+K354)</f>
        <v/>
      </c>
      <c r="M354" s="10"/>
      <c r="N354" s="80"/>
      <c r="O354" s="80"/>
      <c r="P354" s="59" t="str">
        <f aca="false">IF(E354="","",IFERROR(INDEX(기본설정!$H$4:$H$14,MATCH(E354,기본설정!$G$4:$G$14,0)),""))</f>
        <v/>
      </c>
    </row>
    <row r="355" customFormat="false" ht="15" hidden="false" customHeight="false" outlineLevel="0" collapsed="false">
      <c r="A355" s="73"/>
      <c r="B355" s="10"/>
      <c r="C355" s="80"/>
      <c r="D355" s="80"/>
      <c r="E355" s="81" t="str">
        <f aca="false">IF(D355="","",IFERROR(INDEX(식자재단가!$B$4:$B$203,MATCH(D355,식자재단가!$C$4:$C$203,0)),""))</f>
        <v/>
      </c>
      <c r="F355" s="76"/>
      <c r="G355" s="59" t="str">
        <f aca="false">IF(D355="","",IFERROR(INDEX(식자재단가!$F$4:$F$203,MATCH(D355,식자재단가!$C$4:$C$203,0)),""))</f>
        <v/>
      </c>
      <c r="H355" s="50"/>
      <c r="I355" s="82" t="str">
        <f aca="false">IF(OR(F355="",H355=""),"",F355*H355)</f>
        <v/>
      </c>
      <c r="J355" s="83" t="str">
        <f aca="false">IF(D355="","",IFERROR(INDEX(식자재단가!$M$4:$M$203,MATCH(D355,식자재단가!$C$4:$C$203,0)),"과세"))</f>
        <v/>
      </c>
      <c r="K355" s="28" t="str">
        <f aca="false">IF(I355="","",IF(J355="과세",ROUND(I355*0.1,0),0))</f>
        <v/>
      </c>
      <c r="L355" s="28" t="str">
        <f aca="false">IF(I355="","",I355+K355)</f>
        <v/>
      </c>
      <c r="M355" s="10"/>
      <c r="N355" s="80"/>
      <c r="O355" s="80"/>
      <c r="P355" s="59" t="str">
        <f aca="false">IF(E355="","",IFERROR(INDEX(기본설정!$H$4:$H$14,MATCH(E355,기본설정!$G$4:$G$14,0)),""))</f>
        <v/>
      </c>
    </row>
    <row r="356" customFormat="false" ht="15" hidden="false" customHeight="false" outlineLevel="0" collapsed="false">
      <c r="A356" s="73"/>
      <c r="B356" s="10"/>
      <c r="C356" s="80"/>
      <c r="D356" s="80"/>
      <c r="E356" s="81" t="str">
        <f aca="false">IF(D356="","",IFERROR(INDEX(식자재단가!$B$4:$B$203,MATCH(D356,식자재단가!$C$4:$C$203,0)),""))</f>
        <v/>
      </c>
      <c r="F356" s="76"/>
      <c r="G356" s="59" t="str">
        <f aca="false">IF(D356="","",IFERROR(INDEX(식자재단가!$F$4:$F$203,MATCH(D356,식자재단가!$C$4:$C$203,0)),""))</f>
        <v/>
      </c>
      <c r="H356" s="50"/>
      <c r="I356" s="82" t="str">
        <f aca="false">IF(OR(F356="",H356=""),"",F356*H356)</f>
        <v/>
      </c>
      <c r="J356" s="83" t="str">
        <f aca="false">IF(D356="","",IFERROR(INDEX(식자재단가!$M$4:$M$203,MATCH(D356,식자재단가!$C$4:$C$203,0)),"과세"))</f>
        <v/>
      </c>
      <c r="K356" s="28" t="str">
        <f aca="false">IF(I356="","",IF(J356="과세",ROUND(I356*0.1,0),0))</f>
        <v/>
      </c>
      <c r="L356" s="28" t="str">
        <f aca="false">IF(I356="","",I356+K356)</f>
        <v/>
      </c>
      <c r="M356" s="10"/>
      <c r="N356" s="80"/>
      <c r="O356" s="80"/>
      <c r="P356" s="59" t="str">
        <f aca="false">IF(E356="","",IFERROR(INDEX(기본설정!$H$4:$H$14,MATCH(E356,기본설정!$G$4:$G$14,0)),""))</f>
        <v/>
      </c>
    </row>
    <row r="357" customFormat="false" ht="15" hidden="false" customHeight="false" outlineLevel="0" collapsed="false">
      <c r="A357" s="73"/>
      <c r="B357" s="10"/>
      <c r="C357" s="80"/>
      <c r="D357" s="80"/>
      <c r="E357" s="81" t="str">
        <f aca="false">IF(D357="","",IFERROR(INDEX(식자재단가!$B$4:$B$203,MATCH(D357,식자재단가!$C$4:$C$203,0)),""))</f>
        <v/>
      </c>
      <c r="F357" s="76"/>
      <c r="G357" s="59" t="str">
        <f aca="false">IF(D357="","",IFERROR(INDEX(식자재단가!$F$4:$F$203,MATCH(D357,식자재단가!$C$4:$C$203,0)),""))</f>
        <v/>
      </c>
      <c r="H357" s="50"/>
      <c r="I357" s="82" t="str">
        <f aca="false">IF(OR(F357="",H357=""),"",F357*H357)</f>
        <v/>
      </c>
      <c r="J357" s="83" t="str">
        <f aca="false">IF(D357="","",IFERROR(INDEX(식자재단가!$M$4:$M$203,MATCH(D357,식자재단가!$C$4:$C$203,0)),"과세"))</f>
        <v/>
      </c>
      <c r="K357" s="28" t="str">
        <f aca="false">IF(I357="","",IF(J357="과세",ROUND(I357*0.1,0),0))</f>
        <v/>
      </c>
      <c r="L357" s="28" t="str">
        <f aca="false">IF(I357="","",I357+K357)</f>
        <v/>
      </c>
      <c r="M357" s="10"/>
      <c r="N357" s="80"/>
      <c r="O357" s="80"/>
      <c r="P357" s="59" t="str">
        <f aca="false">IF(E357="","",IFERROR(INDEX(기본설정!$H$4:$H$14,MATCH(E357,기본설정!$G$4:$G$14,0)),""))</f>
        <v/>
      </c>
    </row>
    <row r="358" customFormat="false" ht="15" hidden="false" customHeight="false" outlineLevel="0" collapsed="false">
      <c r="A358" s="73"/>
      <c r="B358" s="10"/>
      <c r="C358" s="80"/>
      <c r="D358" s="80"/>
      <c r="E358" s="81" t="str">
        <f aca="false">IF(D358="","",IFERROR(INDEX(식자재단가!$B$4:$B$203,MATCH(D358,식자재단가!$C$4:$C$203,0)),""))</f>
        <v/>
      </c>
      <c r="F358" s="76"/>
      <c r="G358" s="59" t="str">
        <f aca="false">IF(D358="","",IFERROR(INDEX(식자재단가!$F$4:$F$203,MATCH(D358,식자재단가!$C$4:$C$203,0)),""))</f>
        <v/>
      </c>
      <c r="H358" s="50"/>
      <c r="I358" s="82" t="str">
        <f aca="false">IF(OR(F358="",H358=""),"",F358*H358)</f>
        <v/>
      </c>
      <c r="J358" s="83" t="str">
        <f aca="false">IF(D358="","",IFERROR(INDEX(식자재단가!$M$4:$M$203,MATCH(D358,식자재단가!$C$4:$C$203,0)),"과세"))</f>
        <v/>
      </c>
      <c r="K358" s="28" t="str">
        <f aca="false">IF(I358="","",IF(J358="과세",ROUND(I358*0.1,0),0))</f>
        <v/>
      </c>
      <c r="L358" s="28" t="str">
        <f aca="false">IF(I358="","",I358+K358)</f>
        <v/>
      </c>
      <c r="M358" s="10"/>
      <c r="N358" s="80"/>
      <c r="O358" s="80"/>
      <c r="P358" s="59" t="str">
        <f aca="false">IF(E358="","",IFERROR(INDEX(기본설정!$H$4:$H$14,MATCH(E358,기본설정!$G$4:$G$14,0)),""))</f>
        <v/>
      </c>
    </row>
    <row r="359" customFormat="false" ht="15" hidden="false" customHeight="false" outlineLevel="0" collapsed="false">
      <c r="A359" s="73"/>
      <c r="B359" s="10"/>
      <c r="C359" s="80"/>
      <c r="D359" s="80"/>
      <c r="E359" s="81" t="str">
        <f aca="false">IF(D359="","",IFERROR(INDEX(식자재단가!$B$4:$B$203,MATCH(D359,식자재단가!$C$4:$C$203,0)),""))</f>
        <v/>
      </c>
      <c r="F359" s="76"/>
      <c r="G359" s="59" t="str">
        <f aca="false">IF(D359="","",IFERROR(INDEX(식자재단가!$F$4:$F$203,MATCH(D359,식자재단가!$C$4:$C$203,0)),""))</f>
        <v/>
      </c>
      <c r="H359" s="50"/>
      <c r="I359" s="82" t="str">
        <f aca="false">IF(OR(F359="",H359=""),"",F359*H359)</f>
        <v/>
      </c>
      <c r="J359" s="83" t="str">
        <f aca="false">IF(D359="","",IFERROR(INDEX(식자재단가!$M$4:$M$203,MATCH(D359,식자재단가!$C$4:$C$203,0)),"과세"))</f>
        <v/>
      </c>
      <c r="K359" s="28" t="str">
        <f aca="false">IF(I359="","",IF(J359="과세",ROUND(I359*0.1,0),0))</f>
        <v/>
      </c>
      <c r="L359" s="28" t="str">
        <f aca="false">IF(I359="","",I359+K359)</f>
        <v/>
      </c>
      <c r="M359" s="10"/>
      <c r="N359" s="80"/>
      <c r="O359" s="80"/>
      <c r="P359" s="59" t="str">
        <f aca="false">IF(E359="","",IFERROR(INDEX(기본설정!$H$4:$H$14,MATCH(E359,기본설정!$G$4:$G$14,0)),""))</f>
        <v/>
      </c>
    </row>
    <row r="360" customFormat="false" ht="15" hidden="false" customHeight="false" outlineLevel="0" collapsed="false">
      <c r="A360" s="73"/>
      <c r="B360" s="10"/>
      <c r="C360" s="80"/>
      <c r="D360" s="80"/>
      <c r="E360" s="81" t="str">
        <f aca="false">IF(D360="","",IFERROR(INDEX(식자재단가!$B$4:$B$203,MATCH(D360,식자재단가!$C$4:$C$203,0)),""))</f>
        <v/>
      </c>
      <c r="F360" s="76"/>
      <c r="G360" s="59" t="str">
        <f aca="false">IF(D360="","",IFERROR(INDEX(식자재단가!$F$4:$F$203,MATCH(D360,식자재단가!$C$4:$C$203,0)),""))</f>
        <v/>
      </c>
      <c r="H360" s="50"/>
      <c r="I360" s="82" t="str">
        <f aca="false">IF(OR(F360="",H360=""),"",F360*H360)</f>
        <v/>
      </c>
      <c r="J360" s="83" t="str">
        <f aca="false">IF(D360="","",IFERROR(INDEX(식자재단가!$M$4:$M$203,MATCH(D360,식자재단가!$C$4:$C$203,0)),"과세"))</f>
        <v/>
      </c>
      <c r="K360" s="28" t="str">
        <f aca="false">IF(I360="","",IF(J360="과세",ROUND(I360*0.1,0),0))</f>
        <v/>
      </c>
      <c r="L360" s="28" t="str">
        <f aca="false">IF(I360="","",I360+K360)</f>
        <v/>
      </c>
      <c r="M360" s="10"/>
      <c r="N360" s="80"/>
      <c r="O360" s="80"/>
      <c r="P360" s="59" t="str">
        <f aca="false">IF(E360="","",IFERROR(INDEX(기본설정!$H$4:$H$14,MATCH(E360,기본설정!$G$4:$G$14,0)),""))</f>
        <v/>
      </c>
    </row>
    <row r="361" customFormat="false" ht="15" hidden="false" customHeight="false" outlineLevel="0" collapsed="false">
      <c r="A361" s="73"/>
      <c r="B361" s="10"/>
      <c r="C361" s="80"/>
      <c r="D361" s="80"/>
      <c r="E361" s="81" t="str">
        <f aca="false">IF(D361="","",IFERROR(INDEX(식자재단가!$B$4:$B$203,MATCH(D361,식자재단가!$C$4:$C$203,0)),""))</f>
        <v/>
      </c>
      <c r="F361" s="76"/>
      <c r="G361" s="59" t="str">
        <f aca="false">IF(D361="","",IFERROR(INDEX(식자재단가!$F$4:$F$203,MATCH(D361,식자재단가!$C$4:$C$203,0)),""))</f>
        <v/>
      </c>
      <c r="H361" s="50"/>
      <c r="I361" s="82" t="str">
        <f aca="false">IF(OR(F361="",H361=""),"",F361*H361)</f>
        <v/>
      </c>
      <c r="J361" s="83" t="str">
        <f aca="false">IF(D361="","",IFERROR(INDEX(식자재단가!$M$4:$M$203,MATCH(D361,식자재단가!$C$4:$C$203,0)),"과세"))</f>
        <v/>
      </c>
      <c r="K361" s="28" t="str">
        <f aca="false">IF(I361="","",IF(J361="과세",ROUND(I361*0.1,0),0))</f>
        <v/>
      </c>
      <c r="L361" s="28" t="str">
        <f aca="false">IF(I361="","",I361+K361)</f>
        <v/>
      </c>
      <c r="M361" s="10"/>
      <c r="N361" s="80"/>
      <c r="O361" s="80"/>
      <c r="P361" s="59" t="str">
        <f aca="false">IF(E361="","",IFERROR(INDEX(기본설정!$H$4:$H$14,MATCH(E361,기본설정!$G$4:$G$14,0)),""))</f>
        <v/>
      </c>
    </row>
    <row r="362" customFormat="false" ht="15" hidden="false" customHeight="false" outlineLevel="0" collapsed="false">
      <c r="A362" s="73"/>
      <c r="B362" s="10"/>
      <c r="C362" s="80"/>
      <c r="D362" s="80"/>
      <c r="E362" s="81" t="str">
        <f aca="false">IF(D362="","",IFERROR(INDEX(식자재단가!$B$4:$B$203,MATCH(D362,식자재단가!$C$4:$C$203,0)),""))</f>
        <v/>
      </c>
      <c r="F362" s="76"/>
      <c r="G362" s="59" t="str">
        <f aca="false">IF(D362="","",IFERROR(INDEX(식자재단가!$F$4:$F$203,MATCH(D362,식자재단가!$C$4:$C$203,0)),""))</f>
        <v/>
      </c>
      <c r="H362" s="50"/>
      <c r="I362" s="82" t="str">
        <f aca="false">IF(OR(F362="",H362=""),"",F362*H362)</f>
        <v/>
      </c>
      <c r="J362" s="83" t="str">
        <f aca="false">IF(D362="","",IFERROR(INDEX(식자재단가!$M$4:$M$203,MATCH(D362,식자재단가!$C$4:$C$203,0)),"과세"))</f>
        <v/>
      </c>
      <c r="K362" s="28" t="str">
        <f aca="false">IF(I362="","",IF(J362="과세",ROUND(I362*0.1,0),0))</f>
        <v/>
      </c>
      <c r="L362" s="28" t="str">
        <f aca="false">IF(I362="","",I362+K362)</f>
        <v/>
      </c>
      <c r="M362" s="10"/>
      <c r="N362" s="80"/>
      <c r="O362" s="80"/>
      <c r="P362" s="59" t="str">
        <f aca="false">IF(E362="","",IFERROR(INDEX(기본설정!$H$4:$H$14,MATCH(E362,기본설정!$G$4:$G$14,0)),""))</f>
        <v/>
      </c>
    </row>
    <row r="363" customFormat="false" ht="15" hidden="false" customHeight="false" outlineLevel="0" collapsed="false">
      <c r="A363" s="73"/>
      <c r="B363" s="10"/>
      <c r="C363" s="80"/>
      <c r="D363" s="80"/>
      <c r="E363" s="81" t="str">
        <f aca="false">IF(D363="","",IFERROR(INDEX(식자재단가!$B$4:$B$203,MATCH(D363,식자재단가!$C$4:$C$203,0)),""))</f>
        <v/>
      </c>
      <c r="F363" s="76"/>
      <c r="G363" s="59" t="str">
        <f aca="false">IF(D363="","",IFERROR(INDEX(식자재단가!$F$4:$F$203,MATCH(D363,식자재단가!$C$4:$C$203,0)),""))</f>
        <v/>
      </c>
      <c r="H363" s="50"/>
      <c r="I363" s="82" t="str">
        <f aca="false">IF(OR(F363="",H363=""),"",F363*H363)</f>
        <v/>
      </c>
      <c r="J363" s="83" t="str">
        <f aca="false">IF(D363="","",IFERROR(INDEX(식자재단가!$M$4:$M$203,MATCH(D363,식자재단가!$C$4:$C$203,0)),"과세"))</f>
        <v/>
      </c>
      <c r="K363" s="28" t="str">
        <f aca="false">IF(I363="","",IF(J363="과세",ROUND(I363*0.1,0),0))</f>
        <v/>
      </c>
      <c r="L363" s="28" t="str">
        <f aca="false">IF(I363="","",I363+K363)</f>
        <v/>
      </c>
      <c r="M363" s="10"/>
      <c r="N363" s="80"/>
      <c r="O363" s="80"/>
      <c r="P363" s="59" t="str">
        <f aca="false">IF(E363="","",IFERROR(INDEX(기본설정!$H$4:$H$14,MATCH(E363,기본설정!$G$4:$G$14,0)),""))</f>
        <v/>
      </c>
    </row>
    <row r="364" customFormat="false" ht="15" hidden="false" customHeight="false" outlineLevel="0" collapsed="false">
      <c r="A364" s="73"/>
      <c r="B364" s="10"/>
      <c r="C364" s="80"/>
      <c r="D364" s="80"/>
      <c r="E364" s="81" t="str">
        <f aca="false">IF(D364="","",IFERROR(INDEX(식자재단가!$B$4:$B$203,MATCH(D364,식자재단가!$C$4:$C$203,0)),""))</f>
        <v/>
      </c>
      <c r="F364" s="76"/>
      <c r="G364" s="59" t="str">
        <f aca="false">IF(D364="","",IFERROR(INDEX(식자재단가!$F$4:$F$203,MATCH(D364,식자재단가!$C$4:$C$203,0)),""))</f>
        <v/>
      </c>
      <c r="H364" s="50"/>
      <c r="I364" s="82" t="str">
        <f aca="false">IF(OR(F364="",H364=""),"",F364*H364)</f>
        <v/>
      </c>
      <c r="J364" s="83" t="str">
        <f aca="false">IF(D364="","",IFERROR(INDEX(식자재단가!$M$4:$M$203,MATCH(D364,식자재단가!$C$4:$C$203,0)),"과세"))</f>
        <v/>
      </c>
      <c r="K364" s="28" t="str">
        <f aca="false">IF(I364="","",IF(J364="과세",ROUND(I364*0.1,0),0))</f>
        <v/>
      </c>
      <c r="L364" s="28" t="str">
        <f aca="false">IF(I364="","",I364+K364)</f>
        <v/>
      </c>
      <c r="M364" s="10"/>
      <c r="N364" s="80"/>
      <c r="O364" s="80"/>
      <c r="P364" s="59" t="str">
        <f aca="false">IF(E364="","",IFERROR(INDEX(기본설정!$H$4:$H$14,MATCH(E364,기본설정!$G$4:$G$14,0)),""))</f>
        <v/>
      </c>
    </row>
    <row r="365" customFormat="false" ht="15" hidden="false" customHeight="false" outlineLevel="0" collapsed="false">
      <c r="A365" s="73"/>
      <c r="B365" s="10"/>
      <c r="C365" s="80"/>
      <c r="D365" s="80"/>
      <c r="E365" s="81" t="str">
        <f aca="false">IF(D365="","",IFERROR(INDEX(식자재단가!$B$4:$B$203,MATCH(D365,식자재단가!$C$4:$C$203,0)),""))</f>
        <v/>
      </c>
      <c r="F365" s="76"/>
      <c r="G365" s="59" t="str">
        <f aca="false">IF(D365="","",IFERROR(INDEX(식자재단가!$F$4:$F$203,MATCH(D365,식자재단가!$C$4:$C$203,0)),""))</f>
        <v/>
      </c>
      <c r="H365" s="50"/>
      <c r="I365" s="82" t="str">
        <f aca="false">IF(OR(F365="",H365=""),"",F365*H365)</f>
        <v/>
      </c>
      <c r="J365" s="83" t="str">
        <f aca="false">IF(D365="","",IFERROR(INDEX(식자재단가!$M$4:$M$203,MATCH(D365,식자재단가!$C$4:$C$203,0)),"과세"))</f>
        <v/>
      </c>
      <c r="K365" s="28" t="str">
        <f aca="false">IF(I365="","",IF(J365="과세",ROUND(I365*0.1,0),0))</f>
        <v/>
      </c>
      <c r="L365" s="28" t="str">
        <f aca="false">IF(I365="","",I365+K365)</f>
        <v/>
      </c>
      <c r="M365" s="10"/>
      <c r="N365" s="80"/>
      <c r="O365" s="80"/>
      <c r="P365" s="59" t="str">
        <f aca="false">IF(E365="","",IFERROR(INDEX(기본설정!$H$4:$H$14,MATCH(E365,기본설정!$G$4:$G$14,0)),""))</f>
        <v/>
      </c>
    </row>
    <row r="366" customFormat="false" ht="15" hidden="false" customHeight="false" outlineLevel="0" collapsed="false">
      <c r="A366" s="73"/>
      <c r="B366" s="10"/>
      <c r="C366" s="80"/>
      <c r="D366" s="80"/>
      <c r="E366" s="81" t="str">
        <f aca="false">IF(D366="","",IFERROR(INDEX(식자재단가!$B$4:$B$203,MATCH(D366,식자재단가!$C$4:$C$203,0)),""))</f>
        <v/>
      </c>
      <c r="F366" s="76"/>
      <c r="G366" s="59" t="str">
        <f aca="false">IF(D366="","",IFERROR(INDEX(식자재단가!$F$4:$F$203,MATCH(D366,식자재단가!$C$4:$C$203,0)),""))</f>
        <v/>
      </c>
      <c r="H366" s="50"/>
      <c r="I366" s="82" t="str">
        <f aca="false">IF(OR(F366="",H366=""),"",F366*H366)</f>
        <v/>
      </c>
      <c r="J366" s="83" t="str">
        <f aca="false">IF(D366="","",IFERROR(INDEX(식자재단가!$M$4:$M$203,MATCH(D366,식자재단가!$C$4:$C$203,0)),"과세"))</f>
        <v/>
      </c>
      <c r="K366" s="28" t="str">
        <f aca="false">IF(I366="","",IF(J366="과세",ROUND(I366*0.1,0),0))</f>
        <v/>
      </c>
      <c r="L366" s="28" t="str">
        <f aca="false">IF(I366="","",I366+K366)</f>
        <v/>
      </c>
      <c r="M366" s="10"/>
      <c r="N366" s="80"/>
      <c r="O366" s="80"/>
      <c r="P366" s="59" t="str">
        <f aca="false">IF(E366="","",IFERROR(INDEX(기본설정!$H$4:$H$14,MATCH(E366,기본설정!$G$4:$G$14,0)),""))</f>
        <v/>
      </c>
    </row>
    <row r="367" customFormat="false" ht="15" hidden="false" customHeight="false" outlineLevel="0" collapsed="false">
      <c r="A367" s="73"/>
      <c r="B367" s="10"/>
      <c r="C367" s="80"/>
      <c r="D367" s="80"/>
      <c r="E367" s="81" t="str">
        <f aca="false">IF(D367="","",IFERROR(INDEX(식자재단가!$B$4:$B$203,MATCH(D367,식자재단가!$C$4:$C$203,0)),""))</f>
        <v/>
      </c>
      <c r="F367" s="76"/>
      <c r="G367" s="59" t="str">
        <f aca="false">IF(D367="","",IFERROR(INDEX(식자재단가!$F$4:$F$203,MATCH(D367,식자재단가!$C$4:$C$203,0)),""))</f>
        <v/>
      </c>
      <c r="H367" s="50"/>
      <c r="I367" s="82" t="str">
        <f aca="false">IF(OR(F367="",H367=""),"",F367*H367)</f>
        <v/>
      </c>
      <c r="J367" s="83" t="str">
        <f aca="false">IF(D367="","",IFERROR(INDEX(식자재단가!$M$4:$M$203,MATCH(D367,식자재단가!$C$4:$C$203,0)),"과세"))</f>
        <v/>
      </c>
      <c r="K367" s="28" t="str">
        <f aca="false">IF(I367="","",IF(J367="과세",ROUND(I367*0.1,0),0))</f>
        <v/>
      </c>
      <c r="L367" s="28" t="str">
        <f aca="false">IF(I367="","",I367+K367)</f>
        <v/>
      </c>
      <c r="M367" s="10"/>
      <c r="N367" s="80"/>
      <c r="O367" s="80"/>
      <c r="P367" s="59" t="str">
        <f aca="false">IF(E367="","",IFERROR(INDEX(기본설정!$H$4:$H$14,MATCH(E367,기본설정!$G$4:$G$14,0)),""))</f>
        <v/>
      </c>
    </row>
    <row r="368" customFormat="false" ht="15" hidden="false" customHeight="false" outlineLevel="0" collapsed="false">
      <c r="A368" s="73"/>
      <c r="B368" s="10"/>
      <c r="C368" s="80"/>
      <c r="D368" s="80"/>
      <c r="E368" s="81" t="str">
        <f aca="false">IF(D368="","",IFERROR(INDEX(식자재단가!$B$4:$B$203,MATCH(D368,식자재단가!$C$4:$C$203,0)),""))</f>
        <v/>
      </c>
      <c r="F368" s="76"/>
      <c r="G368" s="59" t="str">
        <f aca="false">IF(D368="","",IFERROR(INDEX(식자재단가!$F$4:$F$203,MATCH(D368,식자재단가!$C$4:$C$203,0)),""))</f>
        <v/>
      </c>
      <c r="H368" s="50"/>
      <c r="I368" s="82" t="str">
        <f aca="false">IF(OR(F368="",H368=""),"",F368*H368)</f>
        <v/>
      </c>
      <c r="J368" s="83" t="str">
        <f aca="false">IF(D368="","",IFERROR(INDEX(식자재단가!$M$4:$M$203,MATCH(D368,식자재단가!$C$4:$C$203,0)),"과세"))</f>
        <v/>
      </c>
      <c r="K368" s="28" t="str">
        <f aca="false">IF(I368="","",IF(J368="과세",ROUND(I368*0.1,0),0))</f>
        <v/>
      </c>
      <c r="L368" s="28" t="str">
        <f aca="false">IF(I368="","",I368+K368)</f>
        <v/>
      </c>
      <c r="M368" s="10"/>
      <c r="N368" s="80"/>
      <c r="O368" s="80"/>
      <c r="P368" s="59" t="str">
        <f aca="false">IF(E368="","",IFERROR(INDEX(기본설정!$H$4:$H$14,MATCH(E368,기본설정!$G$4:$G$14,0)),""))</f>
        <v/>
      </c>
    </row>
    <row r="369" customFormat="false" ht="15" hidden="false" customHeight="false" outlineLevel="0" collapsed="false">
      <c r="A369" s="73"/>
      <c r="B369" s="10"/>
      <c r="C369" s="80"/>
      <c r="D369" s="80"/>
      <c r="E369" s="81" t="str">
        <f aca="false">IF(D369="","",IFERROR(INDEX(식자재단가!$B$4:$B$203,MATCH(D369,식자재단가!$C$4:$C$203,0)),""))</f>
        <v/>
      </c>
      <c r="F369" s="76"/>
      <c r="G369" s="59" t="str">
        <f aca="false">IF(D369="","",IFERROR(INDEX(식자재단가!$F$4:$F$203,MATCH(D369,식자재단가!$C$4:$C$203,0)),""))</f>
        <v/>
      </c>
      <c r="H369" s="50"/>
      <c r="I369" s="82" t="str">
        <f aca="false">IF(OR(F369="",H369=""),"",F369*H369)</f>
        <v/>
      </c>
      <c r="J369" s="83" t="str">
        <f aca="false">IF(D369="","",IFERROR(INDEX(식자재단가!$M$4:$M$203,MATCH(D369,식자재단가!$C$4:$C$203,0)),"과세"))</f>
        <v/>
      </c>
      <c r="K369" s="28" t="str">
        <f aca="false">IF(I369="","",IF(J369="과세",ROUND(I369*0.1,0),0))</f>
        <v/>
      </c>
      <c r="L369" s="28" t="str">
        <f aca="false">IF(I369="","",I369+K369)</f>
        <v/>
      </c>
      <c r="M369" s="10"/>
      <c r="N369" s="80"/>
      <c r="O369" s="80"/>
      <c r="P369" s="59" t="str">
        <f aca="false">IF(E369="","",IFERROR(INDEX(기본설정!$H$4:$H$14,MATCH(E369,기본설정!$G$4:$G$14,0)),""))</f>
        <v/>
      </c>
    </row>
    <row r="370" customFormat="false" ht="15" hidden="false" customHeight="false" outlineLevel="0" collapsed="false">
      <c r="A370" s="73"/>
      <c r="B370" s="10"/>
      <c r="C370" s="80"/>
      <c r="D370" s="80"/>
      <c r="E370" s="81" t="str">
        <f aca="false">IF(D370="","",IFERROR(INDEX(식자재단가!$B$4:$B$203,MATCH(D370,식자재단가!$C$4:$C$203,0)),""))</f>
        <v/>
      </c>
      <c r="F370" s="76"/>
      <c r="G370" s="59" t="str">
        <f aca="false">IF(D370="","",IFERROR(INDEX(식자재단가!$F$4:$F$203,MATCH(D370,식자재단가!$C$4:$C$203,0)),""))</f>
        <v/>
      </c>
      <c r="H370" s="50"/>
      <c r="I370" s="82" t="str">
        <f aca="false">IF(OR(F370="",H370=""),"",F370*H370)</f>
        <v/>
      </c>
      <c r="J370" s="83" t="str">
        <f aca="false">IF(D370="","",IFERROR(INDEX(식자재단가!$M$4:$M$203,MATCH(D370,식자재단가!$C$4:$C$203,0)),"과세"))</f>
        <v/>
      </c>
      <c r="K370" s="28" t="str">
        <f aca="false">IF(I370="","",IF(J370="과세",ROUND(I370*0.1,0),0))</f>
        <v/>
      </c>
      <c r="L370" s="28" t="str">
        <f aca="false">IF(I370="","",I370+K370)</f>
        <v/>
      </c>
      <c r="M370" s="10"/>
      <c r="N370" s="80"/>
      <c r="O370" s="80"/>
      <c r="P370" s="59" t="str">
        <f aca="false">IF(E370="","",IFERROR(INDEX(기본설정!$H$4:$H$14,MATCH(E370,기본설정!$G$4:$G$14,0)),""))</f>
        <v/>
      </c>
    </row>
    <row r="371" customFormat="false" ht="15" hidden="false" customHeight="false" outlineLevel="0" collapsed="false">
      <c r="A371" s="73"/>
      <c r="B371" s="10"/>
      <c r="C371" s="80"/>
      <c r="D371" s="80"/>
      <c r="E371" s="81" t="str">
        <f aca="false">IF(D371="","",IFERROR(INDEX(식자재단가!$B$4:$B$203,MATCH(D371,식자재단가!$C$4:$C$203,0)),""))</f>
        <v/>
      </c>
      <c r="F371" s="76"/>
      <c r="G371" s="59" t="str">
        <f aca="false">IF(D371="","",IFERROR(INDEX(식자재단가!$F$4:$F$203,MATCH(D371,식자재단가!$C$4:$C$203,0)),""))</f>
        <v/>
      </c>
      <c r="H371" s="50"/>
      <c r="I371" s="82" t="str">
        <f aca="false">IF(OR(F371="",H371=""),"",F371*H371)</f>
        <v/>
      </c>
      <c r="J371" s="83" t="str">
        <f aca="false">IF(D371="","",IFERROR(INDEX(식자재단가!$M$4:$M$203,MATCH(D371,식자재단가!$C$4:$C$203,0)),"과세"))</f>
        <v/>
      </c>
      <c r="K371" s="28" t="str">
        <f aca="false">IF(I371="","",IF(J371="과세",ROUND(I371*0.1,0),0))</f>
        <v/>
      </c>
      <c r="L371" s="28" t="str">
        <f aca="false">IF(I371="","",I371+K371)</f>
        <v/>
      </c>
      <c r="M371" s="10"/>
      <c r="N371" s="80"/>
      <c r="O371" s="80"/>
      <c r="P371" s="59" t="str">
        <f aca="false">IF(E371="","",IFERROR(INDEX(기본설정!$H$4:$H$14,MATCH(E371,기본설정!$G$4:$G$14,0)),""))</f>
        <v/>
      </c>
    </row>
    <row r="372" customFormat="false" ht="15" hidden="false" customHeight="false" outlineLevel="0" collapsed="false">
      <c r="A372" s="73"/>
      <c r="B372" s="10"/>
      <c r="C372" s="80"/>
      <c r="D372" s="80"/>
      <c r="E372" s="81" t="str">
        <f aca="false">IF(D372="","",IFERROR(INDEX(식자재단가!$B$4:$B$203,MATCH(D372,식자재단가!$C$4:$C$203,0)),""))</f>
        <v/>
      </c>
      <c r="F372" s="76"/>
      <c r="G372" s="59" t="str">
        <f aca="false">IF(D372="","",IFERROR(INDEX(식자재단가!$F$4:$F$203,MATCH(D372,식자재단가!$C$4:$C$203,0)),""))</f>
        <v/>
      </c>
      <c r="H372" s="50"/>
      <c r="I372" s="82" t="str">
        <f aca="false">IF(OR(F372="",H372=""),"",F372*H372)</f>
        <v/>
      </c>
      <c r="J372" s="83" t="str">
        <f aca="false">IF(D372="","",IFERROR(INDEX(식자재단가!$M$4:$M$203,MATCH(D372,식자재단가!$C$4:$C$203,0)),"과세"))</f>
        <v/>
      </c>
      <c r="K372" s="28" t="str">
        <f aca="false">IF(I372="","",IF(J372="과세",ROUND(I372*0.1,0),0))</f>
        <v/>
      </c>
      <c r="L372" s="28" t="str">
        <f aca="false">IF(I372="","",I372+K372)</f>
        <v/>
      </c>
      <c r="M372" s="10"/>
      <c r="N372" s="80"/>
      <c r="O372" s="80"/>
      <c r="P372" s="59" t="str">
        <f aca="false">IF(E372="","",IFERROR(INDEX(기본설정!$H$4:$H$14,MATCH(E372,기본설정!$G$4:$G$14,0)),""))</f>
        <v/>
      </c>
    </row>
    <row r="373" customFormat="false" ht="15" hidden="false" customHeight="false" outlineLevel="0" collapsed="false">
      <c r="A373" s="73"/>
      <c r="B373" s="10"/>
      <c r="C373" s="80"/>
      <c r="D373" s="80"/>
      <c r="E373" s="81" t="str">
        <f aca="false">IF(D373="","",IFERROR(INDEX(식자재단가!$B$4:$B$203,MATCH(D373,식자재단가!$C$4:$C$203,0)),""))</f>
        <v/>
      </c>
      <c r="F373" s="76"/>
      <c r="G373" s="59" t="str">
        <f aca="false">IF(D373="","",IFERROR(INDEX(식자재단가!$F$4:$F$203,MATCH(D373,식자재단가!$C$4:$C$203,0)),""))</f>
        <v/>
      </c>
      <c r="H373" s="50"/>
      <c r="I373" s="82" t="str">
        <f aca="false">IF(OR(F373="",H373=""),"",F373*H373)</f>
        <v/>
      </c>
      <c r="J373" s="83" t="str">
        <f aca="false">IF(D373="","",IFERROR(INDEX(식자재단가!$M$4:$M$203,MATCH(D373,식자재단가!$C$4:$C$203,0)),"과세"))</f>
        <v/>
      </c>
      <c r="K373" s="28" t="str">
        <f aca="false">IF(I373="","",IF(J373="과세",ROUND(I373*0.1,0),0))</f>
        <v/>
      </c>
      <c r="L373" s="28" t="str">
        <f aca="false">IF(I373="","",I373+K373)</f>
        <v/>
      </c>
      <c r="M373" s="10"/>
      <c r="N373" s="80"/>
      <c r="O373" s="80"/>
      <c r="P373" s="59" t="str">
        <f aca="false">IF(E373="","",IFERROR(INDEX(기본설정!$H$4:$H$14,MATCH(E373,기본설정!$G$4:$G$14,0)),""))</f>
        <v/>
      </c>
    </row>
    <row r="374" customFormat="false" ht="15" hidden="false" customHeight="false" outlineLevel="0" collapsed="false">
      <c r="A374" s="73"/>
      <c r="B374" s="10"/>
      <c r="C374" s="80"/>
      <c r="D374" s="80"/>
      <c r="E374" s="81" t="str">
        <f aca="false">IF(D374="","",IFERROR(INDEX(식자재단가!$B$4:$B$203,MATCH(D374,식자재단가!$C$4:$C$203,0)),""))</f>
        <v/>
      </c>
      <c r="F374" s="76"/>
      <c r="G374" s="59" t="str">
        <f aca="false">IF(D374="","",IFERROR(INDEX(식자재단가!$F$4:$F$203,MATCH(D374,식자재단가!$C$4:$C$203,0)),""))</f>
        <v/>
      </c>
      <c r="H374" s="50"/>
      <c r="I374" s="82" t="str">
        <f aca="false">IF(OR(F374="",H374=""),"",F374*H374)</f>
        <v/>
      </c>
      <c r="J374" s="83" t="str">
        <f aca="false">IF(D374="","",IFERROR(INDEX(식자재단가!$M$4:$M$203,MATCH(D374,식자재단가!$C$4:$C$203,0)),"과세"))</f>
        <v/>
      </c>
      <c r="K374" s="28" t="str">
        <f aca="false">IF(I374="","",IF(J374="과세",ROUND(I374*0.1,0),0))</f>
        <v/>
      </c>
      <c r="L374" s="28" t="str">
        <f aca="false">IF(I374="","",I374+K374)</f>
        <v/>
      </c>
      <c r="M374" s="10"/>
      <c r="N374" s="80"/>
      <c r="O374" s="80"/>
      <c r="P374" s="59" t="str">
        <f aca="false">IF(E374="","",IFERROR(INDEX(기본설정!$H$4:$H$14,MATCH(E374,기본설정!$G$4:$G$14,0)),""))</f>
        <v/>
      </c>
    </row>
    <row r="375" customFormat="false" ht="15" hidden="false" customHeight="false" outlineLevel="0" collapsed="false">
      <c r="A375" s="73"/>
      <c r="B375" s="10"/>
      <c r="C375" s="80"/>
      <c r="D375" s="80"/>
      <c r="E375" s="81" t="str">
        <f aca="false">IF(D375="","",IFERROR(INDEX(식자재단가!$B$4:$B$203,MATCH(D375,식자재단가!$C$4:$C$203,0)),""))</f>
        <v/>
      </c>
      <c r="F375" s="76"/>
      <c r="G375" s="59" t="str">
        <f aca="false">IF(D375="","",IFERROR(INDEX(식자재단가!$F$4:$F$203,MATCH(D375,식자재단가!$C$4:$C$203,0)),""))</f>
        <v/>
      </c>
      <c r="H375" s="50"/>
      <c r="I375" s="82" t="str">
        <f aca="false">IF(OR(F375="",H375=""),"",F375*H375)</f>
        <v/>
      </c>
      <c r="J375" s="83" t="str">
        <f aca="false">IF(D375="","",IFERROR(INDEX(식자재단가!$M$4:$M$203,MATCH(D375,식자재단가!$C$4:$C$203,0)),"과세"))</f>
        <v/>
      </c>
      <c r="K375" s="28" t="str">
        <f aca="false">IF(I375="","",IF(J375="과세",ROUND(I375*0.1,0),0))</f>
        <v/>
      </c>
      <c r="L375" s="28" t="str">
        <f aca="false">IF(I375="","",I375+K375)</f>
        <v/>
      </c>
      <c r="M375" s="10"/>
      <c r="N375" s="80"/>
      <c r="O375" s="80"/>
      <c r="P375" s="59" t="str">
        <f aca="false">IF(E375="","",IFERROR(INDEX(기본설정!$H$4:$H$14,MATCH(E375,기본설정!$G$4:$G$14,0)),""))</f>
        <v/>
      </c>
    </row>
    <row r="376" customFormat="false" ht="15" hidden="false" customHeight="false" outlineLevel="0" collapsed="false">
      <c r="A376" s="73"/>
      <c r="B376" s="10"/>
      <c r="C376" s="80"/>
      <c r="D376" s="80"/>
      <c r="E376" s="81" t="str">
        <f aca="false">IF(D376="","",IFERROR(INDEX(식자재단가!$B$4:$B$203,MATCH(D376,식자재단가!$C$4:$C$203,0)),""))</f>
        <v/>
      </c>
      <c r="F376" s="76"/>
      <c r="G376" s="59" t="str">
        <f aca="false">IF(D376="","",IFERROR(INDEX(식자재단가!$F$4:$F$203,MATCH(D376,식자재단가!$C$4:$C$203,0)),""))</f>
        <v/>
      </c>
      <c r="H376" s="50"/>
      <c r="I376" s="82" t="str">
        <f aca="false">IF(OR(F376="",H376=""),"",F376*H376)</f>
        <v/>
      </c>
      <c r="J376" s="83" t="str">
        <f aca="false">IF(D376="","",IFERROR(INDEX(식자재단가!$M$4:$M$203,MATCH(D376,식자재단가!$C$4:$C$203,0)),"과세"))</f>
        <v/>
      </c>
      <c r="K376" s="28" t="str">
        <f aca="false">IF(I376="","",IF(J376="과세",ROUND(I376*0.1,0),0))</f>
        <v/>
      </c>
      <c r="L376" s="28" t="str">
        <f aca="false">IF(I376="","",I376+K376)</f>
        <v/>
      </c>
      <c r="M376" s="10"/>
      <c r="N376" s="80"/>
      <c r="O376" s="80"/>
      <c r="P376" s="59" t="str">
        <f aca="false">IF(E376="","",IFERROR(INDEX(기본설정!$H$4:$H$14,MATCH(E376,기본설정!$G$4:$G$14,0)),""))</f>
        <v/>
      </c>
    </row>
    <row r="377" customFormat="false" ht="15" hidden="false" customHeight="false" outlineLevel="0" collapsed="false">
      <c r="A377" s="73"/>
      <c r="B377" s="10"/>
      <c r="C377" s="80"/>
      <c r="D377" s="80"/>
      <c r="E377" s="81" t="str">
        <f aca="false">IF(D377="","",IFERROR(INDEX(식자재단가!$B$4:$B$203,MATCH(D377,식자재단가!$C$4:$C$203,0)),""))</f>
        <v/>
      </c>
      <c r="F377" s="76"/>
      <c r="G377" s="59" t="str">
        <f aca="false">IF(D377="","",IFERROR(INDEX(식자재단가!$F$4:$F$203,MATCH(D377,식자재단가!$C$4:$C$203,0)),""))</f>
        <v/>
      </c>
      <c r="H377" s="50"/>
      <c r="I377" s="82" t="str">
        <f aca="false">IF(OR(F377="",H377=""),"",F377*H377)</f>
        <v/>
      </c>
      <c r="J377" s="83" t="str">
        <f aca="false">IF(D377="","",IFERROR(INDEX(식자재단가!$M$4:$M$203,MATCH(D377,식자재단가!$C$4:$C$203,0)),"과세"))</f>
        <v/>
      </c>
      <c r="K377" s="28" t="str">
        <f aca="false">IF(I377="","",IF(J377="과세",ROUND(I377*0.1,0),0))</f>
        <v/>
      </c>
      <c r="L377" s="28" t="str">
        <f aca="false">IF(I377="","",I377+K377)</f>
        <v/>
      </c>
      <c r="M377" s="10"/>
      <c r="N377" s="80"/>
      <c r="O377" s="80"/>
      <c r="P377" s="59" t="str">
        <f aca="false">IF(E377="","",IFERROR(INDEX(기본설정!$H$4:$H$14,MATCH(E377,기본설정!$G$4:$G$14,0)),""))</f>
        <v/>
      </c>
    </row>
    <row r="378" customFormat="false" ht="15" hidden="false" customHeight="false" outlineLevel="0" collapsed="false">
      <c r="A378" s="73"/>
      <c r="B378" s="10"/>
      <c r="C378" s="80"/>
      <c r="D378" s="80"/>
      <c r="E378" s="81" t="str">
        <f aca="false">IF(D378="","",IFERROR(INDEX(식자재단가!$B$4:$B$203,MATCH(D378,식자재단가!$C$4:$C$203,0)),""))</f>
        <v/>
      </c>
      <c r="F378" s="76"/>
      <c r="G378" s="59" t="str">
        <f aca="false">IF(D378="","",IFERROR(INDEX(식자재단가!$F$4:$F$203,MATCH(D378,식자재단가!$C$4:$C$203,0)),""))</f>
        <v/>
      </c>
      <c r="H378" s="50"/>
      <c r="I378" s="82" t="str">
        <f aca="false">IF(OR(F378="",H378=""),"",F378*H378)</f>
        <v/>
      </c>
      <c r="J378" s="83" t="str">
        <f aca="false">IF(D378="","",IFERROR(INDEX(식자재단가!$M$4:$M$203,MATCH(D378,식자재단가!$C$4:$C$203,0)),"과세"))</f>
        <v/>
      </c>
      <c r="K378" s="28" t="str">
        <f aca="false">IF(I378="","",IF(J378="과세",ROUND(I378*0.1,0),0))</f>
        <v/>
      </c>
      <c r="L378" s="28" t="str">
        <f aca="false">IF(I378="","",I378+K378)</f>
        <v/>
      </c>
      <c r="M378" s="10"/>
      <c r="N378" s="80"/>
      <c r="O378" s="80"/>
      <c r="P378" s="59" t="str">
        <f aca="false">IF(E378="","",IFERROR(INDEX(기본설정!$H$4:$H$14,MATCH(E378,기본설정!$G$4:$G$14,0)),""))</f>
        <v/>
      </c>
    </row>
    <row r="379" customFormat="false" ht="15" hidden="false" customHeight="false" outlineLevel="0" collapsed="false">
      <c r="A379" s="73"/>
      <c r="B379" s="10"/>
      <c r="C379" s="80"/>
      <c r="D379" s="80"/>
      <c r="E379" s="81" t="str">
        <f aca="false">IF(D379="","",IFERROR(INDEX(식자재단가!$B$4:$B$203,MATCH(D379,식자재단가!$C$4:$C$203,0)),""))</f>
        <v/>
      </c>
      <c r="F379" s="76"/>
      <c r="G379" s="59" t="str">
        <f aca="false">IF(D379="","",IFERROR(INDEX(식자재단가!$F$4:$F$203,MATCH(D379,식자재단가!$C$4:$C$203,0)),""))</f>
        <v/>
      </c>
      <c r="H379" s="50"/>
      <c r="I379" s="82" t="str">
        <f aca="false">IF(OR(F379="",H379=""),"",F379*H379)</f>
        <v/>
      </c>
      <c r="J379" s="83" t="str">
        <f aca="false">IF(D379="","",IFERROR(INDEX(식자재단가!$M$4:$M$203,MATCH(D379,식자재단가!$C$4:$C$203,0)),"과세"))</f>
        <v/>
      </c>
      <c r="K379" s="28" t="str">
        <f aca="false">IF(I379="","",IF(J379="과세",ROUND(I379*0.1,0),0))</f>
        <v/>
      </c>
      <c r="L379" s="28" t="str">
        <f aca="false">IF(I379="","",I379+K379)</f>
        <v/>
      </c>
      <c r="M379" s="10"/>
      <c r="N379" s="80"/>
      <c r="O379" s="80"/>
      <c r="P379" s="59" t="str">
        <f aca="false">IF(E379="","",IFERROR(INDEX(기본설정!$H$4:$H$14,MATCH(E379,기본설정!$G$4:$G$14,0)),""))</f>
        <v/>
      </c>
    </row>
    <row r="380" customFormat="false" ht="15" hidden="false" customHeight="false" outlineLevel="0" collapsed="false">
      <c r="A380" s="73"/>
      <c r="B380" s="10"/>
      <c r="C380" s="80"/>
      <c r="D380" s="80"/>
      <c r="E380" s="81" t="str">
        <f aca="false">IF(D380="","",IFERROR(INDEX(식자재단가!$B$4:$B$203,MATCH(D380,식자재단가!$C$4:$C$203,0)),""))</f>
        <v/>
      </c>
      <c r="F380" s="76"/>
      <c r="G380" s="59" t="str">
        <f aca="false">IF(D380="","",IFERROR(INDEX(식자재단가!$F$4:$F$203,MATCH(D380,식자재단가!$C$4:$C$203,0)),""))</f>
        <v/>
      </c>
      <c r="H380" s="50"/>
      <c r="I380" s="82" t="str">
        <f aca="false">IF(OR(F380="",H380=""),"",F380*H380)</f>
        <v/>
      </c>
      <c r="J380" s="83" t="str">
        <f aca="false">IF(D380="","",IFERROR(INDEX(식자재단가!$M$4:$M$203,MATCH(D380,식자재단가!$C$4:$C$203,0)),"과세"))</f>
        <v/>
      </c>
      <c r="K380" s="28" t="str">
        <f aca="false">IF(I380="","",IF(J380="과세",ROUND(I380*0.1,0),0))</f>
        <v/>
      </c>
      <c r="L380" s="28" t="str">
        <f aca="false">IF(I380="","",I380+K380)</f>
        <v/>
      </c>
      <c r="M380" s="10"/>
      <c r="N380" s="80"/>
      <c r="O380" s="80"/>
      <c r="P380" s="59" t="str">
        <f aca="false">IF(E380="","",IFERROR(INDEX(기본설정!$H$4:$H$14,MATCH(E380,기본설정!$G$4:$G$14,0)),""))</f>
        <v/>
      </c>
    </row>
    <row r="381" customFormat="false" ht="15" hidden="false" customHeight="false" outlineLevel="0" collapsed="false">
      <c r="A381" s="73"/>
      <c r="B381" s="10"/>
      <c r="C381" s="80"/>
      <c r="D381" s="80"/>
      <c r="E381" s="81" t="str">
        <f aca="false">IF(D381="","",IFERROR(INDEX(식자재단가!$B$4:$B$203,MATCH(D381,식자재단가!$C$4:$C$203,0)),""))</f>
        <v/>
      </c>
      <c r="F381" s="76"/>
      <c r="G381" s="59" t="str">
        <f aca="false">IF(D381="","",IFERROR(INDEX(식자재단가!$F$4:$F$203,MATCH(D381,식자재단가!$C$4:$C$203,0)),""))</f>
        <v/>
      </c>
      <c r="H381" s="50"/>
      <c r="I381" s="82" t="str">
        <f aca="false">IF(OR(F381="",H381=""),"",F381*H381)</f>
        <v/>
      </c>
      <c r="J381" s="83" t="str">
        <f aca="false">IF(D381="","",IFERROR(INDEX(식자재단가!$M$4:$M$203,MATCH(D381,식자재단가!$C$4:$C$203,0)),"과세"))</f>
        <v/>
      </c>
      <c r="K381" s="28" t="str">
        <f aca="false">IF(I381="","",IF(J381="과세",ROUND(I381*0.1,0),0))</f>
        <v/>
      </c>
      <c r="L381" s="28" t="str">
        <f aca="false">IF(I381="","",I381+K381)</f>
        <v/>
      </c>
      <c r="M381" s="10"/>
      <c r="N381" s="80"/>
      <c r="O381" s="80"/>
      <c r="P381" s="59" t="str">
        <f aca="false">IF(E381="","",IFERROR(INDEX(기본설정!$H$4:$H$14,MATCH(E381,기본설정!$G$4:$G$14,0)),""))</f>
        <v/>
      </c>
    </row>
    <row r="382" customFormat="false" ht="15" hidden="false" customHeight="false" outlineLevel="0" collapsed="false">
      <c r="A382" s="73"/>
      <c r="B382" s="10"/>
      <c r="C382" s="80"/>
      <c r="D382" s="80"/>
      <c r="E382" s="81" t="str">
        <f aca="false">IF(D382="","",IFERROR(INDEX(식자재단가!$B$4:$B$203,MATCH(D382,식자재단가!$C$4:$C$203,0)),""))</f>
        <v/>
      </c>
      <c r="F382" s="76"/>
      <c r="G382" s="59" t="str">
        <f aca="false">IF(D382="","",IFERROR(INDEX(식자재단가!$F$4:$F$203,MATCH(D382,식자재단가!$C$4:$C$203,0)),""))</f>
        <v/>
      </c>
      <c r="H382" s="50"/>
      <c r="I382" s="82" t="str">
        <f aca="false">IF(OR(F382="",H382=""),"",F382*H382)</f>
        <v/>
      </c>
      <c r="J382" s="83" t="str">
        <f aca="false">IF(D382="","",IFERROR(INDEX(식자재단가!$M$4:$M$203,MATCH(D382,식자재단가!$C$4:$C$203,0)),"과세"))</f>
        <v/>
      </c>
      <c r="K382" s="28" t="str">
        <f aca="false">IF(I382="","",IF(J382="과세",ROUND(I382*0.1,0),0))</f>
        <v/>
      </c>
      <c r="L382" s="28" t="str">
        <f aca="false">IF(I382="","",I382+K382)</f>
        <v/>
      </c>
      <c r="M382" s="10"/>
      <c r="N382" s="80"/>
      <c r="O382" s="80"/>
      <c r="P382" s="59" t="str">
        <f aca="false">IF(E382="","",IFERROR(INDEX(기본설정!$H$4:$H$14,MATCH(E382,기본설정!$G$4:$G$14,0)),""))</f>
        <v/>
      </c>
    </row>
    <row r="383" customFormat="false" ht="15" hidden="false" customHeight="false" outlineLevel="0" collapsed="false">
      <c r="A383" s="73"/>
      <c r="B383" s="10"/>
      <c r="C383" s="80"/>
      <c r="D383" s="80"/>
      <c r="E383" s="81" t="str">
        <f aca="false">IF(D383="","",IFERROR(INDEX(식자재단가!$B$4:$B$203,MATCH(D383,식자재단가!$C$4:$C$203,0)),""))</f>
        <v/>
      </c>
      <c r="F383" s="76"/>
      <c r="G383" s="59" t="str">
        <f aca="false">IF(D383="","",IFERROR(INDEX(식자재단가!$F$4:$F$203,MATCH(D383,식자재단가!$C$4:$C$203,0)),""))</f>
        <v/>
      </c>
      <c r="H383" s="50"/>
      <c r="I383" s="82" t="str">
        <f aca="false">IF(OR(F383="",H383=""),"",F383*H383)</f>
        <v/>
      </c>
      <c r="J383" s="83" t="str">
        <f aca="false">IF(D383="","",IFERROR(INDEX(식자재단가!$M$4:$M$203,MATCH(D383,식자재단가!$C$4:$C$203,0)),"과세"))</f>
        <v/>
      </c>
      <c r="K383" s="28" t="str">
        <f aca="false">IF(I383="","",IF(J383="과세",ROUND(I383*0.1,0),0))</f>
        <v/>
      </c>
      <c r="L383" s="28" t="str">
        <f aca="false">IF(I383="","",I383+K383)</f>
        <v/>
      </c>
      <c r="M383" s="10"/>
      <c r="N383" s="80"/>
      <c r="O383" s="80"/>
      <c r="P383" s="59" t="str">
        <f aca="false">IF(E383="","",IFERROR(INDEX(기본설정!$H$4:$H$14,MATCH(E383,기본설정!$G$4:$G$14,0)),""))</f>
        <v/>
      </c>
    </row>
    <row r="384" customFormat="false" ht="15" hidden="false" customHeight="false" outlineLevel="0" collapsed="false">
      <c r="A384" s="73"/>
      <c r="B384" s="10"/>
      <c r="C384" s="80"/>
      <c r="D384" s="80"/>
      <c r="E384" s="81" t="str">
        <f aca="false">IF(D384="","",IFERROR(INDEX(식자재단가!$B$4:$B$203,MATCH(D384,식자재단가!$C$4:$C$203,0)),""))</f>
        <v/>
      </c>
      <c r="F384" s="76"/>
      <c r="G384" s="59" t="str">
        <f aca="false">IF(D384="","",IFERROR(INDEX(식자재단가!$F$4:$F$203,MATCH(D384,식자재단가!$C$4:$C$203,0)),""))</f>
        <v/>
      </c>
      <c r="H384" s="50"/>
      <c r="I384" s="82" t="str">
        <f aca="false">IF(OR(F384="",H384=""),"",F384*H384)</f>
        <v/>
      </c>
      <c r="J384" s="83" t="str">
        <f aca="false">IF(D384="","",IFERROR(INDEX(식자재단가!$M$4:$M$203,MATCH(D384,식자재단가!$C$4:$C$203,0)),"과세"))</f>
        <v/>
      </c>
      <c r="K384" s="28" t="str">
        <f aca="false">IF(I384="","",IF(J384="과세",ROUND(I384*0.1,0),0))</f>
        <v/>
      </c>
      <c r="L384" s="28" t="str">
        <f aca="false">IF(I384="","",I384+K384)</f>
        <v/>
      </c>
      <c r="M384" s="10"/>
      <c r="N384" s="80"/>
      <c r="O384" s="80"/>
      <c r="P384" s="59" t="str">
        <f aca="false">IF(E384="","",IFERROR(INDEX(기본설정!$H$4:$H$14,MATCH(E384,기본설정!$G$4:$G$14,0)),""))</f>
        <v/>
      </c>
    </row>
    <row r="385" customFormat="false" ht="15" hidden="false" customHeight="false" outlineLevel="0" collapsed="false">
      <c r="A385" s="73"/>
      <c r="B385" s="10"/>
      <c r="C385" s="80"/>
      <c r="D385" s="80"/>
      <c r="E385" s="81" t="str">
        <f aca="false">IF(D385="","",IFERROR(INDEX(식자재단가!$B$4:$B$203,MATCH(D385,식자재단가!$C$4:$C$203,0)),""))</f>
        <v/>
      </c>
      <c r="F385" s="76"/>
      <c r="G385" s="59" t="str">
        <f aca="false">IF(D385="","",IFERROR(INDEX(식자재단가!$F$4:$F$203,MATCH(D385,식자재단가!$C$4:$C$203,0)),""))</f>
        <v/>
      </c>
      <c r="H385" s="50"/>
      <c r="I385" s="82" t="str">
        <f aca="false">IF(OR(F385="",H385=""),"",F385*H385)</f>
        <v/>
      </c>
      <c r="J385" s="83" t="str">
        <f aca="false">IF(D385="","",IFERROR(INDEX(식자재단가!$M$4:$M$203,MATCH(D385,식자재단가!$C$4:$C$203,0)),"과세"))</f>
        <v/>
      </c>
      <c r="K385" s="28" t="str">
        <f aca="false">IF(I385="","",IF(J385="과세",ROUND(I385*0.1,0),0))</f>
        <v/>
      </c>
      <c r="L385" s="28" t="str">
        <f aca="false">IF(I385="","",I385+K385)</f>
        <v/>
      </c>
      <c r="M385" s="10"/>
      <c r="N385" s="80"/>
      <c r="O385" s="80"/>
      <c r="P385" s="59" t="str">
        <f aca="false">IF(E385="","",IFERROR(INDEX(기본설정!$H$4:$H$14,MATCH(E385,기본설정!$G$4:$G$14,0)),""))</f>
        <v/>
      </c>
    </row>
    <row r="386" customFormat="false" ht="15" hidden="false" customHeight="false" outlineLevel="0" collapsed="false">
      <c r="A386" s="73"/>
      <c r="B386" s="10"/>
      <c r="C386" s="80"/>
      <c r="D386" s="80"/>
      <c r="E386" s="81" t="str">
        <f aca="false">IF(D386="","",IFERROR(INDEX(식자재단가!$B$4:$B$203,MATCH(D386,식자재단가!$C$4:$C$203,0)),""))</f>
        <v/>
      </c>
      <c r="F386" s="76"/>
      <c r="G386" s="59" t="str">
        <f aca="false">IF(D386="","",IFERROR(INDEX(식자재단가!$F$4:$F$203,MATCH(D386,식자재단가!$C$4:$C$203,0)),""))</f>
        <v/>
      </c>
      <c r="H386" s="50"/>
      <c r="I386" s="82" t="str">
        <f aca="false">IF(OR(F386="",H386=""),"",F386*H386)</f>
        <v/>
      </c>
      <c r="J386" s="83" t="str">
        <f aca="false">IF(D386="","",IFERROR(INDEX(식자재단가!$M$4:$M$203,MATCH(D386,식자재단가!$C$4:$C$203,0)),"과세"))</f>
        <v/>
      </c>
      <c r="K386" s="28" t="str">
        <f aca="false">IF(I386="","",IF(J386="과세",ROUND(I386*0.1,0),0))</f>
        <v/>
      </c>
      <c r="L386" s="28" t="str">
        <f aca="false">IF(I386="","",I386+K386)</f>
        <v/>
      </c>
      <c r="M386" s="10"/>
      <c r="N386" s="80"/>
      <c r="O386" s="80"/>
      <c r="P386" s="59" t="str">
        <f aca="false">IF(E386="","",IFERROR(INDEX(기본설정!$H$4:$H$14,MATCH(E386,기본설정!$G$4:$G$14,0)),""))</f>
        <v/>
      </c>
    </row>
    <row r="387" customFormat="false" ht="15" hidden="false" customHeight="false" outlineLevel="0" collapsed="false">
      <c r="A387" s="73"/>
      <c r="B387" s="10"/>
      <c r="C387" s="80"/>
      <c r="D387" s="80"/>
      <c r="E387" s="81" t="str">
        <f aca="false">IF(D387="","",IFERROR(INDEX(식자재단가!$B$4:$B$203,MATCH(D387,식자재단가!$C$4:$C$203,0)),""))</f>
        <v/>
      </c>
      <c r="F387" s="76"/>
      <c r="G387" s="59" t="str">
        <f aca="false">IF(D387="","",IFERROR(INDEX(식자재단가!$F$4:$F$203,MATCH(D387,식자재단가!$C$4:$C$203,0)),""))</f>
        <v/>
      </c>
      <c r="H387" s="50"/>
      <c r="I387" s="82" t="str">
        <f aca="false">IF(OR(F387="",H387=""),"",F387*H387)</f>
        <v/>
      </c>
      <c r="J387" s="83" t="str">
        <f aca="false">IF(D387="","",IFERROR(INDEX(식자재단가!$M$4:$M$203,MATCH(D387,식자재단가!$C$4:$C$203,0)),"과세"))</f>
        <v/>
      </c>
      <c r="K387" s="28" t="str">
        <f aca="false">IF(I387="","",IF(J387="과세",ROUND(I387*0.1,0),0))</f>
        <v/>
      </c>
      <c r="L387" s="28" t="str">
        <f aca="false">IF(I387="","",I387+K387)</f>
        <v/>
      </c>
      <c r="M387" s="10"/>
      <c r="N387" s="80"/>
      <c r="O387" s="80"/>
      <c r="P387" s="59" t="str">
        <f aca="false">IF(E387="","",IFERROR(INDEX(기본설정!$H$4:$H$14,MATCH(E387,기본설정!$G$4:$G$14,0)),""))</f>
        <v/>
      </c>
    </row>
    <row r="388" customFormat="false" ht="15" hidden="false" customHeight="false" outlineLevel="0" collapsed="false">
      <c r="A388" s="73"/>
      <c r="B388" s="10"/>
      <c r="C388" s="80"/>
      <c r="D388" s="80"/>
      <c r="E388" s="81" t="str">
        <f aca="false">IF(D388="","",IFERROR(INDEX(식자재단가!$B$4:$B$203,MATCH(D388,식자재단가!$C$4:$C$203,0)),""))</f>
        <v/>
      </c>
      <c r="F388" s="76"/>
      <c r="G388" s="59" t="str">
        <f aca="false">IF(D388="","",IFERROR(INDEX(식자재단가!$F$4:$F$203,MATCH(D388,식자재단가!$C$4:$C$203,0)),""))</f>
        <v/>
      </c>
      <c r="H388" s="50"/>
      <c r="I388" s="82" t="str">
        <f aca="false">IF(OR(F388="",H388=""),"",F388*H388)</f>
        <v/>
      </c>
      <c r="J388" s="83" t="str">
        <f aca="false">IF(D388="","",IFERROR(INDEX(식자재단가!$M$4:$M$203,MATCH(D388,식자재단가!$C$4:$C$203,0)),"과세"))</f>
        <v/>
      </c>
      <c r="K388" s="28" t="str">
        <f aca="false">IF(I388="","",IF(J388="과세",ROUND(I388*0.1,0),0))</f>
        <v/>
      </c>
      <c r="L388" s="28" t="str">
        <f aca="false">IF(I388="","",I388+K388)</f>
        <v/>
      </c>
      <c r="M388" s="10"/>
      <c r="N388" s="80"/>
      <c r="O388" s="80"/>
      <c r="P388" s="59" t="str">
        <f aca="false">IF(E388="","",IFERROR(INDEX(기본설정!$H$4:$H$14,MATCH(E388,기본설정!$G$4:$G$14,0)),""))</f>
        <v/>
      </c>
    </row>
    <row r="389" customFormat="false" ht="15" hidden="false" customHeight="false" outlineLevel="0" collapsed="false">
      <c r="A389" s="73"/>
      <c r="B389" s="10"/>
      <c r="C389" s="80"/>
      <c r="D389" s="80"/>
      <c r="E389" s="81" t="str">
        <f aca="false">IF(D389="","",IFERROR(INDEX(식자재단가!$B$4:$B$203,MATCH(D389,식자재단가!$C$4:$C$203,0)),""))</f>
        <v/>
      </c>
      <c r="F389" s="76"/>
      <c r="G389" s="59" t="str">
        <f aca="false">IF(D389="","",IFERROR(INDEX(식자재단가!$F$4:$F$203,MATCH(D389,식자재단가!$C$4:$C$203,0)),""))</f>
        <v/>
      </c>
      <c r="H389" s="50"/>
      <c r="I389" s="82" t="str">
        <f aca="false">IF(OR(F389="",H389=""),"",F389*H389)</f>
        <v/>
      </c>
      <c r="J389" s="83" t="str">
        <f aca="false">IF(D389="","",IFERROR(INDEX(식자재단가!$M$4:$M$203,MATCH(D389,식자재단가!$C$4:$C$203,0)),"과세"))</f>
        <v/>
      </c>
      <c r="K389" s="28" t="str">
        <f aca="false">IF(I389="","",IF(J389="과세",ROUND(I389*0.1,0),0))</f>
        <v/>
      </c>
      <c r="L389" s="28" t="str">
        <f aca="false">IF(I389="","",I389+K389)</f>
        <v/>
      </c>
      <c r="M389" s="10"/>
      <c r="N389" s="80"/>
      <c r="O389" s="80"/>
      <c r="P389" s="59" t="str">
        <f aca="false">IF(E389="","",IFERROR(INDEX(기본설정!$H$4:$H$14,MATCH(E389,기본설정!$G$4:$G$14,0)),""))</f>
        <v/>
      </c>
    </row>
    <row r="390" customFormat="false" ht="15" hidden="false" customHeight="false" outlineLevel="0" collapsed="false">
      <c r="A390" s="73"/>
      <c r="B390" s="10"/>
      <c r="C390" s="80"/>
      <c r="D390" s="80"/>
      <c r="E390" s="81" t="str">
        <f aca="false">IF(D390="","",IFERROR(INDEX(식자재단가!$B$4:$B$203,MATCH(D390,식자재단가!$C$4:$C$203,0)),""))</f>
        <v/>
      </c>
      <c r="F390" s="76"/>
      <c r="G390" s="59" t="str">
        <f aca="false">IF(D390="","",IFERROR(INDEX(식자재단가!$F$4:$F$203,MATCH(D390,식자재단가!$C$4:$C$203,0)),""))</f>
        <v/>
      </c>
      <c r="H390" s="50"/>
      <c r="I390" s="82" t="str">
        <f aca="false">IF(OR(F390="",H390=""),"",F390*H390)</f>
        <v/>
      </c>
      <c r="J390" s="83" t="str">
        <f aca="false">IF(D390="","",IFERROR(INDEX(식자재단가!$M$4:$M$203,MATCH(D390,식자재단가!$C$4:$C$203,0)),"과세"))</f>
        <v/>
      </c>
      <c r="K390" s="28" t="str">
        <f aca="false">IF(I390="","",IF(J390="과세",ROUND(I390*0.1,0),0))</f>
        <v/>
      </c>
      <c r="L390" s="28" t="str">
        <f aca="false">IF(I390="","",I390+K390)</f>
        <v/>
      </c>
      <c r="M390" s="10"/>
      <c r="N390" s="80"/>
      <c r="O390" s="80"/>
      <c r="P390" s="59" t="str">
        <f aca="false">IF(E390="","",IFERROR(INDEX(기본설정!$H$4:$H$14,MATCH(E390,기본설정!$G$4:$G$14,0)),""))</f>
        <v/>
      </c>
    </row>
    <row r="391" customFormat="false" ht="15" hidden="false" customHeight="false" outlineLevel="0" collapsed="false">
      <c r="A391" s="73"/>
      <c r="B391" s="10"/>
      <c r="C391" s="80"/>
      <c r="D391" s="80"/>
      <c r="E391" s="81" t="str">
        <f aca="false">IF(D391="","",IFERROR(INDEX(식자재단가!$B$4:$B$203,MATCH(D391,식자재단가!$C$4:$C$203,0)),""))</f>
        <v/>
      </c>
      <c r="F391" s="76"/>
      <c r="G391" s="59" t="str">
        <f aca="false">IF(D391="","",IFERROR(INDEX(식자재단가!$F$4:$F$203,MATCH(D391,식자재단가!$C$4:$C$203,0)),""))</f>
        <v/>
      </c>
      <c r="H391" s="50"/>
      <c r="I391" s="82" t="str">
        <f aca="false">IF(OR(F391="",H391=""),"",F391*H391)</f>
        <v/>
      </c>
      <c r="J391" s="83" t="str">
        <f aca="false">IF(D391="","",IFERROR(INDEX(식자재단가!$M$4:$M$203,MATCH(D391,식자재단가!$C$4:$C$203,0)),"과세"))</f>
        <v/>
      </c>
      <c r="K391" s="28" t="str">
        <f aca="false">IF(I391="","",IF(J391="과세",ROUND(I391*0.1,0),0))</f>
        <v/>
      </c>
      <c r="L391" s="28" t="str">
        <f aca="false">IF(I391="","",I391+K391)</f>
        <v/>
      </c>
      <c r="M391" s="10"/>
      <c r="N391" s="80"/>
      <c r="O391" s="80"/>
      <c r="P391" s="59" t="str">
        <f aca="false">IF(E391="","",IFERROR(INDEX(기본설정!$H$4:$H$14,MATCH(E391,기본설정!$G$4:$G$14,0)),""))</f>
        <v/>
      </c>
    </row>
    <row r="392" customFormat="false" ht="15" hidden="false" customHeight="false" outlineLevel="0" collapsed="false">
      <c r="A392" s="73"/>
      <c r="B392" s="10"/>
      <c r="C392" s="80"/>
      <c r="D392" s="80"/>
      <c r="E392" s="81" t="str">
        <f aca="false">IF(D392="","",IFERROR(INDEX(식자재단가!$B$4:$B$203,MATCH(D392,식자재단가!$C$4:$C$203,0)),""))</f>
        <v/>
      </c>
      <c r="F392" s="76"/>
      <c r="G392" s="59" t="str">
        <f aca="false">IF(D392="","",IFERROR(INDEX(식자재단가!$F$4:$F$203,MATCH(D392,식자재단가!$C$4:$C$203,0)),""))</f>
        <v/>
      </c>
      <c r="H392" s="50"/>
      <c r="I392" s="82" t="str">
        <f aca="false">IF(OR(F392="",H392=""),"",F392*H392)</f>
        <v/>
      </c>
      <c r="J392" s="83" t="str">
        <f aca="false">IF(D392="","",IFERROR(INDEX(식자재단가!$M$4:$M$203,MATCH(D392,식자재단가!$C$4:$C$203,0)),"과세"))</f>
        <v/>
      </c>
      <c r="K392" s="28" t="str">
        <f aca="false">IF(I392="","",IF(J392="과세",ROUND(I392*0.1,0),0))</f>
        <v/>
      </c>
      <c r="L392" s="28" t="str">
        <f aca="false">IF(I392="","",I392+K392)</f>
        <v/>
      </c>
      <c r="M392" s="10"/>
      <c r="N392" s="80"/>
      <c r="O392" s="80"/>
      <c r="P392" s="59" t="str">
        <f aca="false">IF(E392="","",IFERROR(INDEX(기본설정!$H$4:$H$14,MATCH(E392,기본설정!$G$4:$G$14,0)),""))</f>
        <v/>
      </c>
    </row>
    <row r="393" customFormat="false" ht="15" hidden="false" customHeight="false" outlineLevel="0" collapsed="false">
      <c r="A393" s="73"/>
      <c r="B393" s="10"/>
      <c r="C393" s="80"/>
      <c r="D393" s="80"/>
      <c r="E393" s="81" t="str">
        <f aca="false">IF(D393="","",IFERROR(INDEX(식자재단가!$B$4:$B$203,MATCH(D393,식자재단가!$C$4:$C$203,0)),""))</f>
        <v/>
      </c>
      <c r="F393" s="76"/>
      <c r="G393" s="59" t="str">
        <f aca="false">IF(D393="","",IFERROR(INDEX(식자재단가!$F$4:$F$203,MATCH(D393,식자재단가!$C$4:$C$203,0)),""))</f>
        <v/>
      </c>
      <c r="H393" s="50"/>
      <c r="I393" s="82" t="str">
        <f aca="false">IF(OR(F393="",H393=""),"",F393*H393)</f>
        <v/>
      </c>
      <c r="J393" s="83" t="str">
        <f aca="false">IF(D393="","",IFERROR(INDEX(식자재단가!$M$4:$M$203,MATCH(D393,식자재단가!$C$4:$C$203,0)),"과세"))</f>
        <v/>
      </c>
      <c r="K393" s="28" t="str">
        <f aca="false">IF(I393="","",IF(J393="과세",ROUND(I393*0.1,0),0))</f>
        <v/>
      </c>
      <c r="L393" s="28" t="str">
        <f aca="false">IF(I393="","",I393+K393)</f>
        <v/>
      </c>
      <c r="M393" s="10"/>
      <c r="N393" s="80"/>
      <c r="O393" s="80"/>
      <c r="P393" s="59" t="str">
        <f aca="false">IF(E393="","",IFERROR(INDEX(기본설정!$H$4:$H$14,MATCH(E393,기본설정!$G$4:$G$14,0)),""))</f>
        <v/>
      </c>
    </row>
    <row r="394" customFormat="false" ht="15" hidden="false" customHeight="false" outlineLevel="0" collapsed="false">
      <c r="A394" s="73"/>
      <c r="B394" s="10"/>
      <c r="C394" s="80"/>
      <c r="D394" s="80"/>
      <c r="E394" s="81" t="str">
        <f aca="false">IF(D394="","",IFERROR(INDEX(식자재단가!$B$4:$B$203,MATCH(D394,식자재단가!$C$4:$C$203,0)),""))</f>
        <v/>
      </c>
      <c r="F394" s="76"/>
      <c r="G394" s="59" t="str">
        <f aca="false">IF(D394="","",IFERROR(INDEX(식자재단가!$F$4:$F$203,MATCH(D394,식자재단가!$C$4:$C$203,0)),""))</f>
        <v/>
      </c>
      <c r="H394" s="50"/>
      <c r="I394" s="82" t="str">
        <f aca="false">IF(OR(F394="",H394=""),"",F394*H394)</f>
        <v/>
      </c>
      <c r="J394" s="83" t="str">
        <f aca="false">IF(D394="","",IFERROR(INDEX(식자재단가!$M$4:$M$203,MATCH(D394,식자재단가!$C$4:$C$203,0)),"과세"))</f>
        <v/>
      </c>
      <c r="K394" s="28" t="str">
        <f aca="false">IF(I394="","",IF(J394="과세",ROUND(I394*0.1,0),0))</f>
        <v/>
      </c>
      <c r="L394" s="28" t="str">
        <f aca="false">IF(I394="","",I394+K394)</f>
        <v/>
      </c>
      <c r="M394" s="10"/>
      <c r="N394" s="80"/>
      <c r="O394" s="80"/>
      <c r="P394" s="59" t="str">
        <f aca="false">IF(E394="","",IFERROR(INDEX(기본설정!$H$4:$H$14,MATCH(E394,기본설정!$G$4:$G$14,0)),""))</f>
        <v/>
      </c>
    </row>
    <row r="395" customFormat="false" ht="15" hidden="false" customHeight="false" outlineLevel="0" collapsed="false">
      <c r="A395" s="73"/>
      <c r="B395" s="10"/>
      <c r="C395" s="80"/>
      <c r="D395" s="80"/>
      <c r="E395" s="81" t="str">
        <f aca="false">IF(D395="","",IFERROR(INDEX(식자재단가!$B$4:$B$203,MATCH(D395,식자재단가!$C$4:$C$203,0)),""))</f>
        <v/>
      </c>
      <c r="F395" s="76"/>
      <c r="G395" s="59" t="str">
        <f aca="false">IF(D395="","",IFERROR(INDEX(식자재단가!$F$4:$F$203,MATCH(D395,식자재단가!$C$4:$C$203,0)),""))</f>
        <v/>
      </c>
      <c r="H395" s="50"/>
      <c r="I395" s="82" t="str">
        <f aca="false">IF(OR(F395="",H395=""),"",F395*H395)</f>
        <v/>
      </c>
      <c r="J395" s="83" t="str">
        <f aca="false">IF(D395="","",IFERROR(INDEX(식자재단가!$M$4:$M$203,MATCH(D395,식자재단가!$C$4:$C$203,0)),"과세"))</f>
        <v/>
      </c>
      <c r="K395" s="28" t="str">
        <f aca="false">IF(I395="","",IF(J395="과세",ROUND(I395*0.1,0),0))</f>
        <v/>
      </c>
      <c r="L395" s="28" t="str">
        <f aca="false">IF(I395="","",I395+K395)</f>
        <v/>
      </c>
      <c r="M395" s="10"/>
      <c r="N395" s="80"/>
      <c r="O395" s="80"/>
      <c r="P395" s="59" t="str">
        <f aca="false">IF(E395="","",IFERROR(INDEX(기본설정!$H$4:$H$14,MATCH(E395,기본설정!$G$4:$G$14,0)),""))</f>
        <v/>
      </c>
    </row>
    <row r="396" customFormat="false" ht="15" hidden="false" customHeight="false" outlineLevel="0" collapsed="false">
      <c r="A396" s="73"/>
      <c r="B396" s="10"/>
      <c r="C396" s="80"/>
      <c r="D396" s="80"/>
      <c r="E396" s="81" t="str">
        <f aca="false">IF(D396="","",IFERROR(INDEX(식자재단가!$B$4:$B$203,MATCH(D396,식자재단가!$C$4:$C$203,0)),""))</f>
        <v/>
      </c>
      <c r="F396" s="76"/>
      <c r="G396" s="59" t="str">
        <f aca="false">IF(D396="","",IFERROR(INDEX(식자재단가!$F$4:$F$203,MATCH(D396,식자재단가!$C$4:$C$203,0)),""))</f>
        <v/>
      </c>
      <c r="H396" s="50"/>
      <c r="I396" s="82" t="str">
        <f aca="false">IF(OR(F396="",H396=""),"",F396*H396)</f>
        <v/>
      </c>
      <c r="J396" s="83" t="str">
        <f aca="false">IF(D396="","",IFERROR(INDEX(식자재단가!$M$4:$M$203,MATCH(D396,식자재단가!$C$4:$C$203,0)),"과세"))</f>
        <v/>
      </c>
      <c r="K396" s="28" t="str">
        <f aca="false">IF(I396="","",IF(J396="과세",ROUND(I396*0.1,0),0))</f>
        <v/>
      </c>
      <c r="L396" s="28" t="str">
        <f aca="false">IF(I396="","",I396+K396)</f>
        <v/>
      </c>
      <c r="M396" s="10"/>
      <c r="N396" s="80"/>
      <c r="O396" s="80"/>
      <c r="P396" s="59" t="str">
        <f aca="false">IF(E396="","",IFERROR(INDEX(기본설정!$H$4:$H$14,MATCH(E396,기본설정!$G$4:$G$14,0)),""))</f>
        <v/>
      </c>
    </row>
    <row r="397" customFormat="false" ht="15" hidden="false" customHeight="false" outlineLevel="0" collapsed="false">
      <c r="A397" s="73"/>
      <c r="B397" s="10"/>
      <c r="C397" s="80"/>
      <c r="D397" s="80"/>
      <c r="E397" s="81" t="str">
        <f aca="false">IF(D397="","",IFERROR(INDEX(식자재단가!$B$4:$B$203,MATCH(D397,식자재단가!$C$4:$C$203,0)),""))</f>
        <v/>
      </c>
      <c r="F397" s="76"/>
      <c r="G397" s="59" t="str">
        <f aca="false">IF(D397="","",IFERROR(INDEX(식자재단가!$F$4:$F$203,MATCH(D397,식자재단가!$C$4:$C$203,0)),""))</f>
        <v/>
      </c>
      <c r="H397" s="50"/>
      <c r="I397" s="82" t="str">
        <f aca="false">IF(OR(F397="",H397=""),"",F397*H397)</f>
        <v/>
      </c>
      <c r="J397" s="83" t="str">
        <f aca="false">IF(D397="","",IFERROR(INDEX(식자재단가!$M$4:$M$203,MATCH(D397,식자재단가!$C$4:$C$203,0)),"과세"))</f>
        <v/>
      </c>
      <c r="K397" s="28" t="str">
        <f aca="false">IF(I397="","",IF(J397="과세",ROUND(I397*0.1,0),0))</f>
        <v/>
      </c>
      <c r="L397" s="28" t="str">
        <f aca="false">IF(I397="","",I397+K397)</f>
        <v/>
      </c>
      <c r="M397" s="10"/>
      <c r="N397" s="80"/>
      <c r="O397" s="80"/>
      <c r="P397" s="59" t="str">
        <f aca="false">IF(E397="","",IFERROR(INDEX(기본설정!$H$4:$H$14,MATCH(E397,기본설정!$G$4:$G$14,0)),""))</f>
        <v/>
      </c>
    </row>
    <row r="398" customFormat="false" ht="15" hidden="false" customHeight="false" outlineLevel="0" collapsed="false">
      <c r="A398" s="73"/>
      <c r="B398" s="10"/>
      <c r="C398" s="80"/>
      <c r="D398" s="80"/>
      <c r="E398" s="81" t="str">
        <f aca="false">IF(D398="","",IFERROR(INDEX(식자재단가!$B$4:$B$203,MATCH(D398,식자재단가!$C$4:$C$203,0)),""))</f>
        <v/>
      </c>
      <c r="F398" s="76"/>
      <c r="G398" s="59" t="str">
        <f aca="false">IF(D398="","",IFERROR(INDEX(식자재단가!$F$4:$F$203,MATCH(D398,식자재단가!$C$4:$C$203,0)),""))</f>
        <v/>
      </c>
      <c r="H398" s="50"/>
      <c r="I398" s="82" t="str">
        <f aca="false">IF(OR(F398="",H398=""),"",F398*H398)</f>
        <v/>
      </c>
      <c r="J398" s="83" t="str">
        <f aca="false">IF(D398="","",IFERROR(INDEX(식자재단가!$M$4:$M$203,MATCH(D398,식자재단가!$C$4:$C$203,0)),"과세"))</f>
        <v/>
      </c>
      <c r="K398" s="28" t="str">
        <f aca="false">IF(I398="","",IF(J398="과세",ROUND(I398*0.1,0),0))</f>
        <v/>
      </c>
      <c r="L398" s="28" t="str">
        <f aca="false">IF(I398="","",I398+K398)</f>
        <v/>
      </c>
      <c r="M398" s="10"/>
      <c r="N398" s="80"/>
      <c r="O398" s="80"/>
      <c r="P398" s="59" t="str">
        <f aca="false">IF(E398="","",IFERROR(INDEX(기본설정!$H$4:$H$14,MATCH(E398,기본설정!$G$4:$G$14,0)),""))</f>
        <v/>
      </c>
    </row>
    <row r="399" customFormat="false" ht="15" hidden="false" customHeight="false" outlineLevel="0" collapsed="false">
      <c r="A399" s="73"/>
      <c r="B399" s="10"/>
      <c r="C399" s="80"/>
      <c r="D399" s="80"/>
      <c r="E399" s="81" t="str">
        <f aca="false">IF(D399="","",IFERROR(INDEX(식자재단가!$B$4:$B$203,MATCH(D399,식자재단가!$C$4:$C$203,0)),""))</f>
        <v/>
      </c>
      <c r="F399" s="76"/>
      <c r="G399" s="59" t="str">
        <f aca="false">IF(D399="","",IFERROR(INDEX(식자재단가!$F$4:$F$203,MATCH(D399,식자재단가!$C$4:$C$203,0)),""))</f>
        <v/>
      </c>
      <c r="H399" s="50"/>
      <c r="I399" s="82" t="str">
        <f aca="false">IF(OR(F399="",H399=""),"",F399*H399)</f>
        <v/>
      </c>
      <c r="J399" s="83" t="str">
        <f aca="false">IF(D399="","",IFERROR(INDEX(식자재단가!$M$4:$M$203,MATCH(D399,식자재단가!$C$4:$C$203,0)),"과세"))</f>
        <v/>
      </c>
      <c r="K399" s="28" t="str">
        <f aca="false">IF(I399="","",IF(J399="과세",ROUND(I399*0.1,0),0))</f>
        <v/>
      </c>
      <c r="L399" s="28" t="str">
        <f aca="false">IF(I399="","",I399+K399)</f>
        <v/>
      </c>
      <c r="M399" s="10"/>
      <c r="N399" s="80"/>
      <c r="O399" s="80"/>
      <c r="P399" s="59" t="str">
        <f aca="false">IF(E399="","",IFERROR(INDEX(기본설정!$H$4:$H$14,MATCH(E399,기본설정!$G$4:$G$14,0)),""))</f>
        <v/>
      </c>
    </row>
    <row r="400" customFormat="false" ht="15" hidden="false" customHeight="false" outlineLevel="0" collapsed="false">
      <c r="A400" s="73"/>
      <c r="B400" s="10"/>
      <c r="C400" s="80"/>
      <c r="D400" s="80"/>
      <c r="E400" s="81" t="str">
        <f aca="false">IF(D400="","",IFERROR(INDEX(식자재단가!$B$4:$B$203,MATCH(D400,식자재단가!$C$4:$C$203,0)),""))</f>
        <v/>
      </c>
      <c r="F400" s="76"/>
      <c r="G400" s="59" t="str">
        <f aca="false">IF(D400="","",IFERROR(INDEX(식자재단가!$F$4:$F$203,MATCH(D400,식자재단가!$C$4:$C$203,0)),""))</f>
        <v/>
      </c>
      <c r="H400" s="50"/>
      <c r="I400" s="82" t="str">
        <f aca="false">IF(OR(F400="",H400=""),"",F400*H400)</f>
        <v/>
      </c>
      <c r="J400" s="83" t="str">
        <f aca="false">IF(D400="","",IFERROR(INDEX(식자재단가!$M$4:$M$203,MATCH(D400,식자재단가!$C$4:$C$203,0)),"과세"))</f>
        <v/>
      </c>
      <c r="K400" s="28" t="str">
        <f aca="false">IF(I400="","",IF(J400="과세",ROUND(I400*0.1,0),0))</f>
        <v/>
      </c>
      <c r="L400" s="28" t="str">
        <f aca="false">IF(I400="","",I400+K400)</f>
        <v/>
      </c>
      <c r="M400" s="10"/>
      <c r="N400" s="80"/>
      <c r="O400" s="80"/>
      <c r="P400" s="59" t="str">
        <f aca="false">IF(E400="","",IFERROR(INDEX(기본설정!$H$4:$H$14,MATCH(E400,기본설정!$G$4:$G$14,0)),""))</f>
        <v/>
      </c>
    </row>
    <row r="401" customFormat="false" ht="15" hidden="false" customHeight="false" outlineLevel="0" collapsed="false">
      <c r="A401" s="73"/>
      <c r="B401" s="10"/>
      <c r="C401" s="80"/>
      <c r="D401" s="80"/>
      <c r="E401" s="81" t="str">
        <f aca="false">IF(D401="","",IFERROR(INDEX(식자재단가!$B$4:$B$203,MATCH(D401,식자재단가!$C$4:$C$203,0)),""))</f>
        <v/>
      </c>
      <c r="F401" s="76"/>
      <c r="G401" s="59" t="str">
        <f aca="false">IF(D401="","",IFERROR(INDEX(식자재단가!$F$4:$F$203,MATCH(D401,식자재단가!$C$4:$C$203,0)),""))</f>
        <v/>
      </c>
      <c r="H401" s="50"/>
      <c r="I401" s="82" t="str">
        <f aca="false">IF(OR(F401="",H401=""),"",F401*H401)</f>
        <v/>
      </c>
      <c r="J401" s="83" t="str">
        <f aca="false">IF(D401="","",IFERROR(INDEX(식자재단가!$M$4:$M$203,MATCH(D401,식자재단가!$C$4:$C$203,0)),"과세"))</f>
        <v/>
      </c>
      <c r="K401" s="28" t="str">
        <f aca="false">IF(I401="","",IF(J401="과세",ROUND(I401*0.1,0),0))</f>
        <v/>
      </c>
      <c r="L401" s="28" t="str">
        <f aca="false">IF(I401="","",I401+K401)</f>
        <v/>
      </c>
      <c r="M401" s="10"/>
      <c r="N401" s="80"/>
      <c r="O401" s="80"/>
      <c r="P401" s="59" t="str">
        <f aca="false">IF(E401="","",IFERROR(INDEX(기본설정!$H$4:$H$14,MATCH(E401,기본설정!$G$4:$G$14,0)),""))</f>
        <v/>
      </c>
    </row>
    <row r="402" customFormat="false" ht="15" hidden="false" customHeight="false" outlineLevel="0" collapsed="false">
      <c r="A402" s="73"/>
      <c r="B402" s="10"/>
      <c r="C402" s="80"/>
      <c r="D402" s="80"/>
      <c r="E402" s="81" t="str">
        <f aca="false">IF(D402="","",IFERROR(INDEX(식자재단가!$B$4:$B$203,MATCH(D402,식자재단가!$C$4:$C$203,0)),""))</f>
        <v/>
      </c>
      <c r="F402" s="76"/>
      <c r="G402" s="59" t="str">
        <f aca="false">IF(D402="","",IFERROR(INDEX(식자재단가!$F$4:$F$203,MATCH(D402,식자재단가!$C$4:$C$203,0)),""))</f>
        <v/>
      </c>
      <c r="H402" s="50"/>
      <c r="I402" s="82" t="str">
        <f aca="false">IF(OR(F402="",H402=""),"",F402*H402)</f>
        <v/>
      </c>
      <c r="J402" s="83" t="str">
        <f aca="false">IF(D402="","",IFERROR(INDEX(식자재단가!$M$4:$M$203,MATCH(D402,식자재단가!$C$4:$C$203,0)),"과세"))</f>
        <v/>
      </c>
      <c r="K402" s="28" t="str">
        <f aca="false">IF(I402="","",IF(J402="과세",ROUND(I402*0.1,0),0))</f>
        <v/>
      </c>
      <c r="L402" s="28" t="str">
        <f aca="false">IF(I402="","",I402+K402)</f>
        <v/>
      </c>
      <c r="M402" s="10"/>
      <c r="N402" s="80"/>
      <c r="O402" s="80"/>
      <c r="P402" s="59" t="str">
        <f aca="false">IF(E402="","",IFERROR(INDEX(기본설정!$H$4:$H$14,MATCH(E402,기본설정!$G$4:$G$14,0)),""))</f>
        <v/>
      </c>
    </row>
    <row r="403" customFormat="false" ht="15" hidden="false" customHeight="false" outlineLevel="0" collapsed="false">
      <c r="A403" s="73"/>
      <c r="B403" s="10"/>
      <c r="C403" s="80"/>
      <c r="D403" s="80"/>
      <c r="E403" s="81" t="str">
        <f aca="false">IF(D403="","",IFERROR(INDEX(식자재단가!$B$4:$B$203,MATCH(D403,식자재단가!$C$4:$C$203,0)),""))</f>
        <v/>
      </c>
      <c r="F403" s="76"/>
      <c r="G403" s="59" t="str">
        <f aca="false">IF(D403="","",IFERROR(INDEX(식자재단가!$F$4:$F$203,MATCH(D403,식자재단가!$C$4:$C$203,0)),""))</f>
        <v/>
      </c>
      <c r="H403" s="50"/>
      <c r="I403" s="82" t="str">
        <f aca="false">IF(OR(F403="",H403=""),"",F403*H403)</f>
        <v/>
      </c>
      <c r="J403" s="83" t="str">
        <f aca="false">IF(D403="","",IFERROR(INDEX(식자재단가!$M$4:$M$203,MATCH(D403,식자재단가!$C$4:$C$203,0)),"과세"))</f>
        <v/>
      </c>
      <c r="K403" s="28" t="str">
        <f aca="false">IF(I403="","",IF(J403="과세",ROUND(I403*0.1,0),0))</f>
        <v/>
      </c>
      <c r="L403" s="28" t="str">
        <f aca="false">IF(I403="","",I403+K403)</f>
        <v/>
      </c>
      <c r="M403" s="10"/>
      <c r="N403" s="80"/>
      <c r="O403" s="80"/>
      <c r="P403" s="59" t="str">
        <f aca="false">IF(E403="","",IFERROR(INDEX(기본설정!$H$4:$H$14,MATCH(E403,기본설정!$G$4:$G$14,0)),""))</f>
        <v/>
      </c>
    </row>
    <row r="404" customFormat="false" ht="15" hidden="false" customHeight="false" outlineLevel="0" collapsed="false">
      <c r="A404" s="73"/>
      <c r="B404" s="10"/>
      <c r="C404" s="80"/>
      <c r="D404" s="80"/>
      <c r="E404" s="81" t="str">
        <f aca="false">IF(D404="","",IFERROR(INDEX(식자재단가!$B$4:$B$203,MATCH(D404,식자재단가!$C$4:$C$203,0)),""))</f>
        <v/>
      </c>
      <c r="F404" s="76"/>
      <c r="G404" s="59" t="str">
        <f aca="false">IF(D404="","",IFERROR(INDEX(식자재단가!$F$4:$F$203,MATCH(D404,식자재단가!$C$4:$C$203,0)),""))</f>
        <v/>
      </c>
      <c r="H404" s="50"/>
      <c r="I404" s="82" t="str">
        <f aca="false">IF(OR(F404="",H404=""),"",F404*H404)</f>
        <v/>
      </c>
      <c r="J404" s="83" t="str">
        <f aca="false">IF(D404="","",IFERROR(INDEX(식자재단가!$M$4:$M$203,MATCH(D404,식자재단가!$C$4:$C$203,0)),"과세"))</f>
        <v/>
      </c>
      <c r="K404" s="28" t="str">
        <f aca="false">IF(I404="","",IF(J404="과세",ROUND(I404*0.1,0),0))</f>
        <v/>
      </c>
      <c r="L404" s="28" t="str">
        <f aca="false">IF(I404="","",I404+K404)</f>
        <v/>
      </c>
      <c r="M404" s="10"/>
      <c r="N404" s="80"/>
      <c r="O404" s="80"/>
      <c r="P404" s="59" t="str">
        <f aca="false">IF(E404="","",IFERROR(INDEX(기본설정!$H$4:$H$14,MATCH(E404,기본설정!$G$4:$G$14,0)),""))</f>
        <v/>
      </c>
    </row>
    <row r="405" customFormat="false" ht="15" hidden="false" customHeight="false" outlineLevel="0" collapsed="false">
      <c r="A405" s="73"/>
      <c r="B405" s="10"/>
      <c r="C405" s="80"/>
      <c r="D405" s="80"/>
      <c r="E405" s="81" t="str">
        <f aca="false">IF(D405="","",IFERROR(INDEX(식자재단가!$B$4:$B$203,MATCH(D405,식자재단가!$C$4:$C$203,0)),""))</f>
        <v/>
      </c>
      <c r="F405" s="76"/>
      <c r="G405" s="59" t="str">
        <f aca="false">IF(D405="","",IFERROR(INDEX(식자재단가!$F$4:$F$203,MATCH(D405,식자재단가!$C$4:$C$203,0)),""))</f>
        <v/>
      </c>
      <c r="H405" s="50"/>
      <c r="I405" s="82" t="str">
        <f aca="false">IF(OR(F405="",H405=""),"",F405*H405)</f>
        <v/>
      </c>
      <c r="J405" s="83" t="str">
        <f aca="false">IF(D405="","",IFERROR(INDEX(식자재단가!$M$4:$M$203,MATCH(D405,식자재단가!$C$4:$C$203,0)),"과세"))</f>
        <v/>
      </c>
      <c r="K405" s="28" t="str">
        <f aca="false">IF(I405="","",IF(J405="과세",ROUND(I405*0.1,0),0))</f>
        <v/>
      </c>
      <c r="L405" s="28" t="str">
        <f aca="false">IF(I405="","",I405+K405)</f>
        <v/>
      </c>
      <c r="M405" s="10"/>
      <c r="N405" s="80"/>
      <c r="O405" s="80"/>
      <c r="P405" s="59" t="str">
        <f aca="false">IF(E405="","",IFERROR(INDEX(기본설정!$H$4:$H$14,MATCH(E405,기본설정!$G$4:$G$14,0)),""))</f>
        <v/>
      </c>
    </row>
    <row r="406" customFormat="false" ht="15" hidden="false" customHeight="false" outlineLevel="0" collapsed="false">
      <c r="A406" s="73"/>
      <c r="B406" s="10"/>
      <c r="C406" s="80"/>
      <c r="D406" s="80"/>
      <c r="E406" s="81" t="str">
        <f aca="false">IF(D406="","",IFERROR(INDEX(식자재단가!$B$4:$B$203,MATCH(D406,식자재단가!$C$4:$C$203,0)),""))</f>
        <v/>
      </c>
      <c r="F406" s="76"/>
      <c r="G406" s="59" t="str">
        <f aca="false">IF(D406="","",IFERROR(INDEX(식자재단가!$F$4:$F$203,MATCH(D406,식자재단가!$C$4:$C$203,0)),""))</f>
        <v/>
      </c>
      <c r="H406" s="50"/>
      <c r="I406" s="82" t="str">
        <f aca="false">IF(OR(F406="",H406=""),"",F406*H406)</f>
        <v/>
      </c>
      <c r="J406" s="83" t="str">
        <f aca="false">IF(D406="","",IFERROR(INDEX(식자재단가!$M$4:$M$203,MATCH(D406,식자재단가!$C$4:$C$203,0)),"과세"))</f>
        <v/>
      </c>
      <c r="K406" s="28" t="str">
        <f aca="false">IF(I406="","",IF(J406="과세",ROUND(I406*0.1,0),0))</f>
        <v/>
      </c>
      <c r="L406" s="28" t="str">
        <f aca="false">IF(I406="","",I406+K406)</f>
        <v/>
      </c>
      <c r="M406" s="10"/>
      <c r="N406" s="80"/>
      <c r="O406" s="80"/>
      <c r="P406" s="59" t="str">
        <f aca="false">IF(E406="","",IFERROR(INDEX(기본설정!$H$4:$H$14,MATCH(E406,기본설정!$G$4:$G$14,0)),""))</f>
        <v/>
      </c>
    </row>
    <row r="407" customFormat="false" ht="15" hidden="false" customHeight="false" outlineLevel="0" collapsed="false">
      <c r="A407" s="73"/>
      <c r="B407" s="10"/>
      <c r="C407" s="80"/>
      <c r="D407" s="80"/>
      <c r="E407" s="81" t="str">
        <f aca="false">IF(D407="","",IFERROR(INDEX(식자재단가!$B$4:$B$203,MATCH(D407,식자재단가!$C$4:$C$203,0)),""))</f>
        <v/>
      </c>
      <c r="F407" s="76"/>
      <c r="G407" s="59" t="str">
        <f aca="false">IF(D407="","",IFERROR(INDEX(식자재단가!$F$4:$F$203,MATCH(D407,식자재단가!$C$4:$C$203,0)),""))</f>
        <v/>
      </c>
      <c r="H407" s="50"/>
      <c r="I407" s="82" t="str">
        <f aca="false">IF(OR(F407="",H407=""),"",F407*H407)</f>
        <v/>
      </c>
      <c r="J407" s="83" t="str">
        <f aca="false">IF(D407="","",IFERROR(INDEX(식자재단가!$M$4:$M$203,MATCH(D407,식자재단가!$C$4:$C$203,0)),"과세"))</f>
        <v/>
      </c>
      <c r="K407" s="28" t="str">
        <f aca="false">IF(I407="","",IF(J407="과세",ROUND(I407*0.1,0),0))</f>
        <v/>
      </c>
      <c r="L407" s="28" t="str">
        <f aca="false">IF(I407="","",I407+K407)</f>
        <v/>
      </c>
      <c r="M407" s="10"/>
      <c r="N407" s="80"/>
      <c r="O407" s="80"/>
      <c r="P407" s="59" t="str">
        <f aca="false">IF(E407="","",IFERROR(INDEX(기본설정!$H$4:$H$14,MATCH(E407,기본설정!$G$4:$G$14,0)),""))</f>
        <v/>
      </c>
    </row>
    <row r="408" customFormat="false" ht="15" hidden="false" customHeight="false" outlineLevel="0" collapsed="false">
      <c r="A408" s="73"/>
      <c r="B408" s="10"/>
      <c r="C408" s="80"/>
      <c r="D408" s="80"/>
      <c r="E408" s="81" t="str">
        <f aca="false">IF(D408="","",IFERROR(INDEX(식자재단가!$B$4:$B$203,MATCH(D408,식자재단가!$C$4:$C$203,0)),""))</f>
        <v/>
      </c>
      <c r="F408" s="76"/>
      <c r="G408" s="59" t="str">
        <f aca="false">IF(D408="","",IFERROR(INDEX(식자재단가!$F$4:$F$203,MATCH(D408,식자재단가!$C$4:$C$203,0)),""))</f>
        <v/>
      </c>
      <c r="H408" s="50"/>
      <c r="I408" s="82" t="str">
        <f aca="false">IF(OR(F408="",H408=""),"",F408*H408)</f>
        <v/>
      </c>
      <c r="J408" s="83" t="str">
        <f aca="false">IF(D408="","",IFERROR(INDEX(식자재단가!$M$4:$M$203,MATCH(D408,식자재단가!$C$4:$C$203,0)),"과세"))</f>
        <v/>
      </c>
      <c r="K408" s="28" t="str">
        <f aca="false">IF(I408="","",IF(J408="과세",ROUND(I408*0.1,0),0))</f>
        <v/>
      </c>
      <c r="L408" s="28" t="str">
        <f aca="false">IF(I408="","",I408+K408)</f>
        <v/>
      </c>
      <c r="M408" s="10"/>
      <c r="N408" s="80"/>
      <c r="O408" s="80"/>
      <c r="P408" s="59" t="str">
        <f aca="false">IF(E408="","",IFERROR(INDEX(기본설정!$H$4:$H$14,MATCH(E408,기본설정!$G$4:$G$14,0)),""))</f>
        <v/>
      </c>
    </row>
    <row r="409" customFormat="false" ht="15" hidden="false" customHeight="false" outlineLevel="0" collapsed="false">
      <c r="A409" s="73"/>
      <c r="B409" s="10"/>
      <c r="C409" s="80"/>
      <c r="D409" s="80"/>
      <c r="E409" s="81" t="str">
        <f aca="false">IF(D409="","",IFERROR(INDEX(식자재단가!$B$4:$B$203,MATCH(D409,식자재단가!$C$4:$C$203,0)),""))</f>
        <v/>
      </c>
      <c r="F409" s="76"/>
      <c r="G409" s="59" t="str">
        <f aca="false">IF(D409="","",IFERROR(INDEX(식자재단가!$F$4:$F$203,MATCH(D409,식자재단가!$C$4:$C$203,0)),""))</f>
        <v/>
      </c>
      <c r="H409" s="50"/>
      <c r="I409" s="82" t="str">
        <f aca="false">IF(OR(F409="",H409=""),"",F409*H409)</f>
        <v/>
      </c>
      <c r="J409" s="83" t="str">
        <f aca="false">IF(D409="","",IFERROR(INDEX(식자재단가!$M$4:$M$203,MATCH(D409,식자재단가!$C$4:$C$203,0)),"과세"))</f>
        <v/>
      </c>
      <c r="K409" s="28" t="str">
        <f aca="false">IF(I409="","",IF(J409="과세",ROUND(I409*0.1,0),0))</f>
        <v/>
      </c>
      <c r="L409" s="28" t="str">
        <f aca="false">IF(I409="","",I409+K409)</f>
        <v/>
      </c>
      <c r="M409" s="10"/>
      <c r="N409" s="80"/>
      <c r="O409" s="80"/>
      <c r="P409" s="59" t="str">
        <f aca="false">IF(E409="","",IFERROR(INDEX(기본설정!$H$4:$H$14,MATCH(E409,기본설정!$G$4:$G$14,0)),""))</f>
        <v/>
      </c>
    </row>
    <row r="410" customFormat="false" ht="15" hidden="false" customHeight="false" outlineLevel="0" collapsed="false">
      <c r="A410" s="73"/>
      <c r="B410" s="10"/>
      <c r="C410" s="80"/>
      <c r="D410" s="80"/>
      <c r="E410" s="81" t="str">
        <f aca="false">IF(D410="","",IFERROR(INDEX(식자재단가!$B$4:$B$203,MATCH(D410,식자재단가!$C$4:$C$203,0)),""))</f>
        <v/>
      </c>
      <c r="F410" s="76"/>
      <c r="G410" s="59" t="str">
        <f aca="false">IF(D410="","",IFERROR(INDEX(식자재단가!$F$4:$F$203,MATCH(D410,식자재단가!$C$4:$C$203,0)),""))</f>
        <v/>
      </c>
      <c r="H410" s="50"/>
      <c r="I410" s="82" t="str">
        <f aca="false">IF(OR(F410="",H410=""),"",F410*H410)</f>
        <v/>
      </c>
      <c r="J410" s="83" t="str">
        <f aca="false">IF(D410="","",IFERROR(INDEX(식자재단가!$M$4:$M$203,MATCH(D410,식자재단가!$C$4:$C$203,0)),"과세"))</f>
        <v/>
      </c>
      <c r="K410" s="28" t="str">
        <f aca="false">IF(I410="","",IF(J410="과세",ROUND(I410*0.1,0),0))</f>
        <v/>
      </c>
      <c r="L410" s="28" t="str">
        <f aca="false">IF(I410="","",I410+K410)</f>
        <v/>
      </c>
      <c r="M410" s="10"/>
      <c r="N410" s="80"/>
      <c r="O410" s="80"/>
      <c r="P410" s="59" t="str">
        <f aca="false">IF(E410="","",IFERROR(INDEX(기본설정!$H$4:$H$14,MATCH(E410,기본설정!$G$4:$G$14,0)),""))</f>
        <v/>
      </c>
    </row>
    <row r="411" customFormat="false" ht="15" hidden="false" customHeight="false" outlineLevel="0" collapsed="false">
      <c r="A411" s="73"/>
      <c r="B411" s="10"/>
      <c r="C411" s="80"/>
      <c r="D411" s="80"/>
      <c r="E411" s="81" t="str">
        <f aca="false">IF(D411="","",IFERROR(INDEX(식자재단가!$B$4:$B$203,MATCH(D411,식자재단가!$C$4:$C$203,0)),""))</f>
        <v/>
      </c>
      <c r="F411" s="76"/>
      <c r="G411" s="59" t="str">
        <f aca="false">IF(D411="","",IFERROR(INDEX(식자재단가!$F$4:$F$203,MATCH(D411,식자재단가!$C$4:$C$203,0)),""))</f>
        <v/>
      </c>
      <c r="H411" s="50"/>
      <c r="I411" s="82" t="str">
        <f aca="false">IF(OR(F411="",H411=""),"",F411*H411)</f>
        <v/>
      </c>
      <c r="J411" s="83" t="str">
        <f aca="false">IF(D411="","",IFERROR(INDEX(식자재단가!$M$4:$M$203,MATCH(D411,식자재단가!$C$4:$C$203,0)),"과세"))</f>
        <v/>
      </c>
      <c r="K411" s="28" t="str">
        <f aca="false">IF(I411="","",IF(J411="과세",ROUND(I411*0.1,0),0))</f>
        <v/>
      </c>
      <c r="L411" s="28" t="str">
        <f aca="false">IF(I411="","",I411+K411)</f>
        <v/>
      </c>
      <c r="M411" s="10"/>
      <c r="N411" s="80"/>
      <c r="O411" s="80"/>
      <c r="P411" s="59" t="str">
        <f aca="false">IF(E411="","",IFERROR(INDEX(기본설정!$H$4:$H$14,MATCH(E411,기본설정!$G$4:$G$14,0)),""))</f>
        <v/>
      </c>
    </row>
    <row r="412" customFormat="false" ht="15" hidden="false" customHeight="false" outlineLevel="0" collapsed="false">
      <c r="A412" s="73"/>
      <c r="B412" s="10"/>
      <c r="C412" s="80"/>
      <c r="D412" s="80"/>
      <c r="E412" s="81" t="str">
        <f aca="false">IF(D412="","",IFERROR(INDEX(식자재단가!$B$4:$B$203,MATCH(D412,식자재단가!$C$4:$C$203,0)),""))</f>
        <v/>
      </c>
      <c r="F412" s="76"/>
      <c r="G412" s="59" t="str">
        <f aca="false">IF(D412="","",IFERROR(INDEX(식자재단가!$F$4:$F$203,MATCH(D412,식자재단가!$C$4:$C$203,0)),""))</f>
        <v/>
      </c>
      <c r="H412" s="50"/>
      <c r="I412" s="82" t="str">
        <f aca="false">IF(OR(F412="",H412=""),"",F412*H412)</f>
        <v/>
      </c>
      <c r="J412" s="83" t="str">
        <f aca="false">IF(D412="","",IFERROR(INDEX(식자재단가!$M$4:$M$203,MATCH(D412,식자재단가!$C$4:$C$203,0)),"과세"))</f>
        <v/>
      </c>
      <c r="K412" s="28" t="str">
        <f aca="false">IF(I412="","",IF(J412="과세",ROUND(I412*0.1,0),0))</f>
        <v/>
      </c>
      <c r="L412" s="28" t="str">
        <f aca="false">IF(I412="","",I412+K412)</f>
        <v/>
      </c>
      <c r="M412" s="10"/>
      <c r="N412" s="80"/>
      <c r="O412" s="80"/>
      <c r="P412" s="59" t="str">
        <f aca="false">IF(E412="","",IFERROR(INDEX(기본설정!$H$4:$H$14,MATCH(E412,기본설정!$G$4:$G$14,0)),""))</f>
        <v/>
      </c>
    </row>
    <row r="413" customFormat="false" ht="15" hidden="false" customHeight="false" outlineLevel="0" collapsed="false">
      <c r="A413" s="73"/>
      <c r="B413" s="10"/>
      <c r="C413" s="80"/>
      <c r="D413" s="80"/>
      <c r="E413" s="81" t="str">
        <f aca="false">IF(D413="","",IFERROR(INDEX(식자재단가!$B$4:$B$203,MATCH(D413,식자재단가!$C$4:$C$203,0)),""))</f>
        <v/>
      </c>
      <c r="F413" s="76"/>
      <c r="G413" s="59" t="str">
        <f aca="false">IF(D413="","",IFERROR(INDEX(식자재단가!$F$4:$F$203,MATCH(D413,식자재단가!$C$4:$C$203,0)),""))</f>
        <v/>
      </c>
      <c r="H413" s="50"/>
      <c r="I413" s="82" t="str">
        <f aca="false">IF(OR(F413="",H413=""),"",F413*H413)</f>
        <v/>
      </c>
      <c r="J413" s="83" t="str">
        <f aca="false">IF(D413="","",IFERROR(INDEX(식자재단가!$M$4:$M$203,MATCH(D413,식자재단가!$C$4:$C$203,0)),"과세"))</f>
        <v/>
      </c>
      <c r="K413" s="28" t="str">
        <f aca="false">IF(I413="","",IF(J413="과세",ROUND(I413*0.1,0),0))</f>
        <v/>
      </c>
      <c r="L413" s="28" t="str">
        <f aca="false">IF(I413="","",I413+K413)</f>
        <v/>
      </c>
      <c r="M413" s="10"/>
      <c r="N413" s="80"/>
      <c r="O413" s="80"/>
      <c r="P413" s="59" t="str">
        <f aca="false">IF(E413="","",IFERROR(INDEX(기본설정!$H$4:$H$14,MATCH(E413,기본설정!$G$4:$G$14,0)),""))</f>
        <v/>
      </c>
    </row>
    <row r="414" customFormat="false" ht="15" hidden="false" customHeight="false" outlineLevel="0" collapsed="false">
      <c r="A414" s="73"/>
      <c r="B414" s="10"/>
      <c r="C414" s="80"/>
      <c r="D414" s="80"/>
      <c r="E414" s="81" t="str">
        <f aca="false">IF(D414="","",IFERROR(INDEX(식자재단가!$B$4:$B$203,MATCH(D414,식자재단가!$C$4:$C$203,0)),""))</f>
        <v/>
      </c>
      <c r="F414" s="76"/>
      <c r="G414" s="59" t="str">
        <f aca="false">IF(D414="","",IFERROR(INDEX(식자재단가!$F$4:$F$203,MATCH(D414,식자재단가!$C$4:$C$203,0)),""))</f>
        <v/>
      </c>
      <c r="H414" s="50"/>
      <c r="I414" s="82" t="str">
        <f aca="false">IF(OR(F414="",H414=""),"",F414*H414)</f>
        <v/>
      </c>
      <c r="J414" s="83" t="str">
        <f aca="false">IF(D414="","",IFERROR(INDEX(식자재단가!$M$4:$M$203,MATCH(D414,식자재단가!$C$4:$C$203,0)),"과세"))</f>
        <v/>
      </c>
      <c r="K414" s="28" t="str">
        <f aca="false">IF(I414="","",IF(J414="과세",ROUND(I414*0.1,0),0))</f>
        <v/>
      </c>
      <c r="L414" s="28" t="str">
        <f aca="false">IF(I414="","",I414+K414)</f>
        <v/>
      </c>
      <c r="M414" s="10"/>
      <c r="N414" s="80"/>
      <c r="O414" s="80"/>
      <c r="P414" s="59" t="str">
        <f aca="false">IF(E414="","",IFERROR(INDEX(기본설정!$H$4:$H$14,MATCH(E414,기본설정!$G$4:$G$14,0)),""))</f>
        <v/>
      </c>
    </row>
    <row r="415" customFormat="false" ht="15" hidden="false" customHeight="false" outlineLevel="0" collapsed="false">
      <c r="A415" s="73"/>
      <c r="B415" s="10"/>
      <c r="C415" s="80"/>
      <c r="D415" s="80"/>
      <c r="E415" s="81" t="str">
        <f aca="false">IF(D415="","",IFERROR(INDEX(식자재단가!$B$4:$B$203,MATCH(D415,식자재단가!$C$4:$C$203,0)),""))</f>
        <v/>
      </c>
      <c r="F415" s="76"/>
      <c r="G415" s="59" t="str">
        <f aca="false">IF(D415="","",IFERROR(INDEX(식자재단가!$F$4:$F$203,MATCH(D415,식자재단가!$C$4:$C$203,0)),""))</f>
        <v/>
      </c>
      <c r="H415" s="50"/>
      <c r="I415" s="82" t="str">
        <f aca="false">IF(OR(F415="",H415=""),"",F415*H415)</f>
        <v/>
      </c>
      <c r="J415" s="83" t="str">
        <f aca="false">IF(D415="","",IFERROR(INDEX(식자재단가!$M$4:$M$203,MATCH(D415,식자재단가!$C$4:$C$203,0)),"과세"))</f>
        <v/>
      </c>
      <c r="K415" s="28" t="str">
        <f aca="false">IF(I415="","",IF(J415="과세",ROUND(I415*0.1,0),0))</f>
        <v/>
      </c>
      <c r="L415" s="28" t="str">
        <f aca="false">IF(I415="","",I415+K415)</f>
        <v/>
      </c>
      <c r="M415" s="10"/>
      <c r="N415" s="80"/>
      <c r="O415" s="80"/>
      <c r="P415" s="59" t="str">
        <f aca="false">IF(E415="","",IFERROR(INDEX(기본설정!$H$4:$H$14,MATCH(E415,기본설정!$G$4:$G$14,0)),""))</f>
        <v/>
      </c>
    </row>
    <row r="416" customFormat="false" ht="15" hidden="false" customHeight="false" outlineLevel="0" collapsed="false">
      <c r="A416" s="73"/>
      <c r="B416" s="10"/>
      <c r="C416" s="80"/>
      <c r="D416" s="80"/>
      <c r="E416" s="81" t="str">
        <f aca="false">IF(D416="","",IFERROR(INDEX(식자재단가!$B$4:$B$203,MATCH(D416,식자재단가!$C$4:$C$203,0)),""))</f>
        <v/>
      </c>
      <c r="F416" s="76"/>
      <c r="G416" s="59" t="str">
        <f aca="false">IF(D416="","",IFERROR(INDEX(식자재단가!$F$4:$F$203,MATCH(D416,식자재단가!$C$4:$C$203,0)),""))</f>
        <v/>
      </c>
      <c r="H416" s="50"/>
      <c r="I416" s="82" t="str">
        <f aca="false">IF(OR(F416="",H416=""),"",F416*H416)</f>
        <v/>
      </c>
      <c r="J416" s="83" t="str">
        <f aca="false">IF(D416="","",IFERROR(INDEX(식자재단가!$M$4:$M$203,MATCH(D416,식자재단가!$C$4:$C$203,0)),"과세"))</f>
        <v/>
      </c>
      <c r="K416" s="28" t="str">
        <f aca="false">IF(I416="","",IF(J416="과세",ROUND(I416*0.1,0),0))</f>
        <v/>
      </c>
      <c r="L416" s="28" t="str">
        <f aca="false">IF(I416="","",I416+K416)</f>
        <v/>
      </c>
      <c r="M416" s="10"/>
      <c r="N416" s="80"/>
      <c r="O416" s="80"/>
      <c r="P416" s="59" t="str">
        <f aca="false">IF(E416="","",IFERROR(INDEX(기본설정!$H$4:$H$14,MATCH(E416,기본설정!$G$4:$G$14,0)),""))</f>
        <v/>
      </c>
    </row>
    <row r="417" customFormat="false" ht="15" hidden="false" customHeight="false" outlineLevel="0" collapsed="false">
      <c r="A417" s="73"/>
      <c r="B417" s="10"/>
      <c r="C417" s="80"/>
      <c r="D417" s="80"/>
      <c r="E417" s="81" t="str">
        <f aca="false">IF(D417="","",IFERROR(INDEX(식자재단가!$B$4:$B$203,MATCH(D417,식자재단가!$C$4:$C$203,0)),""))</f>
        <v/>
      </c>
      <c r="F417" s="76"/>
      <c r="G417" s="59" t="str">
        <f aca="false">IF(D417="","",IFERROR(INDEX(식자재단가!$F$4:$F$203,MATCH(D417,식자재단가!$C$4:$C$203,0)),""))</f>
        <v/>
      </c>
      <c r="H417" s="50"/>
      <c r="I417" s="82" t="str">
        <f aca="false">IF(OR(F417="",H417=""),"",F417*H417)</f>
        <v/>
      </c>
      <c r="J417" s="83" t="str">
        <f aca="false">IF(D417="","",IFERROR(INDEX(식자재단가!$M$4:$M$203,MATCH(D417,식자재단가!$C$4:$C$203,0)),"과세"))</f>
        <v/>
      </c>
      <c r="K417" s="28" t="str">
        <f aca="false">IF(I417="","",IF(J417="과세",ROUND(I417*0.1,0),0))</f>
        <v/>
      </c>
      <c r="L417" s="28" t="str">
        <f aca="false">IF(I417="","",I417+K417)</f>
        <v/>
      </c>
      <c r="M417" s="10"/>
      <c r="N417" s="80"/>
      <c r="O417" s="80"/>
      <c r="P417" s="59" t="str">
        <f aca="false">IF(E417="","",IFERROR(INDEX(기본설정!$H$4:$H$14,MATCH(E417,기본설정!$G$4:$G$14,0)),""))</f>
        <v/>
      </c>
    </row>
    <row r="418" customFormat="false" ht="15" hidden="false" customHeight="false" outlineLevel="0" collapsed="false">
      <c r="A418" s="73"/>
      <c r="B418" s="10"/>
      <c r="C418" s="80"/>
      <c r="D418" s="80"/>
      <c r="E418" s="81" t="str">
        <f aca="false">IF(D418="","",IFERROR(INDEX(식자재단가!$B$4:$B$203,MATCH(D418,식자재단가!$C$4:$C$203,0)),""))</f>
        <v/>
      </c>
      <c r="F418" s="76"/>
      <c r="G418" s="59" t="str">
        <f aca="false">IF(D418="","",IFERROR(INDEX(식자재단가!$F$4:$F$203,MATCH(D418,식자재단가!$C$4:$C$203,0)),""))</f>
        <v/>
      </c>
      <c r="H418" s="50"/>
      <c r="I418" s="82" t="str">
        <f aca="false">IF(OR(F418="",H418=""),"",F418*H418)</f>
        <v/>
      </c>
      <c r="J418" s="83" t="str">
        <f aca="false">IF(D418="","",IFERROR(INDEX(식자재단가!$M$4:$M$203,MATCH(D418,식자재단가!$C$4:$C$203,0)),"과세"))</f>
        <v/>
      </c>
      <c r="K418" s="28" t="str">
        <f aca="false">IF(I418="","",IF(J418="과세",ROUND(I418*0.1,0),0))</f>
        <v/>
      </c>
      <c r="L418" s="28" t="str">
        <f aca="false">IF(I418="","",I418+K418)</f>
        <v/>
      </c>
      <c r="M418" s="10"/>
      <c r="N418" s="80"/>
      <c r="O418" s="80"/>
      <c r="P418" s="59" t="str">
        <f aca="false">IF(E418="","",IFERROR(INDEX(기본설정!$H$4:$H$14,MATCH(E418,기본설정!$G$4:$G$14,0)),""))</f>
        <v/>
      </c>
    </row>
    <row r="419" customFormat="false" ht="15" hidden="false" customHeight="false" outlineLevel="0" collapsed="false">
      <c r="A419" s="73"/>
      <c r="B419" s="10"/>
      <c r="C419" s="80"/>
      <c r="D419" s="80"/>
      <c r="E419" s="81" t="str">
        <f aca="false">IF(D419="","",IFERROR(INDEX(식자재단가!$B$4:$B$203,MATCH(D419,식자재단가!$C$4:$C$203,0)),""))</f>
        <v/>
      </c>
      <c r="F419" s="76"/>
      <c r="G419" s="59" t="str">
        <f aca="false">IF(D419="","",IFERROR(INDEX(식자재단가!$F$4:$F$203,MATCH(D419,식자재단가!$C$4:$C$203,0)),""))</f>
        <v/>
      </c>
      <c r="H419" s="50"/>
      <c r="I419" s="82" t="str">
        <f aca="false">IF(OR(F419="",H419=""),"",F419*H419)</f>
        <v/>
      </c>
      <c r="J419" s="83" t="str">
        <f aca="false">IF(D419="","",IFERROR(INDEX(식자재단가!$M$4:$M$203,MATCH(D419,식자재단가!$C$4:$C$203,0)),"과세"))</f>
        <v/>
      </c>
      <c r="K419" s="28" t="str">
        <f aca="false">IF(I419="","",IF(J419="과세",ROUND(I419*0.1,0),0))</f>
        <v/>
      </c>
      <c r="L419" s="28" t="str">
        <f aca="false">IF(I419="","",I419+K419)</f>
        <v/>
      </c>
      <c r="M419" s="10"/>
      <c r="N419" s="80"/>
      <c r="O419" s="80"/>
      <c r="P419" s="59" t="str">
        <f aca="false">IF(E419="","",IFERROR(INDEX(기본설정!$H$4:$H$14,MATCH(E419,기본설정!$G$4:$G$14,0)),""))</f>
        <v/>
      </c>
    </row>
    <row r="420" customFormat="false" ht="15" hidden="false" customHeight="false" outlineLevel="0" collapsed="false">
      <c r="A420" s="73"/>
      <c r="B420" s="10"/>
      <c r="C420" s="80"/>
      <c r="D420" s="80"/>
      <c r="E420" s="81" t="str">
        <f aca="false">IF(D420="","",IFERROR(INDEX(식자재단가!$B$4:$B$203,MATCH(D420,식자재단가!$C$4:$C$203,0)),""))</f>
        <v/>
      </c>
      <c r="F420" s="76"/>
      <c r="G420" s="59" t="str">
        <f aca="false">IF(D420="","",IFERROR(INDEX(식자재단가!$F$4:$F$203,MATCH(D420,식자재단가!$C$4:$C$203,0)),""))</f>
        <v/>
      </c>
      <c r="H420" s="50"/>
      <c r="I420" s="82" t="str">
        <f aca="false">IF(OR(F420="",H420=""),"",F420*H420)</f>
        <v/>
      </c>
      <c r="J420" s="83" t="str">
        <f aca="false">IF(D420="","",IFERROR(INDEX(식자재단가!$M$4:$M$203,MATCH(D420,식자재단가!$C$4:$C$203,0)),"과세"))</f>
        <v/>
      </c>
      <c r="K420" s="28" t="str">
        <f aca="false">IF(I420="","",IF(J420="과세",ROUND(I420*0.1,0),0))</f>
        <v/>
      </c>
      <c r="L420" s="28" t="str">
        <f aca="false">IF(I420="","",I420+K420)</f>
        <v/>
      </c>
      <c r="M420" s="10"/>
      <c r="N420" s="80"/>
      <c r="O420" s="80"/>
      <c r="P420" s="59" t="str">
        <f aca="false">IF(E420="","",IFERROR(INDEX(기본설정!$H$4:$H$14,MATCH(E420,기본설정!$G$4:$G$14,0)),""))</f>
        <v/>
      </c>
    </row>
    <row r="421" customFormat="false" ht="15" hidden="false" customHeight="false" outlineLevel="0" collapsed="false">
      <c r="A421" s="73"/>
      <c r="B421" s="10"/>
      <c r="C421" s="80"/>
      <c r="D421" s="80"/>
      <c r="E421" s="81" t="str">
        <f aca="false">IF(D421="","",IFERROR(INDEX(식자재단가!$B$4:$B$203,MATCH(D421,식자재단가!$C$4:$C$203,0)),""))</f>
        <v/>
      </c>
      <c r="F421" s="76"/>
      <c r="G421" s="59" t="str">
        <f aca="false">IF(D421="","",IFERROR(INDEX(식자재단가!$F$4:$F$203,MATCH(D421,식자재단가!$C$4:$C$203,0)),""))</f>
        <v/>
      </c>
      <c r="H421" s="50"/>
      <c r="I421" s="82" t="str">
        <f aca="false">IF(OR(F421="",H421=""),"",F421*H421)</f>
        <v/>
      </c>
      <c r="J421" s="83" t="str">
        <f aca="false">IF(D421="","",IFERROR(INDEX(식자재단가!$M$4:$M$203,MATCH(D421,식자재단가!$C$4:$C$203,0)),"과세"))</f>
        <v/>
      </c>
      <c r="K421" s="28" t="str">
        <f aca="false">IF(I421="","",IF(J421="과세",ROUND(I421*0.1,0),0))</f>
        <v/>
      </c>
      <c r="L421" s="28" t="str">
        <f aca="false">IF(I421="","",I421+K421)</f>
        <v/>
      </c>
      <c r="M421" s="10"/>
      <c r="N421" s="80"/>
      <c r="O421" s="80"/>
      <c r="P421" s="59" t="str">
        <f aca="false">IF(E421="","",IFERROR(INDEX(기본설정!$H$4:$H$14,MATCH(E421,기본설정!$G$4:$G$14,0)),""))</f>
        <v/>
      </c>
    </row>
    <row r="422" customFormat="false" ht="15" hidden="false" customHeight="false" outlineLevel="0" collapsed="false">
      <c r="A422" s="73"/>
      <c r="B422" s="10"/>
      <c r="C422" s="80"/>
      <c r="D422" s="80"/>
      <c r="E422" s="81" t="str">
        <f aca="false">IF(D422="","",IFERROR(INDEX(식자재단가!$B$4:$B$203,MATCH(D422,식자재단가!$C$4:$C$203,0)),""))</f>
        <v/>
      </c>
      <c r="F422" s="76"/>
      <c r="G422" s="59" t="str">
        <f aca="false">IF(D422="","",IFERROR(INDEX(식자재단가!$F$4:$F$203,MATCH(D422,식자재단가!$C$4:$C$203,0)),""))</f>
        <v/>
      </c>
      <c r="H422" s="50"/>
      <c r="I422" s="82" t="str">
        <f aca="false">IF(OR(F422="",H422=""),"",F422*H422)</f>
        <v/>
      </c>
      <c r="J422" s="83" t="str">
        <f aca="false">IF(D422="","",IFERROR(INDEX(식자재단가!$M$4:$M$203,MATCH(D422,식자재단가!$C$4:$C$203,0)),"과세"))</f>
        <v/>
      </c>
      <c r="K422" s="28" t="str">
        <f aca="false">IF(I422="","",IF(J422="과세",ROUND(I422*0.1,0),0))</f>
        <v/>
      </c>
      <c r="L422" s="28" t="str">
        <f aca="false">IF(I422="","",I422+K422)</f>
        <v/>
      </c>
      <c r="M422" s="10"/>
      <c r="N422" s="80"/>
      <c r="O422" s="80"/>
      <c r="P422" s="59" t="str">
        <f aca="false">IF(E422="","",IFERROR(INDEX(기본설정!$H$4:$H$14,MATCH(E422,기본설정!$G$4:$G$14,0)),""))</f>
        <v/>
      </c>
    </row>
    <row r="423" customFormat="false" ht="15" hidden="false" customHeight="false" outlineLevel="0" collapsed="false">
      <c r="A423" s="73"/>
      <c r="B423" s="10"/>
      <c r="C423" s="80"/>
      <c r="D423" s="80"/>
      <c r="E423" s="81" t="str">
        <f aca="false">IF(D423="","",IFERROR(INDEX(식자재단가!$B$4:$B$203,MATCH(D423,식자재단가!$C$4:$C$203,0)),""))</f>
        <v/>
      </c>
      <c r="F423" s="76"/>
      <c r="G423" s="59" t="str">
        <f aca="false">IF(D423="","",IFERROR(INDEX(식자재단가!$F$4:$F$203,MATCH(D423,식자재단가!$C$4:$C$203,0)),""))</f>
        <v/>
      </c>
      <c r="H423" s="50"/>
      <c r="I423" s="82" t="str">
        <f aca="false">IF(OR(F423="",H423=""),"",F423*H423)</f>
        <v/>
      </c>
      <c r="J423" s="83" t="str">
        <f aca="false">IF(D423="","",IFERROR(INDEX(식자재단가!$M$4:$M$203,MATCH(D423,식자재단가!$C$4:$C$203,0)),"과세"))</f>
        <v/>
      </c>
      <c r="K423" s="28" t="str">
        <f aca="false">IF(I423="","",IF(J423="과세",ROUND(I423*0.1,0),0))</f>
        <v/>
      </c>
      <c r="L423" s="28" t="str">
        <f aca="false">IF(I423="","",I423+K423)</f>
        <v/>
      </c>
      <c r="M423" s="10"/>
      <c r="N423" s="80"/>
      <c r="O423" s="80"/>
      <c r="P423" s="59" t="str">
        <f aca="false">IF(E423="","",IFERROR(INDEX(기본설정!$H$4:$H$14,MATCH(E423,기본설정!$G$4:$G$14,0)),""))</f>
        <v/>
      </c>
    </row>
    <row r="424" customFormat="false" ht="15" hidden="false" customHeight="false" outlineLevel="0" collapsed="false">
      <c r="A424" s="73"/>
      <c r="B424" s="10"/>
      <c r="C424" s="80"/>
      <c r="D424" s="80"/>
      <c r="E424" s="81" t="str">
        <f aca="false">IF(D424="","",IFERROR(INDEX(식자재단가!$B$4:$B$203,MATCH(D424,식자재단가!$C$4:$C$203,0)),""))</f>
        <v/>
      </c>
      <c r="F424" s="76"/>
      <c r="G424" s="59" t="str">
        <f aca="false">IF(D424="","",IFERROR(INDEX(식자재단가!$F$4:$F$203,MATCH(D424,식자재단가!$C$4:$C$203,0)),""))</f>
        <v/>
      </c>
      <c r="H424" s="50"/>
      <c r="I424" s="82" t="str">
        <f aca="false">IF(OR(F424="",H424=""),"",F424*H424)</f>
        <v/>
      </c>
      <c r="J424" s="83" t="str">
        <f aca="false">IF(D424="","",IFERROR(INDEX(식자재단가!$M$4:$M$203,MATCH(D424,식자재단가!$C$4:$C$203,0)),"과세"))</f>
        <v/>
      </c>
      <c r="K424" s="28" t="str">
        <f aca="false">IF(I424="","",IF(J424="과세",ROUND(I424*0.1,0),0))</f>
        <v/>
      </c>
      <c r="L424" s="28" t="str">
        <f aca="false">IF(I424="","",I424+K424)</f>
        <v/>
      </c>
      <c r="M424" s="10"/>
      <c r="N424" s="80"/>
      <c r="O424" s="80"/>
      <c r="P424" s="59" t="str">
        <f aca="false">IF(E424="","",IFERROR(INDEX(기본설정!$H$4:$H$14,MATCH(E424,기본설정!$G$4:$G$14,0)),""))</f>
        <v/>
      </c>
    </row>
    <row r="425" customFormat="false" ht="15" hidden="false" customHeight="false" outlineLevel="0" collapsed="false">
      <c r="A425" s="73"/>
      <c r="B425" s="10"/>
      <c r="C425" s="80"/>
      <c r="D425" s="80"/>
      <c r="E425" s="81" t="str">
        <f aca="false">IF(D425="","",IFERROR(INDEX(식자재단가!$B$4:$B$203,MATCH(D425,식자재단가!$C$4:$C$203,0)),""))</f>
        <v/>
      </c>
      <c r="F425" s="76"/>
      <c r="G425" s="59" t="str">
        <f aca="false">IF(D425="","",IFERROR(INDEX(식자재단가!$F$4:$F$203,MATCH(D425,식자재단가!$C$4:$C$203,0)),""))</f>
        <v/>
      </c>
      <c r="H425" s="50"/>
      <c r="I425" s="82" t="str">
        <f aca="false">IF(OR(F425="",H425=""),"",F425*H425)</f>
        <v/>
      </c>
      <c r="J425" s="83" t="str">
        <f aca="false">IF(D425="","",IFERROR(INDEX(식자재단가!$M$4:$M$203,MATCH(D425,식자재단가!$C$4:$C$203,0)),"과세"))</f>
        <v/>
      </c>
      <c r="K425" s="28" t="str">
        <f aca="false">IF(I425="","",IF(J425="과세",ROUND(I425*0.1,0),0))</f>
        <v/>
      </c>
      <c r="L425" s="28" t="str">
        <f aca="false">IF(I425="","",I425+K425)</f>
        <v/>
      </c>
      <c r="M425" s="10"/>
      <c r="N425" s="80"/>
      <c r="O425" s="80"/>
      <c r="P425" s="59" t="str">
        <f aca="false">IF(E425="","",IFERROR(INDEX(기본설정!$H$4:$H$14,MATCH(E425,기본설정!$G$4:$G$14,0)),""))</f>
        <v/>
      </c>
    </row>
    <row r="426" customFormat="false" ht="15" hidden="false" customHeight="false" outlineLevel="0" collapsed="false">
      <c r="A426" s="73"/>
      <c r="B426" s="10"/>
      <c r="C426" s="80"/>
      <c r="D426" s="80"/>
      <c r="E426" s="81" t="str">
        <f aca="false">IF(D426="","",IFERROR(INDEX(식자재단가!$B$4:$B$203,MATCH(D426,식자재단가!$C$4:$C$203,0)),""))</f>
        <v/>
      </c>
      <c r="F426" s="76"/>
      <c r="G426" s="59" t="str">
        <f aca="false">IF(D426="","",IFERROR(INDEX(식자재단가!$F$4:$F$203,MATCH(D426,식자재단가!$C$4:$C$203,0)),""))</f>
        <v/>
      </c>
      <c r="H426" s="50"/>
      <c r="I426" s="82" t="str">
        <f aca="false">IF(OR(F426="",H426=""),"",F426*H426)</f>
        <v/>
      </c>
      <c r="J426" s="83" t="str">
        <f aca="false">IF(D426="","",IFERROR(INDEX(식자재단가!$M$4:$M$203,MATCH(D426,식자재단가!$C$4:$C$203,0)),"과세"))</f>
        <v/>
      </c>
      <c r="K426" s="28" t="str">
        <f aca="false">IF(I426="","",IF(J426="과세",ROUND(I426*0.1,0),0))</f>
        <v/>
      </c>
      <c r="L426" s="28" t="str">
        <f aca="false">IF(I426="","",I426+K426)</f>
        <v/>
      </c>
      <c r="M426" s="10"/>
      <c r="N426" s="80"/>
      <c r="O426" s="80"/>
      <c r="P426" s="59" t="str">
        <f aca="false">IF(E426="","",IFERROR(INDEX(기본설정!$H$4:$H$14,MATCH(E426,기본설정!$G$4:$G$14,0)),""))</f>
        <v/>
      </c>
    </row>
    <row r="427" customFormat="false" ht="15" hidden="false" customHeight="false" outlineLevel="0" collapsed="false">
      <c r="A427" s="73"/>
      <c r="B427" s="10"/>
      <c r="C427" s="80"/>
      <c r="D427" s="80"/>
      <c r="E427" s="81" t="str">
        <f aca="false">IF(D427="","",IFERROR(INDEX(식자재단가!$B$4:$B$203,MATCH(D427,식자재단가!$C$4:$C$203,0)),""))</f>
        <v/>
      </c>
      <c r="F427" s="76"/>
      <c r="G427" s="59" t="str">
        <f aca="false">IF(D427="","",IFERROR(INDEX(식자재단가!$F$4:$F$203,MATCH(D427,식자재단가!$C$4:$C$203,0)),""))</f>
        <v/>
      </c>
      <c r="H427" s="50"/>
      <c r="I427" s="82" t="str">
        <f aca="false">IF(OR(F427="",H427=""),"",F427*H427)</f>
        <v/>
      </c>
      <c r="J427" s="83" t="str">
        <f aca="false">IF(D427="","",IFERROR(INDEX(식자재단가!$M$4:$M$203,MATCH(D427,식자재단가!$C$4:$C$203,0)),"과세"))</f>
        <v/>
      </c>
      <c r="K427" s="28" t="str">
        <f aca="false">IF(I427="","",IF(J427="과세",ROUND(I427*0.1,0),0))</f>
        <v/>
      </c>
      <c r="L427" s="28" t="str">
        <f aca="false">IF(I427="","",I427+K427)</f>
        <v/>
      </c>
      <c r="M427" s="10"/>
      <c r="N427" s="80"/>
      <c r="O427" s="80"/>
      <c r="P427" s="59" t="str">
        <f aca="false">IF(E427="","",IFERROR(INDEX(기본설정!$H$4:$H$14,MATCH(E427,기본설정!$G$4:$G$14,0)),""))</f>
        <v/>
      </c>
    </row>
    <row r="428" customFormat="false" ht="15" hidden="false" customHeight="false" outlineLevel="0" collapsed="false">
      <c r="A428" s="73"/>
      <c r="B428" s="10"/>
      <c r="C428" s="80"/>
      <c r="D428" s="80"/>
      <c r="E428" s="81" t="str">
        <f aca="false">IF(D428="","",IFERROR(INDEX(식자재단가!$B$4:$B$203,MATCH(D428,식자재단가!$C$4:$C$203,0)),""))</f>
        <v/>
      </c>
      <c r="F428" s="76"/>
      <c r="G428" s="59" t="str">
        <f aca="false">IF(D428="","",IFERROR(INDEX(식자재단가!$F$4:$F$203,MATCH(D428,식자재단가!$C$4:$C$203,0)),""))</f>
        <v/>
      </c>
      <c r="H428" s="50"/>
      <c r="I428" s="82" t="str">
        <f aca="false">IF(OR(F428="",H428=""),"",F428*H428)</f>
        <v/>
      </c>
      <c r="J428" s="83" t="str">
        <f aca="false">IF(D428="","",IFERROR(INDEX(식자재단가!$M$4:$M$203,MATCH(D428,식자재단가!$C$4:$C$203,0)),"과세"))</f>
        <v/>
      </c>
      <c r="K428" s="28" t="str">
        <f aca="false">IF(I428="","",IF(J428="과세",ROUND(I428*0.1,0),0))</f>
        <v/>
      </c>
      <c r="L428" s="28" t="str">
        <f aca="false">IF(I428="","",I428+K428)</f>
        <v/>
      </c>
      <c r="M428" s="10"/>
      <c r="N428" s="80"/>
      <c r="O428" s="80"/>
      <c r="P428" s="59" t="str">
        <f aca="false">IF(E428="","",IFERROR(INDEX(기본설정!$H$4:$H$14,MATCH(E428,기본설정!$G$4:$G$14,0)),""))</f>
        <v/>
      </c>
    </row>
    <row r="429" customFormat="false" ht="15" hidden="false" customHeight="false" outlineLevel="0" collapsed="false">
      <c r="A429" s="73"/>
      <c r="B429" s="10"/>
      <c r="C429" s="80"/>
      <c r="D429" s="80"/>
      <c r="E429" s="81" t="str">
        <f aca="false">IF(D429="","",IFERROR(INDEX(식자재단가!$B$4:$B$203,MATCH(D429,식자재단가!$C$4:$C$203,0)),""))</f>
        <v/>
      </c>
      <c r="F429" s="76"/>
      <c r="G429" s="59" t="str">
        <f aca="false">IF(D429="","",IFERROR(INDEX(식자재단가!$F$4:$F$203,MATCH(D429,식자재단가!$C$4:$C$203,0)),""))</f>
        <v/>
      </c>
      <c r="H429" s="50"/>
      <c r="I429" s="82" t="str">
        <f aca="false">IF(OR(F429="",H429=""),"",F429*H429)</f>
        <v/>
      </c>
      <c r="J429" s="83" t="str">
        <f aca="false">IF(D429="","",IFERROR(INDEX(식자재단가!$M$4:$M$203,MATCH(D429,식자재단가!$C$4:$C$203,0)),"과세"))</f>
        <v/>
      </c>
      <c r="K429" s="28" t="str">
        <f aca="false">IF(I429="","",IF(J429="과세",ROUND(I429*0.1,0),0))</f>
        <v/>
      </c>
      <c r="L429" s="28" t="str">
        <f aca="false">IF(I429="","",I429+K429)</f>
        <v/>
      </c>
      <c r="M429" s="10"/>
      <c r="N429" s="80"/>
      <c r="O429" s="80"/>
      <c r="P429" s="59" t="str">
        <f aca="false">IF(E429="","",IFERROR(INDEX(기본설정!$H$4:$H$14,MATCH(E429,기본설정!$G$4:$G$14,0)),""))</f>
        <v/>
      </c>
    </row>
    <row r="430" customFormat="false" ht="15" hidden="false" customHeight="false" outlineLevel="0" collapsed="false">
      <c r="A430" s="73"/>
      <c r="B430" s="10"/>
      <c r="C430" s="80"/>
      <c r="D430" s="80"/>
      <c r="E430" s="81" t="str">
        <f aca="false">IF(D430="","",IFERROR(INDEX(식자재단가!$B$4:$B$203,MATCH(D430,식자재단가!$C$4:$C$203,0)),""))</f>
        <v/>
      </c>
      <c r="F430" s="76"/>
      <c r="G430" s="59" t="str">
        <f aca="false">IF(D430="","",IFERROR(INDEX(식자재단가!$F$4:$F$203,MATCH(D430,식자재단가!$C$4:$C$203,0)),""))</f>
        <v/>
      </c>
      <c r="H430" s="50"/>
      <c r="I430" s="82" t="str">
        <f aca="false">IF(OR(F430="",H430=""),"",F430*H430)</f>
        <v/>
      </c>
      <c r="J430" s="83" t="str">
        <f aca="false">IF(D430="","",IFERROR(INDEX(식자재단가!$M$4:$M$203,MATCH(D430,식자재단가!$C$4:$C$203,0)),"과세"))</f>
        <v/>
      </c>
      <c r="K430" s="28" t="str">
        <f aca="false">IF(I430="","",IF(J430="과세",ROUND(I430*0.1,0),0))</f>
        <v/>
      </c>
      <c r="L430" s="28" t="str">
        <f aca="false">IF(I430="","",I430+K430)</f>
        <v/>
      </c>
      <c r="M430" s="10"/>
      <c r="N430" s="80"/>
      <c r="O430" s="80"/>
      <c r="P430" s="59" t="str">
        <f aca="false">IF(E430="","",IFERROR(INDEX(기본설정!$H$4:$H$14,MATCH(E430,기본설정!$G$4:$G$14,0)),""))</f>
        <v/>
      </c>
    </row>
    <row r="431" customFormat="false" ht="15" hidden="false" customHeight="false" outlineLevel="0" collapsed="false">
      <c r="A431" s="73"/>
      <c r="B431" s="10"/>
      <c r="C431" s="80"/>
      <c r="D431" s="80"/>
      <c r="E431" s="81" t="str">
        <f aca="false">IF(D431="","",IFERROR(INDEX(식자재단가!$B$4:$B$203,MATCH(D431,식자재단가!$C$4:$C$203,0)),""))</f>
        <v/>
      </c>
      <c r="F431" s="76"/>
      <c r="G431" s="59" t="str">
        <f aca="false">IF(D431="","",IFERROR(INDEX(식자재단가!$F$4:$F$203,MATCH(D431,식자재단가!$C$4:$C$203,0)),""))</f>
        <v/>
      </c>
      <c r="H431" s="50"/>
      <c r="I431" s="82" t="str">
        <f aca="false">IF(OR(F431="",H431=""),"",F431*H431)</f>
        <v/>
      </c>
      <c r="J431" s="83" t="str">
        <f aca="false">IF(D431="","",IFERROR(INDEX(식자재단가!$M$4:$M$203,MATCH(D431,식자재단가!$C$4:$C$203,0)),"과세"))</f>
        <v/>
      </c>
      <c r="K431" s="28" t="str">
        <f aca="false">IF(I431="","",IF(J431="과세",ROUND(I431*0.1,0),0))</f>
        <v/>
      </c>
      <c r="L431" s="28" t="str">
        <f aca="false">IF(I431="","",I431+K431)</f>
        <v/>
      </c>
      <c r="M431" s="10"/>
      <c r="N431" s="80"/>
      <c r="O431" s="80"/>
      <c r="P431" s="59" t="str">
        <f aca="false">IF(E431="","",IFERROR(INDEX(기본설정!$H$4:$H$14,MATCH(E431,기본설정!$G$4:$G$14,0)),""))</f>
        <v/>
      </c>
    </row>
    <row r="432" customFormat="false" ht="15" hidden="false" customHeight="false" outlineLevel="0" collapsed="false">
      <c r="A432" s="73"/>
      <c r="B432" s="10"/>
      <c r="C432" s="80"/>
      <c r="D432" s="80"/>
      <c r="E432" s="81" t="str">
        <f aca="false">IF(D432="","",IFERROR(INDEX(식자재단가!$B$4:$B$203,MATCH(D432,식자재단가!$C$4:$C$203,0)),""))</f>
        <v/>
      </c>
      <c r="F432" s="76"/>
      <c r="G432" s="59" t="str">
        <f aca="false">IF(D432="","",IFERROR(INDEX(식자재단가!$F$4:$F$203,MATCH(D432,식자재단가!$C$4:$C$203,0)),""))</f>
        <v/>
      </c>
      <c r="H432" s="50"/>
      <c r="I432" s="82" t="str">
        <f aca="false">IF(OR(F432="",H432=""),"",F432*H432)</f>
        <v/>
      </c>
      <c r="J432" s="83" t="str">
        <f aca="false">IF(D432="","",IFERROR(INDEX(식자재단가!$M$4:$M$203,MATCH(D432,식자재단가!$C$4:$C$203,0)),"과세"))</f>
        <v/>
      </c>
      <c r="K432" s="28" t="str">
        <f aca="false">IF(I432="","",IF(J432="과세",ROUND(I432*0.1,0),0))</f>
        <v/>
      </c>
      <c r="L432" s="28" t="str">
        <f aca="false">IF(I432="","",I432+K432)</f>
        <v/>
      </c>
      <c r="M432" s="10"/>
      <c r="N432" s="80"/>
      <c r="O432" s="80"/>
      <c r="P432" s="59" t="str">
        <f aca="false">IF(E432="","",IFERROR(INDEX(기본설정!$H$4:$H$14,MATCH(E432,기본설정!$G$4:$G$14,0)),""))</f>
        <v/>
      </c>
    </row>
    <row r="433" customFormat="false" ht="15" hidden="false" customHeight="false" outlineLevel="0" collapsed="false">
      <c r="A433" s="73"/>
      <c r="B433" s="10"/>
      <c r="C433" s="80"/>
      <c r="D433" s="80"/>
      <c r="E433" s="81" t="str">
        <f aca="false">IF(D433="","",IFERROR(INDEX(식자재단가!$B$4:$B$203,MATCH(D433,식자재단가!$C$4:$C$203,0)),""))</f>
        <v/>
      </c>
      <c r="F433" s="76"/>
      <c r="G433" s="59" t="str">
        <f aca="false">IF(D433="","",IFERROR(INDEX(식자재단가!$F$4:$F$203,MATCH(D433,식자재단가!$C$4:$C$203,0)),""))</f>
        <v/>
      </c>
      <c r="H433" s="50"/>
      <c r="I433" s="82" t="str">
        <f aca="false">IF(OR(F433="",H433=""),"",F433*H433)</f>
        <v/>
      </c>
      <c r="J433" s="83" t="str">
        <f aca="false">IF(D433="","",IFERROR(INDEX(식자재단가!$M$4:$M$203,MATCH(D433,식자재단가!$C$4:$C$203,0)),"과세"))</f>
        <v/>
      </c>
      <c r="K433" s="28" t="str">
        <f aca="false">IF(I433="","",IF(J433="과세",ROUND(I433*0.1,0),0))</f>
        <v/>
      </c>
      <c r="L433" s="28" t="str">
        <f aca="false">IF(I433="","",I433+K433)</f>
        <v/>
      </c>
      <c r="M433" s="10"/>
      <c r="N433" s="80"/>
      <c r="O433" s="80"/>
      <c r="P433" s="59" t="str">
        <f aca="false">IF(E433="","",IFERROR(INDEX(기본설정!$H$4:$H$14,MATCH(E433,기본설정!$G$4:$G$14,0)),""))</f>
        <v/>
      </c>
    </row>
    <row r="434" customFormat="false" ht="15" hidden="false" customHeight="false" outlineLevel="0" collapsed="false">
      <c r="A434" s="73"/>
      <c r="B434" s="10"/>
      <c r="C434" s="80"/>
      <c r="D434" s="80"/>
      <c r="E434" s="81" t="str">
        <f aca="false">IF(D434="","",IFERROR(INDEX(식자재단가!$B$4:$B$203,MATCH(D434,식자재단가!$C$4:$C$203,0)),""))</f>
        <v/>
      </c>
      <c r="F434" s="76"/>
      <c r="G434" s="59" t="str">
        <f aca="false">IF(D434="","",IFERROR(INDEX(식자재단가!$F$4:$F$203,MATCH(D434,식자재단가!$C$4:$C$203,0)),""))</f>
        <v/>
      </c>
      <c r="H434" s="50"/>
      <c r="I434" s="82" t="str">
        <f aca="false">IF(OR(F434="",H434=""),"",F434*H434)</f>
        <v/>
      </c>
      <c r="J434" s="83" t="str">
        <f aca="false">IF(D434="","",IFERROR(INDEX(식자재단가!$M$4:$M$203,MATCH(D434,식자재단가!$C$4:$C$203,0)),"과세"))</f>
        <v/>
      </c>
      <c r="K434" s="28" t="str">
        <f aca="false">IF(I434="","",IF(J434="과세",ROUND(I434*0.1,0),0))</f>
        <v/>
      </c>
      <c r="L434" s="28" t="str">
        <f aca="false">IF(I434="","",I434+K434)</f>
        <v/>
      </c>
      <c r="M434" s="10"/>
      <c r="N434" s="80"/>
      <c r="O434" s="80"/>
      <c r="P434" s="59" t="str">
        <f aca="false">IF(E434="","",IFERROR(INDEX(기본설정!$H$4:$H$14,MATCH(E434,기본설정!$G$4:$G$14,0)),""))</f>
        <v/>
      </c>
    </row>
    <row r="435" customFormat="false" ht="15" hidden="false" customHeight="false" outlineLevel="0" collapsed="false">
      <c r="A435" s="73"/>
      <c r="B435" s="10"/>
      <c r="C435" s="80"/>
      <c r="D435" s="80"/>
      <c r="E435" s="81" t="str">
        <f aca="false">IF(D435="","",IFERROR(INDEX(식자재단가!$B$4:$B$203,MATCH(D435,식자재단가!$C$4:$C$203,0)),""))</f>
        <v/>
      </c>
      <c r="F435" s="76"/>
      <c r="G435" s="59" t="str">
        <f aca="false">IF(D435="","",IFERROR(INDEX(식자재단가!$F$4:$F$203,MATCH(D435,식자재단가!$C$4:$C$203,0)),""))</f>
        <v/>
      </c>
      <c r="H435" s="50"/>
      <c r="I435" s="82" t="str">
        <f aca="false">IF(OR(F435="",H435=""),"",F435*H435)</f>
        <v/>
      </c>
      <c r="J435" s="83" t="str">
        <f aca="false">IF(D435="","",IFERROR(INDEX(식자재단가!$M$4:$M$203,MATCH(D435,식자재단가!$C$4:$C$203,0)),"과세"))</f>
        <v/>
      </c>
      <c r="K435" s="28" t="str">
        <f aca="false">IF(I435="","",IF(J435="과세",ROUND(I435*0.1,0),0))</f>
        <v/>
      </c>
      <c r="L435" s="28" t="str">
        <f aca="false">IF(I435="","",I435+K435)</f>
        <v/>
      </c>
      <c r="M435" s="10"/>
      <c r="N435" s="80"/>
      <c r="O435" s="80"/>
      <c r="P435" s="59" t="str">
        <f aca="false">IF(E435="","",IFERROR(INDEX(기본설정!$H$4:$H$14,MATCH(E435,기본설정!$G$4:$G$14,0)),""))</f>
        <v/>
      </c>
    </row>
    <row r="436" customFormat="false" ht="15" hidden="false" customHeight="false" outlineLevel="0" collapsed="false">
      <c r="A436" s="73"/>
      <c r="B436" s="10"/>
      <c r="C436" s="80"/>
      <c r="D436" s="80"/>
      <c r="E436" s="81" t="str">
        <f aca="false">IF(D436="","",IFERROR(INDEX(식자재단가!$B$4:$B$203,MATCH(D436,식자재단가!$C$4:$C$203,0)),""))</f>
        <v/>
      </c>
      <c r="F436" s="76"/>
      <c r="G436" s="59" t="str">
        <f aca="false">IF(D436="","",IFERROR(INDEX(식자재단가!$F$4:$F$203,MATCH(D436,식자재단가!$C$4:$C$203,0)),""))</f>
        <v/>
      </c>
      <c r="H436" s="50"/>
      <c r="I436" s="82" t="str">
        <f aca="false">IF(OR(F436="",H436=""),"",F436*H436)</f>
        <v/>
      </c>
      <c r="J436" s="83" t="str">
        <f aca="false">IF(D436="","",IFERROR(INDEX(식자재단가!$M$4:$M$203,MATCH(D436,식자재단가!$C$4:$C$203,0)),"과세"))</f>
        <v/>
      </c>
      <c r="K436" s="28" t="str">
        <f aca="false">IF(I436="","",IF(J436="과세",ROUND(I436*0.1,0),0))</f>
        <v/>
      </c>
      <c r="L436" s="28" t="str">
        <f aca="false">IF(I436="","",I436+K436)</f>
        <v/>
      </c>
      <c r="M436" s="10"/>
      <c r="N436" s="80"/>
      <c r="O436" s="80"/>
      <c r="P436" s="59" t="str">
        <f aca="false">IF(E436="","",IFERROR(INDEX(기본설정!$H$4:$H$14,MATCH(E436,기본설정!$G$4:$G$14,0)),""))</f>
        <v/>
      </c>
    </row>
    <row r="437" customFormat="false" ht="15" hidden="false" customHeight="false" outlineLevel="0" collapsed="false">
      <c r="A437" s="73"/>
      <c r="B437" s="10"/>
      <c r="C437" s="80"/>
      <c r="D437" s="80"/>
      <c r="E437" s="81" t="str">
        <f aca="false">IF(D437="","",IFERROR(INDEX(식자재단가!$B$4:$B$203,MATCH(D437,식자재단가!$C$4:$C$203,0)),""))</f>
        <v/>
      </c>
      <c r="F437" s="76"/>
      <c r="G437" s="59" t="str">
        <f aca="false">IF(D437="","",IFERROR(INDEX(식자재단가!$F$4:$F$203,MATCH(D437,식자재단가!$C$4:$C$203,0)),""))</f>
        <v/>
      </c>
      <c r="H437" s="50"/>
      <c r="I437" s="82" t="str">
        <f aca="false">IF(OR(F437="",H437=""),"",F437*H437)</f>
        <v/>
      </c>
      <c r="J437" s="83" t="str">
        <f aca="false">IF(D437="","",IFERROR(INDEX(식자재단가!$M$4:$M$203,MATCH(D437,식자재단가!$C$4:$C$203,0)),"과세"))</f>
        <v/>
      </c>
      <c r="K437" s="28" t="str">
        <f aca="false">IF(I437="","",IF(J437="과세",ROUND(I437*0.1,0),0))</f>
        <v/>
      </c>
      <c r="L437" s="28" t="str">
        <f aca="false">IF(I437="","",I437+K437)</f>
        <v/>
      </c>
      <c r="M437" s="10"/>
      <c r="N437" s="80"/>
      <c r="O437" s="80"/>
      <c r="P437" s="59" t="str">
        <f aca="false">IF(E437="","",IFERROR(INDEX(기본설정!$H$4:$H$14,MATCH(E437,기본설정!$G$4:$G$14,0)),""))</f>
        <v/>
      </c>
    </row>
    <row r="438" customFormat="false" ht="15" hidden="false" customHeight="false" outlineLevel="0" collapsed="false">
      <c r="A438" s="73"/>
      <c r="B438" s="10"/>
      <c r="C438" s="80"/>
      <c r="D438" s="80"/>
      <c r="E438" s="81" t="str">
        <f aca="false">IF(D438="","",IFERROR(INDEX(식자재단가!$B$4:$B$203,MATCH(D438,식자재단가!$C$4:$C$203,0)),""))</f>
        <v/>
      </c>
      <c r="F438" s="76"/>
      <c r="G438" s="59" t="str">
        <f aca="false">IF(D438="","",IFERROR(INDEX(식자재단가!$F$4:$F$203,MATCH(D438,식자재단가!$C$4:$C$203,0)),""))</f>
        <v/>
      </c>
      <c r="H438" s="50"/>
      <c r="I438" s="82" t="str">
        <f aca="false">IF(OR(F438="",H438=""),"",F438*H438)</f>
        <v/>
      </c>
      <c r="J438" s="83" t="str">
        <f aca="false">IF(D438="","",IFERROR(INDEX(식자재단가!$M$4:$M$203,MATCH(D438,식자재단가!$C$4:$C$203,0)),"과세"))</f>
        <v/>
      </c>
      <c r="K438" s="28" t="str">
        <f aca="false">IF(I438="","",IF(J438="과세",ROUND(I438*0.1,0),0))</f>
        <v/>
      </c>
      <c r="L438" s="28" t="str">
        <f aca="false">IF(I438="","",I438+K438)</f>
        <v/>
      </c>
      <c r="M438" s="10"/>
      <c r="N438" s="80"/>
      <c r="O438" s="80"/>
      <c r="P438" s="59" t="str">
        <f aca="false">IF(E438="","",IFERROR(INDEX(기본설정!$H$4:$H$14,MATCH(E438,기본설정!$G$4:$G$14,0)),""))</f>
        <v/>
      </c>
    </row>
    <row r="439" customFormat="false" ht="15" hidden="false" customHeight="false" outlineLevel="0" collapsed="false">
      <c r="A439" s="73"/>
      <c r="B439" s="10"/>
      <c r="C439" s="80"/>
      <c r="D439" s="80"/>
      <c r="E439" s="81" t="str">
        <f aca="false">IF(D439="","",IFERROR(INDEX(식자재단가!$B$4:$B$203,MATCH(D439,식자재단가!$C$4:$C$203,0)),""))</f>
        <v/>
      </c>
      <c r="F439" s="76"/>
      <c r="G439" s="59" t="str">
        <f aca="false">IF(D439="","",IFERROR(INDEX(식자재단가!$F$4:$F$203,MATCH(D439,식자재단가!$C$4:$C$203,0)),""))</f>
        <v/>
      </c>
      <c r="H439" s="50"/>
      <c r="I439" s="82" t="str">
        <f aca="false">IF(OR(F439="",H439=""),"",F439*H439)</f>
        <v/>
      </c>
      <c r="J439" s="83" t="str">
        <f aca="false">IF(D439="","",IFERROR(INDEX(식자재단가!$M$4:$M$203,MATCH(D439,식자재단가!$C$4:$C$203,0)),"과세"))</f>
        <v/>
      </c>
      <c r="K439" s="28" t="str">
        <f aca="false">IF(I439="","",IF(J439="과세",ROUND(I439*0.1,0),0))</f>
        <v/>
      </c>
      <c r="L439" s="28" t="str">
        <f aca="false">IF(I439="","",I439+K439)</f>
        <v/>
      </c>
      <c r="M439" s="10"/>
      <c r="N439" s="80"/>
      <c r="O439" s="80"/>
      <c r="P439" s="59" t="str">
        <f aca="false">IF(E439="","",IFERROR(INDEX(기본설정!$H$4:$H$14,MATCH(E439,기본설정!$G$4:$G$14,0)),""))</f>
        <v/>
      </c>
    </row>
    <row r="440" customFormat="false" ht="15" hidden="false" customHeight="false" outlineLevel="0" collapsed="false">
      <c r="A440" s="73"/>
      <c r="B440" s="10"/>
      <c r="C440" s="80"/>
      <c r="D440" s="80"/>
      <c r="E440" s="81" t="str">
        <f aca="false">IF(D440="","",IFERROR(INDEX(식자재단가!$B$4:$B$203,MATCH(D440,식자재단가!$C$4:$C$203,0)),""))</f>
        <v/>
      </c>
      <c r="F440" s="76"/>
      <c r="G440" s="59" t="str">
        <f aca="false">IF(D440="","",IFERROR(INDEX(식자재단가!$F$4:$F$203,MATCH(D440,식자재단가!$C$4:$C$203,0)),""))</f>
        <v/>
      </c>
      <c r="H440" s="50"/>
      <c r="I440" s="82" t="str">
        <f aca="false">IF(OR(F440="",H440=""),"",F440*H440)</f>
        <v/>
      </c>
      <c r="J440" s="83" t="str">
        <f aca="false">IF(D440="","",IFERROR(INDEX(식자재단가!$M$4:$M$203,MATCH(D440,식자재단가!$C$4:$C$203,0)),"과세"))</f>
        <v/>
      </c>
      <c r="K440" s="28" t="str">
        <f aca="false">IF(I440="","",IF(J440="과세",ROUND(I440*0.1,0),0))</f>
        <v/>
      </c>
      <c r="L440" s="28" t="str">
        <f aca="false">IF(I440="","",I440+K440)</f>
        <v/>
      </c>
      <c r="M440" s="10"/>
      <c r="N440" s="80"/>
      <c r="O440" s="80"/>
      <c r="P440" s="59" t="str">
        <f aca="false">IF(E440="","",IFERROR(INDEX(기본설정!$H$4:$H$14,MATCH(E440,기본설정!$G$4:$G$14,0)),""))</f>
        <v/>
      </c>
    </row>
    <row r="441" customFormat="false" ht="15" hidden="false" customHeight="false" outlineLevel="0" collapsed="false">
      <c r="A441" s="73"/>
      <c r="B441" s="10"/>
      <c r="C441" s="80"/>
      <c r="D441" s="80"/>
      <c r="E441" s="81" t="str">
        <f aca="false">IF(D441="","",IFERROR(INDEX(식자재단가!$B$4:$B$203,MATCH(D441,식자재단가!$C$4:$C$203,0)),""))</f>
        <v/>
      </c>
      <c r="F441" s="76"/>
      <c r="G441" s="59" t="str">
        <f aca="false">IF(D441="","",IFERROR(INDEX(식자재단가!$F$4:$F$203,MATCH(D441,식자재단가!$C$4:$C$203,0)),""))</f>
        <v/>
      </c>
      <c r="H441" s="50"/>
      <c r="I441" s="82" t="str">
        <f aca="false">IF(OR(F441="",H441=""),"",F441*H441)</f>
        <v/>
      </c>
      <c r="J441" s="83" t="str">
        <f aca="false">IF(D441="","",IFERROR(INDEX(식자재단가!$M$4:$M$203,MATCH(D441,식자재단가!$C$4:$C$203,0)),"과세"))</f>
        <v/>
      </c>
      <c r="K441" s="28" t="str">
        <f aca="false">IF(I441="","",IF(J441="과세",ROUND(I441*0.1,0),0))</f>
        <v/>
      </c>
      <c r="L441" s="28" t="str">
        <f aca="false">IF(I441="","",I441+K441)</f>
        <v/>
      </c>
      <c r="M441" s="10"/>
      <c r="N441" s="80"/>
      <c r="O441" s="80"/>
      <c r="P441" s="59" t="str">
        <f aca="false">IF(E441="","",IFERROR(INDEX(기본설정!$H$4:$H$14,MATCH(E441,기본설정!$G$4:$G$14,0)),""))</f>
        <v/>
      </c>
    </row>
    <row r="442" customFormat="false" ht="15" hidden="false" customHeight="false" outlineLevel="0" collapsed="false">
      <c r="A442" s="73"/>
      <c r="B442" s="10"/>
      <c r="C442" s="80"/>
      <c r="D442" s="80"/>
      <c r="E442" s="81" t="str">
        <f aca="false">IF(D442="","",IFERROR(INDEX(식자재단가!$B$4:$B$203,MATCH(D442,식자재단가!$C$4:$C$203,0)),""))</f>
        <v/>
      </c>
      <c r="F442" s="76"/>
      <c r="G442" s="59" t="str">
        <f aca="false">IF(D442="","",IFERROR(INDEX(식자재단가!$F$4:$F$203,MATCH(D442,식자재단가!$C$4:$C$203,0)),""))</f>
        <v/>
      </c>
      <c r="H442" s="50"/>
      <c r="I442" s="82" t="str">
        <f aca="false">IF(OR(F442="",H442=""),"",F442*H442)</f>
        <v/>
      </c>
      <c r="J442" s="83" t="str">
        <f aca="false">IF(D442="","",IFERROR(INDEX(식자재단가!$M$4:$M$203,MATCH(D442,식자재단가!$C$4:$C$203,0)),"과세"))</f>
        <v/>
      </c>
      <c r="K442" s="28" t="str">
        <f aca="false">IF(I442="","",IF(J442="과세",ROUND(I442*0.1,0),0))</f>
        <v/>
      </c>
      <c r="L442" s="28" t="str">
        <f aca="false">IF(I442="","",I442+K442)</f>
        <v/>
      </c>
      <c r="M442" s="10"/>
      <c r="N442" s="80"/>
      <c r="O442" s="80"/>
      <c r="P442" s="59" t="str">
        <f aca="false">IF(E442="","",IFERROR(INDEX(기본설정!$H$4:$H$14,MATCH(E442,기본설정!$G$4:$G$14,0)),""))</f>
        <v/>
      </c>
    </row>
    <row r="443" customFormat="false" ht="15" hidden="false" customHeight="false" outlineLevel="0" collapsed="false">
      <c r="A443" s="73"/>
      <c r="B443" s="10"/>
      <c r="C443" s="80"/>
      <c r="D443" s="80"/>
      <c r="E443" s="81" t="str">
        <f aca="false">IF(D443="","",IFERROR(INDEX(식자재단가!$B$4:$B$203,MATCH(D443,식자재단가!$C$4:$C$203,0)),""))</f>
        <v/>
      </c>
      <c r="F443" s="76"/>
      <c r="G443" s="59" t="str">
        <f aca="false">IF(D443="","",IFERROR(INDEX(식자재단가!$F$4:$F$203,MATCH(D443,식자재단가!$C$4:$C$203,0)),""))</f>
        <v/>
      </c>
      <c r="H443" s="50"/>
      <c r="I443" s="82" t="str">
        <f aca="false">IF(OR(F443="",H443=""),"",F443*H443)</f>
        <v/>
      </c>
      <c r="J443" s="83" t="str">
        <f aca="false">IF(D443="","",IFERROR(INDEX(식자재단가!$M$4:$M$203,MATCH(D443,식자재단가!$C$4:$C$203,0)),"과세"))</f>
        <v/>
      </c>
      <c r="K443" s="28" t="str">
        <f aca="false">IF(I443="","",IF(J443="과세",ROUND(I443*0.1,0),0))</f>
        <v/>
      </c>
      <c r="L443" s="28" t="str">
        <f aca="false">IF(I443="","",I443+K443)</f>
        <v/>
      </c>
      <c r="M443" s="10"/>
      <c r="N443" s="80"/>
      <c r="O443" s="80"/>
      <c r="P443" s="59" t="str">
        <f aca="false">IF(E443="","",IFERROR(INDEX(기본설정!$H$4:$H$14,MATCH(E443,기본설정!$G$4:$G$14,0)),""))</f>
        <v/>
      </c>
    </row>
    <row r="444" customFormat="false" ht="15" hidden="false" customHeight="false" outlineLevel="0" collapsed="false">
      <c r="A444" s="73"/>
      <c r="B444" s="10"/>
      <c r="C444" s="80"/>
      <c r="D444" s="80"/>
      <c r="E444" s="81" t="str">
        <f aca="false">IF(D444="","",IFERROR(INDEX(식자재단가!$B$4:$B$203,MATCH(D444,식자재단가!$C$4:$C$203,0)),""))</f>
        <v/>
      </c>
      <c r="F444" s="76"/>
      <c r="G444" s="59" t="str">
        <f aca="false">IF(D444="","",IFERROR(INDEX(식자재단가!$F$4:$F$203,MATCH(D444,식자재단가!$C$4:$C$203,0)),""))</f>
        <v/>
      </c>
      <c r="H444" s="50"/>
      <c r="I444" s="82" t="str">
        <f aca="false">IF(OR(F444="",H444=""),"",F444*H444)</f>
        <v/>
      </c>
      <c r="J444" s="83" t="str">
        <f aca="false">IF(D444="","",IFERROR(INDEX(식자재단가!$M$4:$M$203,MATCH(D444,식자재단가!$C$4:$C$203,0)),"과세"))</f>
        <v/>
      </c>
      <c r="K444" s="28" t="str">
        <f aca="false">IF(I444="","",IF(J444="과세",ROUND(I444*0.1,0),0))</f>
        <v/>
      </c>
      <c r="L444" s="28" t="str">
        <f aca="false">IF(I444="","",I444+K444)</f>
        <v/>
      </c>
      <c r="M444" s="10"/>
      <c r="N444" s="80"/>
      <c r="O444" s="80"/>
      <c r="P444" s="59" t="str">
        <f aca="false">IF(E444="","",IFERROR(INDEX(기본설정!$H$4:$H$14,MATCH(E444,기본설정!$G$4:$G$14,0)),""))</f>
        <v/>
      </c>
    </row>
    <row r="445" customFormat="false" ht="15" hidden="false" customHeight="false" outlineLevel="0" collapsed="false">
      <c r="A445" s="73"/>
      <c r="B445" s="10"/>
      <c r="C445" s="80"/>
      <c r="D445" s="80"/>
      <c r="E445" s="81" t="str">
        <f aca="false">IF(D445="","",IFERROR(INDEX(식자재단가!$B$4:$B$203,MATCH(D445,식자재단가!$C$4:$C$203,0)),""))</f>
        <v/>
      </c>
      <c r="F445" s="76"/>
      <c r="G445" s="59" t="str">
        <f aca="false">IF(D445="","",IFERROR(INDEX(식자재단가!$F$4:$F$203,MATCH(D445,식자재단가!$C$4:$C$203,0)),""))</f>
        <v/>
      </c>
      <c r="H445" s="50"/>
      <c r="I445" s="82" t="str">
        <f aca="false">IF(OR(F445="",H445=""),"",F445*H445)</f>
        <v/>
      </c>
      <c r="J445" s="83" t="str">
        <f aca="false">IF(D445="","",IFERROR(INDEX(식자재단가!$M$4:$M$203,MATCH(D445,식자재단가!$C$4:$C$203,0)),"과세"))</f>
        <v/>
      </c>
      <c r="K445" s="28" t="str">
        <f aca="false">IF(I445="","",IF(J445="과세",ROUND(I445*0.1,0),0))</f>
        <v/>
      </c>
      <c r="L445" s="28" t="str">
        <f aca="false">IF(I445="","",I445+K445)</f>
        <v/>
      </c>
      <c r="M445" s="10"/>
      <c r="N445" s="80"/>
      <c r="O445" s="80"/>
      <c r="P445" s="59" t="str">
        <f aca="false">IF(E445="","",IFERROR(INDEX(기본설정!$H$4:$H$14,MATCH(E445,기본설정!$G$4:$G$14,0)),""))</f>
        <v/>
      </c>
    </row>
    <row r="446" customFormat="false" ht="15" hidden="false" customHeight="false" outlineLevel="0" collapsed="false">
      <c r="A446" s="73"/>
      <c r="B446" s="10"/>
      <c r="C446" s="80"/>
      <c r="D446" s="80"/>
      <c r="E446" s="81" t="str">
        <f aca="false">IF(D446="","",IFERROR(INDEX(식자재단가!$B$4:$B$203,MATCH(D446,식자재단가!$C$4:$C$203,0)),""))</f>
        <v/>
      </c>
      <c r="F446" s="76"/>
      <c r="G446" s="59" t="str">
        <f aca="false">IF(D446="","",IFERROR(INDEX(식자재단가!$F$4:$F$203,MATCH(D446,식자재단가!$C$4:$C$203,0)),""))</f>
        <v/>
      </c>
      <c r="H446" s="50"/>
      <c r="I446" s="82" t="str">
        <f aca="false">IF(OR(F446="",H446=""),"",F446*H446)</f>
        <v/>
      </c>
      <c r="J446" s="83" t="str">
        <f aca="false">IF(D446="","",IFERROR(INDEX(식자재단가!$M$4:$M$203,MATCH(D446,식자재단가!$C$4:$C$203,0)),"과세"))</f>
        <v/>
      </c>
      <c r="K446" s="28" t="str">
        <f aca="false">IF(I446="","",IF(J446="과세",ROUND(I446*0.1,0),0))</f>
        <v/>
      </c>
      <c r="L446" s="28" t="str">
        <f aca="false">IF(I446="","",I446+K446)</f>
        <v/>
      </c>
      <c r="M446" s="10"/>
      <c r="N446" s="80"/>
      <c r="O446" s="80"/>
      <c r="P446" s="59" t="str">
        <f aca="false">IF(E446="","",IFERROR(INDEX(기본설정!$H$4:$H$14,MATCH(E446,기본설정!$G$4:$G$14,0)),""))</f>
        <v/>
      </c>
    </row>
    <row r="447" customFormat="false" ht="15" hidden="false" customHeight="false" outlineLevel="0" collapsed="false">
      <c r="A447" s="73"/>
      <c r="B447" s="10"/>
      <c r="C447" s="80"/>
      <c r="D447" s="80"/>
      <c r="E447" s="81" t="str">
        <f aca="false">IF(D447="","",IFERROR(INDEX(식자재단가!$B$4:$B$203,MATCH(D447,식자재단가!$C$4:$C$203,0)),""))</f>
        <v/>
      </c>
      <c r="F447" s="76"/>
      <c r="G447" s="59" t="str">
        <f aca="false">IF(D447="","",IFERROR(INDEX(식자재단가!$F$4:$F$203,MATCH(D447,식자재단가!$C$4:$C$203,0)),""))</f>
        <v/>
      </c>
      <c r="H447" s="50"/>
      <c r="I447" s="82" t="str">
        <f aca="false">IF(OR(F447="",H447=""),"",F447*H447)</f>
        <v/>
      </c>
      <c r="J447" s="83" t="str">
        <f aca="false">IF(D447="","",IFERROR(INDEX(식자재단가!$M$4:$M$203,MATCH(D447,식자재단가!$C$4:$C$203,0)),"과세"))</f>
        <v/>
      </c>
      <c r="K447" s="28" t="str">
        <f aca="false">IF(I447="","",IF(J447="과세",ROUND(I447*0.1,0),0))</f>
        <v/>
      </c>
      <c r="L447" s="28" t="str">
        <f aca="false">IF(I447="","",I447+K447)</f>
        <v/>
      </c>
      <c r="M447" s="10"/>
      <c r="N447" s="80"/>
      <c r="O447" s="80"/>
      <c r="P447" s="59" t="str">
        <f aca="false">IF(E447="","",IFERROR(INDEX(기본설정!$H$4:$H$14,MATCH(E447,기본설정!$G$4:$G$14,0)),""))</f>
        <v/>
      </c>
    </row>
    <row r="448" customFormat="false" ht="15" hidden="false" customHeight="false" outlineLevel="0" collapsed="false">
      <c r="A448" s="73"/>
      <c r="B448" s="10"/>
      <c r="C448" s="80"/>
      <c r="D448" s="80"/>
      <c r="E448" s="81" t="str">
        <f aca="false">IF(D448="","",IFERROR(INDEX(식자재단가!$B$4:$B$203,MATCH(D448,식자재단가!$C$4:$C$203,0)),""))</f>
        <v/>
      </c>
      <c r="F448" s="76"/>
      <c r="G448" s="59" t="str">
        <f aca="false">IF(D448="","",IFERROR(INDEX(식자재단가!$F$4:$F$203,MATCH(D448,식자재단가!$C$4:$C$203,0)),""))</f>
        <v/>
      </c>
      <c r="H448" s="50"/>
      <c r="I448" s="82" t="str">
        <f aca="false">IF(OR(F448="",H448=""),"",F448*H448)</f>
        <v/>
      </c>
      <c r="J448" s="83" t="str">
        <f aca="false">IF(D448="","",IFERROR(INDEX(식자재단가!$M$4:$M$203,MATCH(D448,식자재단가!$C$4:$C$203,0)),"과세"))</f>
        <v/>
      </c>
      <c r="K448" s="28" t="str">
        <f aca="false">IF(I448="","",IF(J448="과세",ROUND(I448*0.1,0),0))</f>
        <v/>
      </c>
      <c r="L448" s="28" t="str">
        <f aca="false">IF(I448="","",I448+K448)</f>
        <v/>
      </c>
      <c r="M448" s="10"/>
      <c r="N448" s="80"/>
      <c r="O448" s="80"/>
      <c r="P448" s="59" t="str">
        <f aca="false">IF(E448="","",IFERROR(INDEX(기본설정!$H$4:$H$14,MATCH(E448,기본설정!$G$4:$G$14,0)),""))</f>
        <v/>
      </c>
    </row>
    <row r="449" customFormat="false" ht="15" hidden="false" customHeight="false" outlineLevel="0" collapsed="false">
      <c r="A449" s="73"/>
      <c r="B449" s="10"/>
      <c r="C449" s="80"/>
      <c r="D449" s="80"/>
      <c r="E449" s="81" t="str">
        <f aca="false">IF(D449="","",IFERROR(INDEX(식자재단가!$B$4:$B$203,MATCH(D449,식자재단가!$C$4:$C$203,0)),""))</f>
        <v/>
      </c>
      <c r="F449" s="76"/>
      <c r="G449" s="59" t="str">
        <f aca="false">IF(D449="","",IFERROR(INDEX(식자재단가!$F$4:$F$203,MATCH(D449,식자재단가!$C$4:$C$203,0)),""))</f>
        <v/>
      </c>
      <c r="H449" s="50"/>
      <c r="I449" s="82" t="str">
        <f aca="false">IF(OR(F449="",H449=""),"",F449*H449)</f>
        <v/>
      </c>
      <c r="J449" s="83" t="str">
        <f aca="false">IF(D449="","",IFERROR(INDEX(식자재단가!$M$4:$M$203,MATCH(D449,식자재단가!$C$4:$C$203,0)),"과세"))</f>
        <v/>
      </c>
      <c r="K449" s="28" t="str">
        <f aca="false">IF(I449="","",IF(J449="과세",ROUND(I449*0.1,0),0))</f>
        <v/>
      </c>
      <c r="L449" s="28" t="str">
        <f aca="false">IF(I449="","",I449+K449)</f>
        <v/>
      </c>
      <c r="M449" s="10"/>
      <c r="N449" s="80"/>
      <c r="O449" s="80"/>
      <c r="P449" s="59" t="str">
        <f aca="false">IF(E449="","",IFERROR(INDEX(기본설정!$H$4:$H$14,MATCH(E449,기본설정!$G$4:$G$14,0)),""))</f>
        <v/>
      </c>
    </row>
    <row r="450" customFormat="false" ht="15" hidden="false" customHeight="false" outlineLevel="0" collapsed="false">
      <c r="A450" s="73"/>
      <c r="B450" s="10"/>
      <c r="C450" s="80"/>
      <c r="D450" s="80"/>
      <c r="E450" s="81" t="str">
        <f aca="false">IF(D450="","",IFERROR(INDEX(식자재단가!$B$4:$B$203,MATCH(D450,식자재단가!$C$4:$C$203,0)),""))</f>
        <v/>
      </c>
      <c r="F450" s="76"/>
      <c r="G450" s="59" t="str">
        <f aca="false">IF(D450="","",IFERROR(INDEX(식자재단가!$F$4:$F$203,MATCH(D450,식자재단가!$C$4:$C$203,0)),""))</f>
        <v/>
      </c>
      <c r="H450" s="50"/>
      <c r="I450" s="82" t="str">
        <f aca="false">IF(OR(F450="",H450=""),"",F450*H450)</f>
        <v/>
      </c>
      <c r="J450" s="83" t="str">
        <f aca="false">IF(D450="","",IFERROR(INDEX(식자재단가!$M$4:$M$203,MATCH(D450,식자재단가!$C$4:$C$203,0)),"과세"))</f>
        <v/>
      </c>
      <c r="K450" s="28" t="str">
        <f aca="false">IF(I450="","",IF(J450="과세",ROUND(I450*0.1,0),0))</f>
        <v/>
      </c>
      <c r="L450" s="28" t="str">
        <f aca="false">IF(I450="","",I450+K450)</f>
        <v/>
      </c>
      <c r="M450" s="10"/>
      <c r="N450" s="80"/>
      <c r="O450" s="80"/>
      <c r="P450" s="59" t="str">
        <f aca="false">IF(E450="","",IFERROR(INDEX(기본설정!$H$4:$H$14,MATCH(E450,기본설정!$G$4:$G$14,0)),""))</f>
        <v/>
      </c>
    </row>
    <row r="451" customFormat="false" ht="15" hidden="false" customHeight="false" outlineLevel="0" collapsed="false">
      <c r="A451" s="73"/>
      <c r="B451" s="10"/>
      <c r="C451" s="80"/>
      <c r="D451" s="80"/>
      <c r="E451" s="81" t="str">
        <f aca="false">IF(D451="","",IFERROR(INDEX(식자재단가!$B$4:$B$203,MATCH(D451,식자재단가!$C$4:$C$203,0)),""))</f>
        <v/>
      </c>
      <c r="F451" s="76"/>
      <c r="G451" s="59" t="str">
        <f aca="false">IF(D451="","",IFERROR(INDEX(식자재단가!$F$4:$F$203,MATCH(D451,식자재단가!$C$4:$C$203,0)),""))</f>
        <v/>
      </c>
      <c r="H451" s="50"/>
      <c r="I451" s="82" t="str">
        <f aca="false">IF(OR(F451="",H451=""),"",F451*H451)</f>
        <v/>
      </c>
      <c r="J451" s="83" t="str">
        <f aca="false">IF(D451="","",IFERROR(INDEX(식자재단가!$M$4:$M$203,MATCH(D451,식자재단가!$C$4:$C$203,0)),"과세"))</f>
        <v/>
      </c>
      <c r="K451" s="28" t="str">
        <f aca="false">IF(I451="","",IF(J451="과세",ROUND(I451*0.1,0),0))</f>
        <v/>
      </c>
      <c r="L451" s="28" t="str">
        <f aca="false">IF(I451="","",I451+K451)</f>
        <v/>
      </c>
      <c r="M451" s="10"/>
      <c r="N451" s="80"/>
      <c r="O451" s="80"/>
      <c r="P451" s="59" t="str">
        <f aca="false">IF(E451="","",IFERROR(INDEX(기본설정!$H$4:$H$14,MATCH(E451,기본설정!$G$4:$G$14,0)),""))</f>
        <v/>
      </c>
    </row>
    <row r="452" customFormat="false" ht="15" hidden="false" customHeight="false" outlineLevel="0" collapsed="false">
      <c r="A452" s="73"/>
      <c r="B452" s="10"/>
      <c r="C452" s="80"/>
      <c r="D452" s="80"/>
      <c r="E452" s="81" t="str">
        <f aca="false">IF(D452="","",IFERROR(INDEX(식자재단가!$B$4:$B$203,MATCH(D452,식자재단가!$C$4:$C$203,0)),""))</f>
        <v/>
      </c>
      <c r="F452" s="76"/>
      <c r="G452" s="59" t="str">
        <f aca="false">IF(D452="","",IFERROR(INDEX(식자재단가!$F$4:$F$203,MATCH(D452,식자재단가!$C$4:$C$203,0)),""))</f>
        <v/>
      </c>
      <c r="H452" s="50"/>
      <c r="I452" s="82" t="str">
        <f aca="false">IF(OR(F452="",H452=""),"",F452*H452)</f>
        <v/>
      </c>
      <c r="J452" s="83" t="str">
        <f aca="false">IF(D452="","",IFERROR(INDEX(식자재단가!$M$4:$M$203,MATCH(D452,식자재단가!$C$4:$C$203,0)),"과세"))</f>
        <v/>
      </c>
      <c r="K452" s="28" t="str">
        <f aca="false">IF(I452="","",IF(J452="과세",ROUND(I452*0.1,0),0))</f>
        <v/>
      </c>
      <c r="L452" s="28" t="str">
        <f aca="false">IF(I452="","",I452+K452)</f>
        <v/>
      </c>
      <c r="M452" s="10"/>
      <c r="N452" s="80"/>
      <c r="O452" s="80"/>
      <c r="P452" s="59" t="str">
        <f aca="false">IF(E452="","",IFERROR(INDEX(기본설정!$H$4:$H$14,MATCH(E452,기본설정!$G$4:$G$14,0)),""))</f>
        <v/>
      </c>
    </row>
    <row r="453" customFormat="false" ht="15" hidden="false" customHeight="false" outlineLevel="0" collapsed="false">
      <c r="A453" s="73"/>
      <c r="B453" s="10"/>
      <c r="C453" s="80"/>
      <c r="D453" s="80"/>
      <c r="E453" s="81" t="str">
        <f aca="false">IF(D453="","",IFERROR(INDEX(식자재단가!$B$4:$B$203,MATCH(D453,식자재단가!$C$4:$C$203,0)),""))</f>
        <v/>
      </c>
      <c r="F453" s="76"/>
      <c r="G453" s="59" t="str">
        <f aca="false">IF(D453="","",IFERROR(INDEX(식자재단가!$F$4:$F$203,MATCH(D453,식자재단가!$C$4:$C$203,0)),""))</f>
        <v/>
      </c>
      <c r="H453" s="50"/>
      <c r="I453" s="82" t="str">
        <f aca="false">IF(OR(F453="",H453=""),"",F453*H453)</f>
        <v/>
      </c>
      <c r="J453" s="83" t="str">
        <f aca="false">IF(D453="","",IFERROR(INDEX(식자재단가!$M$4:$M$203,MATCH(D453,식자재단가!$C$4:$C$203,0)),"과세"))</f>
        <v/>
      </c>
      <c r="K453" s="28" t="str">
        <f aca="false">IF(I453="","",IF(J453="과세",ROUND(I453*0.1,0),0))</f>
        <v/>
      </c>
      <c r="L453" s="28" t="str">
        <f aca="false">IF(I453="","",I453+K453)</f>
        <v/>
      </c>
      <c r="M453" s="10"/>
      <c r="N453" s="80"/>
      <c r="O453" s="80"/>
      <c r="P453" s="59" t="str">
        <f aca="false">IF(E453="","",IFERROR(INDEX(기본설정!$H$4:$H$14,MATCH(E453,기본설정!$G$4:$G$14,0)),""))</f>
        <v/>
      </c>
    </row>
    <row r="454" customFormat="false" ht="15" hidden="false" customHeight="false" outlineLevel="0" collapsed="false">
      <c r="A454" s="73"/>
      <c r="B454" s="10"/>
      <c r="C454" s="80"/>
      <c r="D454" s="80"/>
      <c r="E454" s="81" t="str">
        <f aca="false">IF(D454="","",IFERROR(INDEX(식자재단가!$B$4:$B$203,MATCH(D454,식자재단가!$C$4:$C$203,0)),""))</f>
        <v/>
      </c>
      <c r="F454" s="76"/>
      <c r="G454" s="59" t="str">
        <f aca="false">IF(D454="","",IFERROR(INDEX(식자재단가!$F$4:$F$203,MATCH(D454,식자재단가!$C$4:$C$203,0)),""))</f>
        <v/>
      </c>
      <c r="H454" s="50"/>
      <c r="I454" s="82" t="str">
        <f aca="false">IF(OR(F454="",H454=""),"",F454*H454)</f>
        <v/>
      </c>
      <c r="J454" s="83" t="str">
        <f aca="false">IF(D454="","",IFERROR(INDEX(식자재단가!$M$4:$M$203,MATCH(D454,식자재단가!$C$4:$C$203,0)),"과세"))</f>
        <v/>
      </c>
      <c r="K454" s="28" t="str">
        <f aca="false">IF(I454="","",IF(J454="과세",ROUND(I454*0.1,0),0))</f>
        <v/>
      </c>
      <c r="L454" s="28" t="str">
        <f aca="false">IF(I454="","",I454+K454)</f>
        <v/>
      </c>
      <c r="M454" s="10"/>
      <c r="N454" s="80"/>
      <c r="O454" s="80"/>
      <c r="P454" s="59" t="str">
        <f aca="false">IF(E454="","",IFERROR(INDEX(기본설정!$H$4:$H$14,MATCH(E454,기본설정!$G$4:$G$14,0)),""))</f>
        <v/>
      </c>
    </row>
    <row r="455" customFormat="false" ht="15" hidden="false" customHeight="false" outlineLevel="0" collapsed="false">
      <c r="A455" s="73"/>
      <c r="B455" s="10"/>
      <c r="C455" s="80"/>
      <c r="D455" s="80"/>
      <c r="E455" s="81" t="str">
        <f aca="false">IF(D455="","",IFERROR(INDEX(식자재단가!$B$4:$B$203,MATCH(D455,식자재단가!$C$4:$C$203,0)),""))</f>
        <v/>
      </c>
      <c r="F455" s="76"/>
      <c r="G455" s="59" t="str">
        <f aca="false">IF(D455="","",IFERROR(INDEX(식자재단가!$F$4:$F$203,MATCH(D455,식자재단가!$C$4:$C$203,0)),""))</f>
        <v/>
      </c>
      <c r="H455" s="50"/>
      <c r="I455" s="82" t="str">
        <f aca="false">IF(OR(F455="",H455=""),"",F455*H455)</f>
        <v/>
      </c>
      <c r="J455" s="83" t="str">
        <f aca="false">IF(D455="","",IFERROR(INDEX(식자재단가!$M$4:$M$203,MATCH(D455,식자재단가!$C$4:$C$203,0)),"과세"))</f>
        <v/>
      </c>
      <c r="K455" s="28" t="str">
        <f aca="false">IF(I455="","",IF(J455="과세",ROUND(I455*0.1,0),0))</f>
        <v/>
      </c>
      <c r="L455" s="28" t="str">
        <f aca="false">IF(I455="","",I455+K455)</f>
        <v/>
      </c>
      <c r="M455" s="10"/>
      <c r="N455" s="80"/>
      <c r="O455" s="80"/>
      <c r="P455" s="59" t="str">
        <f aca="false">IF(E455="","",IFERROR(INDEX(기본설정!$H$4:$H$14,MATCH(E455,기본설정!$G$4:$G$14,0)),""))</f>
        <v/>
      </c>
    </row>
    <row r="456" customFormat="false" ht="15" hidden="false" customHeight="false" outlineLevel="0" collapsed="false">
      <c r="A456" s="73"/>
      <c r="B456" s="10"/>
      <c r="C456" s="80"/>
      <c r="D456" s="80"/>
      <c r="E456" s="81" t="str">
        <f aca="false">IF(D456="","",IFERROR(INDEX(식자재단가!$B$4:$B$203,MATCH(D456,식자재단가!$C$4:$C$203,0)),""))</f>
        <v/>
      </c>
      <c r="F456" s="76"/>
      <c r="G456" s="59" t="str">
        <f aca="false">IF(D456="","",IFERROR(INDEX(식자재단가!$F$4:$F$203,MATCH(D456,식자재단가!$C$4:$C$203,0)),""))</f>
        <v/>
      </c>
      <c r="H456" s="50"/>
      <c r="I456" s="82" t="str">
        <f aca="false">IF(OR(F456="",H456=""),"",F456*H456)</f>
        <v/>
      </c>
      <c r="J456" s="83" t="str">
        <f aca="false">IF(D456="","",IFERROR(INDEX(식자재단가!$M$4:$M$203,MATCH(D456,식자재단가!$C$4:$C$203,0)),"과세"))</f>
        <v/>
      </c>
      <c r="K456" s="28" t="str">
        <f aca="false">IF(I456="","",IF(J456="과세",ROUND(I456*0.1,0),0))</f>
        <v/>
      </c>
      <c r="L456" s="28" t="str">
        <f aca="false">IF(I456="","",I456+K456)</f>
        <v/>
      </c>
      <c r="M456" s="10"/>
      <c r="N456" s="80"/>
      <c r="O456" s="80"/>
      <c r="P456" s="59" t="str">
        <f aca="false">IF(E456="","",IFERROR(INDEX(기본설정!$H$4:$H$14,MATCH(E456,기본설정!$G$4:$G$14,0)),""))</f>
        <v/>
      </c>
    </row>
    <row r="457" customFormat="false" ht="15" hidden="false" customHeight="false" outlineLevel="0" collapsed="false">
      <c r="A457" s="73"/>
      <c r="B457" s="10"/>
      <c r="C457" s="80"/>
      <c r="D457" s="80"/>
      <c r="E457" s="81" t="str">
        <f aca="false">IF(D457="","",IFERROR(INDEX(식자재단가!$B$4:$B$203,MATCH(D457,식자재단가!$C$4:$C$203,0)),""))</f>
        <v/>
      </c>
      <c r="F457" s="76"/>
      <c r="G457" s="59" t="str">
        <f aca="false">IF(D457="","",IFERROR(INDEX(식자재단가!$F$4:$F$203,MATCH(D457,식자재단가!$C$4:$C$203,0)),""))</f>
        <v/>
      </c>
      <c r="H457" s="50"/>
      <c r="I457" s="82" t="str">
        <f aca="false">IF(OR(F457="",H457=""),"",F457*H457)</f>
        <v/>
      </c>
      <c r="J457" s="83" t="str">
        <f aca="false">IF(D457="","",IFERROR(INDEX(식자재단가!$M$4:$M$203,MATCH(D457,식자재단가!$C$4:$C$203,0)),"과세"))</f>
        <v/>
      </c>
      <c r="K457" s="28" t="str">
        <f aca="false">IF(I457="","",IF(J457="과세",ROUND(I457*0.1,0),0))</f>
        <v/>
      </c>
      <c r="L457" s="28" t="str">
        <f aca="false">IF(I457="","",I457+K457)</f>
        <v/>
      </c>
      <c r="M457" s="10"/>
      <c r="N457" s="80"/>
      <c r="O457" s="80"/>
      <c r="P457" s="59" t="str">
        <f aca="false">IF(E457="","",IFERROR(INDEX(기본설정!$H$4:$H$14,MATCH(E457,기본설정!$G$4:$G$14,0)),""))</f>
        <v/>
      </c>
    </row>
    <row r="458" customFormat="false" ht="15" hidden="false" customHeight="false" outlineLevel="0" collapsed="false">
      <c r="A458" s="73"/>
      <c r="B458" s="10"/>
      <c r="C458" s="80"/>
      <c r="D458" s="80"/>
      <c r="E458" s="81" t="str">
        <f aca="false">IF(D458="","",IFERROR(INDEX(식자재단가!$B$4:$B$203,MATCH(D458,식자재단가!$C$4:$C$203,0)),""))</f>
        <v/>
      </c>
      <c r="F458" s="76"/>
      <c r="G458" s="59" t="str">
        <f aca="false">IF(D458="","",IFERROR(INDEX(식자재단가!$F$4:$F$203,MATCH(D458,식자재단가!$C$4:$C$203,0)),""))</f>
        <v/>
      </c>
      <c r="H458" s="50"/>
      <c r="I458" s="82" t="str">
        <f aca="false">IF(OR(F458="",H458=""),"",F458*H458)</f>
        <v/>
      </c>
      <c r="J458" s="83" t="str">
        <f aca="false">IF(D458="","",IFERROR(INDEX(식자재단가!$M$4:$M$203,MATCH(D458,식자재단가!$C$4:$C$203,0)),"과세"))</f>
        <v/>
      </c>
      <c r="K458" s="28" t="str">
        <f aca="false">IF(I458="","",IF(J458="과세",ROUND(I458*0.1,0),0))</f>
        <v/>
      </c>
      <c r="L458" s="28" t="str">
        <f aca="false">IF(I458="","",I458+K458)</f>
        <v/>
      </c>
      <c r="M458" s="10"/>
      <c r="N458" s="80"/>
      <c r="O458" s="80"/>
      <c r="P458" s="59" t="str">
        <f aca="false">IF(E458="","",IFERROR(INDEX(기본설정!$H$4:$H$14,MATCH(E458,기본설정!$G$4:$G$14,0)),""))</f>
        <v/>
      </c>
    </row>
    <row r="459" customFormat="false" ht="15" hidden="false" customHeight="false" outlineLevel="0" collapsed="false">
      <c r="A459" s="73"/>
      <c r="B459" s="10"/>
      <c r="C459" s="80"/>
      <c r="D459" s="80"/>
      <c r="E459" s="81" t="str">
        <f aca="false">IF(D459="","",IFERROR(INDEX(식자재단가!$B$4:$B$203,MATCH(D459,식자재단가!$C$4:$C$203,0)),""))</f>
        <v/>
      </c>
      <c r="F459" s="76"/>
      <c r="G459" s="59" t="str">
        <f aca="false">IF(D459="","",IFERROR(INDEX(식자재단가!$F$4:$F$203,MATCH(D459,식자재단가!$C$4:$C$203,0)),""))</f>
        <v/>
      </c>
      <c r="H459" s="50"/>
      <c r="I459" s="82" t="str">
        <f aca="false">IF(OR(F459="",H459=""),"",F459*H459)</f>
        <v/>
      </c>
      <c r="J459" s="83" t="str">
        <f aca="false">IF(D459="","",IFERROR(INDEX(식자재단가!$M$4:$M$203,MATCH(D459,식자재단가!$C$4:$C$203,0)),"과세"))</f>
        <v/>
      </c>
      <c r="K459" s="28" t="str">
        <f aca="false">IF(I459="","",IF(J459="과세",ROUND(I459*0.1,0),0))</f>
        <v/>
      </c>
      <c r="L459" s="28" t="str">
        <f aca="false">IF(I459="","",I459+K459)</f>
        <v/>
      </c>
      <c r="M459" s="10"/>
      <c r="N459" s="80"/>
      <c r="O459" s="80"/>
      <c r="P459" s="59" t="str">
        <f aca="false">IF(E459="","",IFERROR(INDEX(기본설정!$H$4:$H$14,MATCH(E459,기본설정!$G$4:$G$14,0)),""))</f>
        <v/>
      </c>
    </row>
    <row r="460" customFormat="false" ht="15" hidden="false" customHeight="false" outlineLevel="0" collapsed="false">
      <c r="A460" s="73"/>
      <c r="B460" s="10"/>
      <c r="C460" s="80"/>
      <c r="D460" s="80"/>
      <c r="E460" s="81" t="str">
        <f aca="false">IF(D460="","",IFERROR(INDEX(식자재단가!$B$4:$B$203,MATCH(D460,식자재단가!$C$4:$C$203,0)),""))</f>
        <v/>
      </c>
      <c r="F460" s="76"/>
      <c r="G460" s="59" t="str">
        <f aca="false">IF(D460="","",IFERROR(INDEX(식자재단가!$F$4:$F$203,MATCH(D460,식자재단가!$C$4:$C$203,0)),""))</f>
        <v/>
      </c>
      <c r="H460" s="50"/>
      <c r="I460" s="82" t="str">
        <f aca="false">IF(OR(F460="",H460=""),"",F460*H460)</f>
        <v/>
      </c>
      <c r="J460" s="83" t="str">
        <f aca="false">IF(D460="","",IFERROR(INDEX(식자재단가!$M$4:$M$203,MATCH(D460,식자재단가!$C$4:$C$203,0)),"과세"))</f>
        <v/>
      </c>
      <c r="K460" s="28" t="str">
        <f aca="false">IF(I460="","",IF(J460="과세",ROUND(I460*0.1,0),0))</f>
        <v/>
      </c>
      <c r="L460" s="28" t="str">
        <f aca="false">IF(I460="","",I460+K460)</f>
        <v/>
      </c>
      <c r="M460" s="10"/>
      <c r="N460" s="80"/>
      <c r="O460" s="80"/>
      <c r="P460" s="59" t="str">
        <f aca="false">IF(E460="","",IFERROR(INDEX(기본설정!$H$4:$H$14,MATCH(E460,기본설정!$G$4:$G$14,0)),""))</f>
        <v/>
      </c>
    </row>
    <row r="461" customFormat="false" ht="15" hidden="false" customHeight="false" outlineLevel="0" collapsed="false">
      <c r="A461" s="73"/>
      <c r="B461" s="10"/>
      <c r="C461" s="80"/>
      <c r="D461" s="80"/>
      <c r="E461" s="81" t="str">
        <f aca="false">IF(D461="","",IFERROR(INDEX(식자재단가!$B$4:$B$203,MATCH(D461,식자재단가!$C$4:$C$203,0)),""))</f>
        <v/>
      </c>
      <c r="F461" s="76"/>
      <c r="G461" s="59" t="str">
        <f aca="false">IF(D461="","",IFERROR(INDEX(식자재단가!$F$4:$F$203,MATCH(D461,식자재단가!$C$4:$C$203,0)),""))</f>
        <v/>
      </c>
      <c r="H461" s="50"/>
      <c r="I461" s="82" t="str">
        <f aca="false">IF(OR(F461="",H461=""),"",F461*H461)</f>
        <v/>
      </c>
      <c r="J461" s="83" t="str">
        <f aca="false">IF(D461="","",IFERROR(INDEX(식자재단가!$M$4:$M$203,MATCH(D461,식자재단가!$C$4:$C$203,0)),"과세"))</f>
        <v/>
      </c>
      <c r="K461" s="28" t="str">
        <f aca="false">IF(I461="","",IF(J461="과세",ROUND(I461*0.1,0),0))</f>
        <v/>
      </c>
      <c r="L461" s="28" t="str">
        <f aca="false">IF(I461="","",I461+K461)</f>
        <v/>
      </c>
      <c r="M461" s="10"/>
      <c r="N461" s="80"/>
      <c r="O461" s="80"/>
      <c r="P461" s="59" t="str">
        <f aca="false">IF(E461="","",IFERROR(INDEX(기본설정!$H$4:$H$14,MATCH(E461,기본설정!$G$4:$G$14,0)),""))</f>
        <v/>
      </c>
    </row>
    <row r="462" customFormat="false" ht="15" hidden="false" customHeight="false" outlineLevel="0" collapsed="false">
      <c r="A462" s="73"/>
      <c r="B462" s="10"/>
      <c r="C462" s="80"/>
      <c r="D462" s="80"/>
      <c r="E462" s="81" t="str">
        <f aca="false">IF(D462="","",IFERROR(INDEX(식자재단가!$B$4:$B$203,MATCH(D462,식자재단가!$C$4:$C$203,0)),""))</f>
        <v/>
      </c>
      <c r="F462" s="76"/>
      <c r="G462" s="59" t="str">
        <f aca="false">IF(D462="","",IFERROR(INDEX(식자재단가!$F$4:$F$203,MATCH(D462,식자재단가!$C$4:$C$203,0)),""))</f>
        <v/>
      </c>
      <c r="H462" s="50"/>
      <c r="I462" s="82" t="str">
        <f aca="false">IF(OR(F462="",H462=""),"",F462*H462)</f>
        <v/>
      </c>
      <c r="J462" s="83" t="str">
        <f aca="false">IF(D462="","",IFERROR(INDEX(식자재단가!$M$4:$M$203,MATCH(D462,식자재단가!$C$4:$C$203,0)),"과세"))</f>
        <v/>
      </c>
      <c r="K462" s="28" t="str">
        <f aca="false">IF(I462="","",IF(J462="과세",ROUND(I462*0.1,0),0))</f>
        <v/>
      </c>
      <c r="L462" s="28" t="str">
        <f aca="false">IF(I462="","",I462+K462)</f>
        <v/>
      </c>
      <c r="M462" s="10"/>
      <c r="N462" s="80"/>
      <c r="O462" s="80"/>
      <c r="P462" s="59" t="str">
        <f aca="false">IF(E462="","",IFERROR(INDEX(기본설정!$H$4:$H$14,MATCH(E462,기본설정!$G$4:$G$14,0)),""))</f>
        <v/>
      </c>
    </row>
    <row r="463" customFormat="false" ht="15" hidden="false" customHeight="false" outlineLevel="0" collapsed="false">
      <c r="A463" s="73"/>
      <c r="B463" s="10"/>
      <c r="C463" s="80"/>
      <c r="D463" s="80"/>
      <c r="E463" s="81" t="str">
        <f aca="false">IF(D463="","",IFERROR(INDEX(식자재단가!$B$4:$B$203,MATCH(D463,식자재단가!$C$4:$C$203,0)),""))</f>
        <v/>
      </c>
      <c r="F463" s="76"/>
      <c r="G463" s="59" t="str">
        <f aca="false">IF(D463="","",IFERROR(INDEX(식자재단가!$F$4:$F$203,MATCH(D463,식자재단가!$C$4:$C$203,0)),""))</f>
        <v/>
      </c>
      <c r="H463" s="50"/>
      <c r="I463" s="82" t="str">
        <f aca="false">IF(OR(F463="",H463=""),"",F463*H463)</f>
        <v/>
      </c>
      <c r="J463" s="83" t="str">
        <f aca="false">IF(D463="","",IFERROR(INDEX(식자재단가!$M$4:$M$203,MATCH(D463,식자재단가!$C$4:$C$203,0)),"과세"))</f>
        <v/>
      </c>
      <c r="K463" s="28" t="str">
        <f aca="false">IF(I463="","",IF(J463="과세",ROUND(I463*0.1,0),0))</f>
        <v/>
      </c>
      <c r="L463" s="28" t="str">
        <f aca="false">IF(I463="","",I463+K463)</f>
        <v/>
      </c>
      <c r="M463" s="10"/>
      <c r="N463" s="80"/>
      <c r="O463" s="80"/>
      <c r="P463" s="59" t="str">
        <f aca="false">IF(E463="","",IFERROR(INDEX(기본설정!$H$4:$H$14,MATCH(E463,기본설정!$G$4:$G$14,0)),""))</f>
        <v/>
      </c>
    </row>
    <row r="464" customFormat="false" ht="15" hidden="false" customHeight="false" outlineLevel="0" collapsed="false">
      <c r="A464" s="73"/>
      <c r="B464" s="10"/>
      <c r="C464" s="80"/>
      <c r="D464" s="80"/>
      <c r="E464" s="81" t="str">
        <f aca="false">IF(D464="","",IFERROR(INDEX(식자재단가!$B$4:$B$203,MATCH(D464,식자재단가!$C$4:$C$203,0)),""))</f>
        <v/>
      </c>
      <c r="F464" s="76"/>
      <c r="G464" s="59" t="str">
        <f aca="false">IF(D464="","",IFERROR(INDEX(식자재단가!$F$4:$F$203,MATCH(D464,식자재단가!$C$4:$C$203,0)),""))</f>
        <v/>
      </c>
      <c r="H464" s="50"/>
      <c r="I464" s="82" t="str">
        <f aca="false">IF(OR(F464="",H464=""),"",F464*H464)</f>
        <v/>
      </c>
      <c r="J464" s="83" t="str">
        <f aca="false">IF(D464="","",IFERROR(INDEX(식자재단가!$M$4:$M$203,MATCH(D464,식자재단가!$C$4:$C$203,0)),"과세"))</f>
        <v/>
      </c>
      <c r="K464" s="28" t="str">
        <f aca="false">IF(I464="","",IF(J464="과세",ROUND(I464*0.1,0),0))</f>
        <v/>
      </c>
      <c r="L464" s="28" t="str">
        <f aca="false">IF(I464="","",I464+K464)</f>
        <v/>
      </c>
      <c r="M464" s="10"/>
      <c r="N464" s="80"/>
      <c r="O464" s="80"/>
      <c r="P464" s="59" t="str">
        <f aca="false">IF(E464="","",IFERROR(INDEX(기본설정!$H$4:$H$14,MATCH(E464,기본설정!$G$4:$G$14,0)),""))</f>
        <v/>
      </c>
    </row>
    <row r="465" customFormat="false" ht="15" hidden="false" customHeight="false" outlineLevel="0" collapsed="false">
      <c r="A465" s="73"/>
      <c r="B465" s="10"/>
      <c r="C465" s="80"/>
      <c r="D465" s="80"/>
      <c r="E465" s="81" t="str">
        <f aca="false">IF(D465="","",IFERROR(INDEX(식자재단가!$B$4:$B$203,MATCH(D465,식자재단가!$C$4:$C$203,0)),""))</f>
        <v/>
      </c>
      <c r="F465" s="76"/>
      <c r="G465" s="59" t="str">
        <f aca="false">IF(D465="","",IFERROR(INDEX(식자재단가!$F$4:$F$203,MATCH(D465,식자재단가!$C$4:$C$203,0)),""))</f>
        <v/>
      </c>
      <c r="H465" s="50"/>
      <c r="I465" s="82" t="str">
        <f aca="false">IF(OR(F465="",H465=""),"",F465*H465)</f>
        <v/>
      </c>
      <c r="J465" s="83" t="str">
        <f aca="false">IF(D465="","",IFERROR(INDEX(식자재단가!$M$4:$M$203,MATCH(D465,식자재단가!$C$4:$C$203,0)),"과세"))</f>
        <v/>
      </c>
      <c r="K465" s="28" t="str">
        <f aca="false">IF(I465="","",IF(J465="과세",ROUND(I465*0.1,0),0))</f>
        <v/>
      </c>
      <c r="L465" s="28" t="str">
        <f aca="false">IF(I465="","",I465+K465)</f>
        <v/>
      </c>
      <c r="M465" s="10"/>
      <c r="N465" s="80"/>
      <c r="O465" s="80"/>
      <c r="P465" s="59" t="str">
        <f aca="false">IF(E465="","",IFERROR(INDEX(기본설정!$H$4:$H$14,MATCH(E465,기본설정!$G$4:$G$14,0)),""))</f>
        <v/>
      </c>
    </row>
    <row r="466" customFormat="false" ht="15" hidden="false" customHeight="false" outlineLevel="0" collapsed="false">
      <c r="A466" s="73"/>
      <c r="B466" s="10"/>
      <c r="C466" s="80"/>
      <c r="D466" s="80"/>
      <c r="E466" s="81" t="str">
        <f aca="false">IF(D466="","",IFERROR(INDEX(식자재단가!$B$4:$B$203,MATCH(D466,식자재단가!$C$4:$C$203,0)),""))</f>
        <v/>
      </c>
      <c r="F466" s="76"/>
      <c r="G466" s="59" t="str">
        <f aca="false">IF(D466="","",IFERROR(INDEX(식자재단가!$F$4:$F$203,MATCH(D466,식자재단가!$C$4:$C$203,0)),""))</f>
        <v/>
      </c>
      <c r="H466" s="50"/>
      <c r="I466" s="82" t="str">
        <f aca="false">IF(OR(F466="",H466=""),"",F466*H466)</f>
        <v/>
      </c>
      <c r="J466" s="83" t="str">
        <f aca="false">IF(D466="","",IFERROR(INDEX(식자재단가!$M$4:$M$203,MATCH(D466,식자재단가!$C$4:$C$203,0)),"과세"))</f>
        <v/>
      </c>
      <c r="K466" s="28" t="str">
        <f aca="false">IF(I466="","",IF(J466="과세",ROUND(I466*0.1,0),0))</f>
        <v/>
      </c>
      <c r="L466" s="28" t="str">
        <f aca="false">IF(I466="","",I466+K466)</f>
        <v/>
      </c>
      <c r="M466" s="10"/>
      <c r="N466" s="80"/>
      <c r="O466" s="80"/>
      <c r="P466" s="59" t="str">
        <f aca="false">IF(E466="","",IFERROR(INDEX(기본설정!$H$4:$H$14,MATCH(E466,기본설정!$G$4:$G$14,0)),""))</f>
        <v/>
      </c>
    </row>
    <row r="467" customFormat="false" ht="15" hidden="false" customHeight="false" outlineLevel="0" collapsed="false">
      <c r="A467" s="73"/>
      <c r="B467" s="10"/>
      <c r="C467" s="80"/>
      <c r="D467" s="80"/>
      <c r="E467" s="81" t="str">
        <f aca="false">IF(D467="","",IFERROR(INDEX(식자재단가!$B$4:$B$203,MATCH(D467,식자재단가!$C$4:$C$203,0)),""))</f>
        <v/>
      </c>
      <c r="F467" s="76"/>
      <c r="G467" s="59" t="str">
        <f aca="false">IF(D467="","",IFERROR(INDEX(식자재단가!$F$4:$F$203,MATCH(D467,식자재단가!$C$4:$C$203,0)),""))</f>
        <v/>
      </c>
      <c r="H467" s="50"/>
      <c r="I467" s="82" t="str">
        <f aca="false">IF(OR(F467="",H467=""),"",F467*H467)</f>
        <v/>
      </c>
      <c r="J467" s="83" t="str">
        <f aca="false">IF(D467="","",IFERROR(INDEX(식자재단가!$M$4:$M$203,MATCH(D467,식자재단가!$C$4:$C$203,0)),"과세"))</f>
        <v/>
      </c>
      <c r="K467" s="28" t="str">
        <f aca="false">IF(I467="","",IF(J467="과세",ROUND(I467*0.1,0),0))</f>
        <v/>
      </c>
      <c r="L467" s="28" t="str">
        <f aca="false">IF(I467="","",I467+K467)</f>
        <v/>
      </c>
      <c r="M467" s="10"/>
      <c r="N467" s="80"/>
      <c r="O467" s="80"/>
      <c r="P467" s="59" t="str">
        <f aca="false">IF(E467="","",IFERROR(INDEX(기본설정!$H$4:$H$14,MATCH(E467,기본설정!$G$4:$G$14,0)),""))</f>
        <v/>
      </c>
    </row>
    <row r="468" customFormat="false" ht="15" hidden="false" customHeight="false" outlineLevel="0" collapsed="false">
      <c r="A468" s="73"/>
      <c r="B468" s="10"/>
      <c r="C468" s="80"/>
      <c r="D468" s="80"/>
      <c r="E468" s="81" t="str">
        <f aca="false">IF(D468="","",IFERROR(INDEX(식자재단가!$B$4:$B$203,MATCH(D468,식자재단가!$C$4:$C$203,0)),""))</f>
        <v/>
      </c>
      <c r="F468" s="76"/>
      <c r="G468" s="59" t="str">
        <f aca="false">IF(D468="","",IFERROR(INDEX(식자재단가!$F$4:$F$203,MATCH(D468,식자재단가!$C$4:$C$203,0)),""))</f>
        <v/>
      </c>
      <c r="H468" s="50"/>
      <c r="I468" s="82" t="str">
        <f aca="false">IF(OR(F468="",H468=""),"",F468*H468)</f>
        <v/>
      </c>
      <c r="J468" s="83" t="str">
        <f aca="false">IF(D468="","",IFERROR(INDEX(식자재단가!$M$4:$M$203,MATCH(D468,식자재단가!$C$4:$C$203,0)),"과세"))</f>
        <v/>
      </c>
      <c r="K468" s="28" t="str">
        <f aca="false">IF(I468="","",IF(J468="과세",ROUND(I468*0.1,0),0))</f>
        <v/>
      </c>
      <c r="L468" s="28" t="str">
        <f aca="false">IF(I468="","",I468+K468)</f>
        <v/>
      </c>
      <c r="M468" s="10"/>
      <c r="N468" s="80"/>
      <c r="O468" s="80"/>
      <c r="P468" s="59" t="str">
        <f aca="false">IF(E468="","",IFERROR(INDEX(기본설정!$H$4:$H$14,MATCH(E468,기본설정!$G$4:$G$14,0)),""))</f>
        <v/>
      </c>
    </row>
    <row r="469" customFormat="false" ht="15" hidden="false" customHeight="false" outlineLevel="0" collapsed="false">
      <c r="A469" s="73"/>
      <c r="B469" s="10"/>
      <c r="C469" s="80"/>
      <c r="D469" s="80"/>
      <c r="E469" s="81" t="str">
        <f aca="false">IF(D469="","",IFERROR(INDEX(식자재단가!$B$4:$B$203,MATCH(D469,식자재단가!$C$4:$C$203,0)),""))</f>
        <v/>
      </c>
      <c r="F469" s="76"/>
      <c r="G469" s="59" t="str">
        <f aca="false">IF(D469="","",IFERROR(INDEX(식자재단가!$F$4:$F$203,MATCH(D469,식자재단가!$C$4:$C$203,0)),""))</f>
        <v/>
      </c>
      <c r="H469" s="50"/>
      <c r="I469" s="82" t="str">
        <f aca="false">IF(OR(F469="",H469=""),"",F469*H469)</f>
        <v/>
      </c>
      <c r="J469" s="83" t="str">
        <f aca="false">IF(D469="","",IFERROR(INDEX(식자재단가!$M$4:$M$203,MATCH(D469,식자재단가!$C$4:$C$203,0)),"과세"))</f>
        <v/>
      </c>
      <c r="K469" s="28" t="str">
        <f aca="false">IF(I469="","",IF(J469="과세",ROUND(I469*0.1,0),0))</f>
        <v/>
      </c>
      <c r="L469" s="28" t="str">
        <f aca="false">IF(I469="","",I469+K469)</f>
        <v/>
      </c>
      <c r="M469" s="10"/>
      <c r="N469" s="80"/>
      <c r="O469" s="80"/>
      <c r="P469" s="59" t="str">
        <f aca="false">IF(E469="","",IFERROR(INDEX(기본설정!$H$4:$H$14,MATCH(E469,기본설정!$G$4:$G$14,0)),""))</f>
        <v/>
      </c>
    </row>
    <row r="470" customFormat="false" ht="15" hidden="false" customHeight="false" outlineLevel="0" collapsed="false">
      <c r="A470" s="73"/>
      <c r="B470" s="10"/>
      <c r="C470" s="80"/>
      <c r="D470" s="80"/>
      <c r="E470" s="81" t="str">
        <f aca="false">IF(D470="","",IFERROR(INDEX(식자재단가!$B$4:$B$203,MATCH(D470,식자재단가!$C$4:$C$203,0)),""))</f>
        <v/>
      </c>
      <c r="F470" s="76"/>
      <c r="G470" s="59" t="str">
        <f aca="false">IF(D470="","",IFERROR(INDEX(식자재단가!$F$4:$F$203,MATCH(D470,식자재단가!$C$4:$C$203,0)),""))</f>
        <v/>
      </c>
      <c r="H470" s="50"/>
      <c r="I470" s="82" t="str">
        <f aca="false">IF(OR(F470="",H470=""),"",F470*H470)</f>
        <v/>
      </c>
      <c r="J470" s="83" t="str">
        <f aca="false">IF(D470="","",IFERROR(INDEX(식자재단가!$M$4:$M$203,MATCH(D470,식자재단가!$C$4:$C$203,0)),"과세"))</f>
        <v/>
      </c>
      <c r="K470" s="28" t="str">
        <f aca="false">IF(I470="","",IF(J470="과세",ROUND(I470*0.1,0),0))</f>
        <v/>
      </c>
      <c r="L470" s="28" t="str">
        <f aca="false">IF(I470="","",I470+K470)</f>
        <v/>
      </c>
      <c r="M470" s="10"/>
      <c r="N470" s="80"/>
      <c r="O470" s="80"/>
      <c r="P470" s="59" t="str">
        <f aca="false">IF(E470="","",IFERROR(INDEX(기본설정!$H$4:$H$14,MATCH(E470,기본설정!$G$4:$G$14,0)),""))</f>
        <v/>
      </c>
    </row>
    <row r="471" customFormat="false" ht="15" hidden="false" customHeight="false" outlineLevel="0" collapsed="false">
      <c r="A471" s="73"/>
      <c r="B471" s="10"/>
      <c r="C471" s="80"/>
      <c r="D471" s="80"/>
      <c r="E471" s="81" t="str">
        <f aca="false">IF(D471="","",IFERROR(INDEX(식자재단가!$B$4:$B$203,MATCH(D471,식자재단가!$C$4:$C$203,0)),""))</f>
        <v/>
      </c>
      <c r="F471" s="76"/>
      <c r="G471" s="59" t="str">
        <f aca="false">IF(D471="","",IFERROR(INDEX(식자재단가!$F$4:$F$203,MATCH(D471,식자재단가!$C$4:$C$203,0)),""))</f>
        <v/>
      </c>
      <c r="H471" s="50"/>
      <c r="I471" s="82" t="str">
        <f aca="false">IF(OR(F471="",H471=""),"",F471*H471)</f>
        <v/>
      </c>
      <c r="J471" s="83" t="str">
        <f aca="false">IF(D471="","",IFERROR(INDEX(식자재단가!$M$4:$M$203,MATCH(D471,식자재단가!$C$4:$C$203,0)),"과세"))</f>
        <v/>
      </c>
      <c r="K471" s="28" t="str">
        <f aca="false">IF(I471="","",IF(J471="과세",ROUND(I471*0.1,0),0))</f>
        <v/>
      </c>
      <c r="L471" s="28" t="str">
        <f aca="false">IF(I471="","",I471+K471)</f>
        <v/>
      </c>
      <c r="M471" s="10"/>
      <c r="N471" s="80"/>
      <c r="O471" s="80"/>
      <c r="P471" s="59" t="str">
        <f aca="false">IF(E471="","",IFERROR(INDEX(기본설정!$H$4:$H$14,MATCH(E471,기본설정!$G$4:$G$14,0)),""))</f>
        <v/>
      </c>
    </row>
    <row r="472" customFormat="false" ht="15" hidden="false" customHeight="false" outlineLevel="0" collapsed="false">
      <c r="A472" s="73"/>
      <c r="B472" s="10"/>
      <c r="C472" s="80"/>
      <c r="D472" s="80"/>
      <c r="E472" s="81" t="str">
        <f aca="false">IF(D472="","",IFERROR(INDEX(식자재단가!$B$4:$B$203,MATCH(D472,식자재단가!$C$4:$C$203,0)),""))</f>
        <v/>
      </c>
      <c r="F472" s="76"/>
      <c r="G472" s="59" t="str">
        <f aca="false">IF(D472="","",IFERROR(INDEX(식자재단가!$F$4:$F$203,MATCH(D472,식자재단가!$C$4:$C$203,0)),""))</f>
        <v/>
      </c>
      <c r="H472" s="50"/>
      <c r="I472" s="82" t="str">
        <f aca="false">IF(OR(F472="",H472=""),"",F472*H472)</f>
        <v/>
      </c>
      <c r="J472" s="83" t="str">
        <f aca="false">IF(D472="","",IFERROR(INDEX(식자재단가!$M$4:$M$203,MATCH(D472,식자재단가!$C$4:$C$203,0)),"과세"))</f>
        <v/>
      </c>
      <c r="K472" s="28" t="str">
        <f aca="false">IF(I472="","",IF(J472="과세",ROUND(I472*0.1,0),0))</f>
        <v/>
      </c>
      <c r="L472" s="28" t="str">
        <f aca="false">IF(I472="","",I472+K472)</f>
        <v/>
      </c>
      <c r="M472" s="10"/>
      <c r="N472" s="80"/>
      <c r="O472" s="80"/>
      <c r="P472" s="59" t="str">
        <f aca="false">IF(E472="","",IFERROR(INDEX(기본설정!$H$4:$H$14,MATCH(E472,기본설정!$G$4:$G$14,0)),""))</f>
        <v/>
      </c>
    </row>
    <row r="473" customFormat="false" ht="15" hidden="false" customHeight="false" outlineLevel="0" collapsed="false">
      <c r="A473" s="73"/>
      <c r="B473" s="10"/>
      <c r="C473" s="80"/>
      <c r="D473" s="80"/>
      <c r="E473" s="81" t="str">
        <f aca="false">IF(D473="","",IFERROR(INDEX(식자재단가!$B$4:$B$203,MATCH(D473,식자재단가!$C$4:$C$203,0)),""))</f>
        <v/>
      </c>
      <c r="F473" s="76"/>
      <c r="G473" s="59" t="str">
        <f aca="false">IF(D473="","",IFERROR(INDEX(식자재단가!$F$4:$F$203,MATCH(D473,식자재단가!$C$4:$C$203,0)),""))</f>
        <v/>
      </c>
      <c r="H473" s="50"/>
      <c r="I473" s="82" t="str">
        <f aca="false">IF(OR(F473="",H473=""),"",F473*H473)</f>
        <v/>
      </c>
      <c r="J473" s="83" t="str">
        <f aca="false">IF(D473="","",IFERROR(INDEX(식자재단가!$M$4:$M$203,MATCH(D473,식자재단가!$C$4:$C$203,0)),"과세"))</f>
        <v/>
      </c>
      <c r="K473" s="28" t="str">
        <f aca="false">IF(I473="","",IF(J473="과세",ROUND(I473*0.1,0),0))</f>
        <v/>
      </c>
      <c r="L473" s="28" t="str">
        <f aca="false">IF(I473="","",I473+K473)</f>
        <v/>
      </c>
      <c r="M473" s="10"/>
      <c r="N473" s="80"/>
      <c r="O473" s="80"/>
      <c r="P473" s="59" t="str">
        <f aca="false">IF(E473="","",IFERROR(INDEX(기본설정!$H$4:$H$14,MATCH(E473,기본설정!$G$4:$G$14,0)),""))</f>
        <v/>
      </c>
    </row>
    <row r="474" customFormat="false" ht="15" hidden="false" customHeight="false" outlineLevel="0" collapsed="false">
      <c r="A474" s="73"/>
      <c r="B474" s="10"/>
      <c r="C474" s="80"/>
      <c r="D474" s="80"/>
      <c r="E474" s="81" t="str">
        <f aca="false">IF(D474="","",IFERROR(INDEX(식자재단가!$B$4:$B$203,MATCH(D474,식자재단가!$C$4:$C$203,0)),""))</f>
        <v/>
      </c>
      <c r="F474" s="76"/>
      <c r="G474" s="59" t="str">
        <f aca="false">IF(D474="","",IFERROR(INDEX(식자재단가!$F$4:$F$203,MATCH(D474,식자재단가!$C$4:$C$203,0)),""))</f>
        <v/>
      </c>
      <c r="H474" s="50"/>
      <c r="I474" s="82" t="str">
        <f aca="false">IF(OR(F474="",H474=""),"",F474*H474)</f>
        <v/>
      </c>
      <c r="J474" s="83" t="str">
        <f aca="false">IF(D474="","",IFERROR(INDEX(식자재단가!$M$4:$M$203,MATCH(D474,식자재단가!$C$4:$C$203,0)),"과세"))</f>
        <v/>
      </c>
      <c r="K474" s="28" t="str">
        <f aca="false">IF(I474="","",IF(J474="과세",ROUND(I474*0.1,0),0))</f>
        <v/>
      </c>
      <c r="L474" s="28" t="str">
        <f aca="false">IF(I474="","",I474+K474)</f>
        <v/>
      </c>
      <c r="M474" s="10"/>
      <c r="N474" s="80"/>
      <c r="O474" s="80"/>
      <c r="P474" s="59" t="str">
        <f aca="false">IF(E474="","",IFERROR(INDEX(기본설정!$H$4:$H$14,MATCH(E474,기본설정!$G$4:$G$14,0)),""))</f>
        <v/>
      </c>
    </row>
    <row r="475" customFormat="false" ht="15" hidden="false" customHeight="false" outlineLevel="0" collapsed="false">
      <c r="A475" s="73"/>
      <c r="B475" s="10"/>
      <c r="C475" s="80"/>
      <c r="D475" s="80"/>
      <c r="E475" s="81" t="str">
        <f aca="false">IF(D475="","",IFERROR(INDEX(식자재단가!$B$4:$B$203,MATCH(D475,식자재단가!$C$4:$C$203,0)),""))</f>
        <v/>
      </c>
      <c r="F475" s="76"/>
      <c r="G475" s="59" t="str">
        <f aca="false">IF(D475="","",IFERROR(INDEX(식자재단가!$F$4:$F$203,MATCH(D475,식자재단가!$C$4:$C$203,0)),""))</f>
        <v/>
      </c>
      <c r="H475" s="50"/>
      <c r="I475" s="82" t="str">
        <f aca="false">IF(OR(F475="",H475=""),"",F475*H475)</f>
        <v/>
      </c>
      <c r="J475" s="83" t="str">
        <f aca="false">IF(D475="","",IFERROR(INDEX(식자재단가!$M$4:$M$203,MATCH(D475,식자재단가!$C$4:$C$203,0)),"과세"))</f>
        <v/>
      </c>
      <c r="K475" s="28" t="str">
        <f aca="false">IF(I475="","",IF(J475="과세",ROUND(I475*0.1,0),0))</f>
        <v/>
      </c>
      <c r="L475" s="28" t="str">
        <f aca="false">IF(I475="","",I475+K475)</f>
        <v/>
      </c>
      <c r="M475" s="10"/>
      <c r="N475" s="80"/>
      <c r="O475" s="80"/>
      <c r="P475" s="59" t="str">
        <f aca="false">IF(E475="","",IFERROR(INDEX(기본설정!$H$4:$H$14,MATCH(E475,기본설정!$G$4:$G$14,0)),""))</f>
        <v/>
      </c>
    </row>
    <row r="476" customFormat="false" ht="15" hidden="false" customHeight="false" outlineLevel="0" collapsed="false">
      <c r="A476" s="73"/>
      <c r="B476" s="10"/>
      <c r="C476" s="80"/>
      <c r="D476" s="80"/>
      <c r="E476" s="81" t="str">
        <f aca="false">IF(D476="","",IFERROR(INDEX(식자재단가!$B$4:$B$203,MATCH(D476,식자재단가!$C$4:$C$203,0)),""))</f>
        <v/>
      </c>
      <c r="F476" s="76"/>
      <c r="G476" s="59" t="str">
        <f aca="false">IF(D476="","",IFERROR(INDEX(식자재단가!$F$4:$F$203,MATCH(D476,식자재단가!$C$4:$C$203,0)),""))</f>
        <v/>
      </c>
      <c r="H476" s="50"/>
      <c r="I476" s="82" t="str">
        <f aca="false">IF(OR(F476="",H476=""),"",F476*H476)</f>
        <v/>
      </c>
      <c r="J476" s="83" t="str">
        <f aca="false">IF(D476="","",IFERROR(INDEX(식자재단가!$M$4:$M$203,MATCH(D476,식자재단가!$C$4:$C$203,0)),"과세"))</f>
        <v/>
      </c>
      <c r="K476" s="28" t="str">
        <f aca="false">IF(I476="","",IF(J476="과세",ROUND(I476*0.1,0),0))</f>
        <v/>
      </c>
      <c r="L476" s="28" t="str">
        <f aca="false">IF(I476="","",I476+K476)</f>
        <v/>
      </c>
      <c r="M476" s="10"/>
      <c r="N476" s="80"/>
      <c r="O476" s="80"/>
      <c r="P476" s="59" t="str">
        <f aca="false">IF(E476="","",IFERROR(INDEX(기본설정!$H$4:$H$14,MATCH(E476,기본설정!$G$4:$G$14,0)),""))</f>
        <v/>
      </c>
    </row>
    <row r="477" customFormat="false" ht="15" hidden="false" customHeight="false" outlineLevel="0" collapsed="false">
      <c r="A477" s="73"/>
      <c r="B477" s="10"/>
      <c r="C477" s="80"/>
      <c r="D477" s="80"/>
      <c r="E477" s="81" t="str">
        <f aca="false">IF(D477="","",IFERROR(INDEX(식자재단가!$B$4:$B$203,MATCH(D477,식자재단가!$C$4:$C$203,0)),""))</f>
        <v/>
      </c>
      <c r="F477" s="76"/>
      <c r="G477" s="59" t="str">
        <f aca="false">IF(D477="","",IFERROR(INDEX(식자재단가!$F$4:$F$203,MATCH(D477,식자재단가!$C$4:$C$203,0)),""))</f>
        <v/>
      </c>
      <c r="H477" s="50"/>
      <c r="I477" s="82" t="str">
        <f aca="false">IF(OR(F477="",H477=""),"",F477*H477)</f>
        <v/>
      </c>
      <c r="J477" s="83" t="str">
        <f aca="false">IF(D477="","",IFERROR(INDEX(식자재단가!$M$4:$M$203,MATCH(D477,식자재단가!$C$4:$C$203,0)),"과세"))</f>
        <v/>
      </c>
      <c r="K477" s="28" t="str">
        <f aca="false">IF(I477="","",IF(J477="과세",ROUND(I477*0.1,0),0))</f>
        <v/>
      </c>
      <c r="L477" s="28" t="str">
        <f aca="false">IF(I477="","",I477+K477)</f>
        <v/>
      </c>
      <c r="M477" s="10"/>
      <c r="N477" s="80"/>
      <c r="O477" s="80"/>
      <c r="P477" s="59" t="str">
        <f aca="false">IF(E477="","",IFERROR(INDEX(기본설정!$H$4:$H$14,MATCH(E477,기본설정!$G$4:$G$14,0)),""))</f>
        <v/>
      </c>
    </row>
    <row r="478" customFormat="false" ht="15" hidden="false" customHeight="false" outlineLevel="0" collapsed="false">
      <c r="A478" s="73"/>
      <c r="B478" s="10"/>
      <c r="C478" s="80"/>
      <c r="D478" s="80"/>
      <c r="E478" s="81" t="str">
        <f aca="false">IF(D478="","",IFERROR(INDEX(식자재단가!$B$4:$B$203,MATCH(D478,식자재단가!$C$4:$C$203,0)),""))</f>
        <v/>
      </c>
      <c r="F478" s="76"/>
      <c r="G478" s="59" t="str">
        <f aca="false">IF(D478="","",IFERROR(INDEX(식자재단가!$F$4:$F$203,MATCH(D478,식자재단가!$C$4:$C$203,0)),""))</f>
        <v/>
      </c>
      <c r="H478" s="50"/>
      <c r="I478" s="82" t="str">
        <f aca="false">IF(OR(F478="",H478=""),"",F478*H478)</f>
        <v/>
      </c>
      <c r="J478" s="83" t="str">
        <f aca="false">IF(D478="","",IFERROR(INDEX(식자재단가!$M$4:$M$203,MATCH(D478,식자재단가!$C$4:$C$203,0)),"과세"))</f>
        <v/>
      </c>
      <c r="K478" s="28" t="str">
        <f aca="false">IF(I478="","",IF(J478="과세",ROUND(I478*0.1,0),0))</f>
        <v/>
      </c>
      <c r="L478" s="28" t="str">
        <f aca="false">IF(I478="","",I478+K478)</f>
        <v/>
      </c>
      <c r="M478" s="10"/>
      <c r="N478" s="80"/>
      <c r="O478" s="80"/>
      <c r="P478" s="59" t="str">
        <f aca="false">IF(E478="","",IFERROR(INDEX(기본설정!$H$4:$H$14,MATCH(E478,기본설정!$G$4:$G$14,0)),""))</f>
        <v/>
      </c>
    </row>
    <row r="479" customFormat="false" ht="15" hidden="false" customHeight="false" outlineLevel="0" collapsed="false">
      <c r="A479" s="73"/>
      <c r="B479" s="10"/>
      <c r="C479" s="80"/>
      <c r="D479" s="80"/>
      <c r="E479" s="81" t="str">
        <f aca="false">IF(D479="","",IFERROR(INDEX(식자재단가!$B$4:$B$203,MATCH(D479,식자재단가!$C$4:$C$203,0)),""))</f>
        <v/>
      </c>
      <c r="F479" s="76"/>
      <c r="G479" s="59" t="str">
        <f aca="false">IF(D479="","",IFERROR(INDEX(식자재단가!$F$4:$F$203,MATCH(D479,식자재단가!$C$4:$C$203,0)),""))</f>
        <v/>
      </c>
      <c r="H479" s="50"/>
      <c r="I479" s="82" t="str">
        <f aca="false">IF(OR(F479="",H479=""),"",F479*H479)</f>
        <v/>
      </c>
      <c r="J479" s="83" t="str">
        <f aca="false">IF(D479="","",IFERROR(INDEX(식자재단가!$M$4:$M$203,MATCH(D479,식자재단가!$C$4:$C$203,0)),"과세"))</f>
        <v/>
      </c>
      <c r="K479" s="28" t="str">
        <f aca="false">IF(I479="","",IF(J479="과세",ROUND(I479*0.1,0),0))</f>
        <v/>
      </c>
      <c r="L479" s="28" t="str">
        <f aca="false">IF(I479="","",I479+K479)</f>
        <v/>
      </c>
      <c r="M479" s="10"/>
      <c r="N479" s="80"/>
      <c r="O479" s="80"/>
      <c r="P479" s="59" t="str">
        <f aca="false">IF(E479="","",IFERROR(INDEX(기본설정!$H$4:$H$14,MATCH(E479,기본설정!$G$4:$G$14,0)),""))</f>
        <v/>
      </c>
    </row>
    <row r="480" customFormat="false" ht="15" hidden="false" customHeight="false" outlineLevel="0" collapsed="false">
      <c r="A480" s="73"/>
      <c r="B480" s="10"/>
      <c r="C480" s="80"/>
      <c r="D480" s="80"/>
      <c r="E480" s="81" t="str">
        <f aca="false">IF(D480="","",IFERROR(INDEX(식자재단가!$B$4:$B$203,MATCH(D480,식자재단가!$C$4:$C$203,0)),""))</f>
        <v/>
      </c>
      <c r="F480" s="76"/>
      <c r="G480" s="59" t="str">
        <f aca="false">IF(D480="","",IFERROR(INDEX(식자재단가!$F$4:$F$203,MATCH(D480,식자재단가!$C$4:$C$203,0)),""))</f>
        <v/>
      </c>
      <c r="H480" s="50"/>
      <c r="I480" s="82" t="str">
        <f aca="false">IF(OR(F480="",H480=""),"",F480*H480)</f>
        <v/>
      </c>
      <c r="J480" s="83" t="str">
        <f aca="false">IF(D480="","",IFERROR(INDEX(식자재단가!$M$4:$M$203,MATCH(D480,식자재단가!$C$4:$C$203,0)),"과세"))</f>
        <v/>
      </c>
      <c r="K480" s="28" t="str">
        <f aca="false">IF(I480="","",IF(J480="과세",ROUND(I480*0.1,0),0))</f>
        <v/>
      </c>
      <c r="L480" s="28" t="str">
        <f aca="false">IF(I480="","",I480+K480)</f>
        <v/>
      </c>
      <c r="M480" s="10"/>
      <c r="N480" s="80"/>
      <c r="O480" s="80"/>
      <c r="P480" s="59" t="str">
        <f aca="false">IF(E480="","",IFERROR(INDEX(기본설정!$H$4:$H$14,MATCH(E480,기본설정!$G$4:$G$14,0)),""))</f>
        <v/>
      </c>
    </row>
    <row r="481" customFormat="false" ht="15" hidden="false" customHeight="false" outlineLevel="0" collapsed="false">
      <c r="A481" s="73"/>
      <c r="B481" s="10"/>
      <c r="C481" s="80"/>
      <c r="D481" s="80"/>
      <c r="E481" s="81" t="str">
        <f aca="false">IF(D481="","",IFERROR(INDEX(식자재단가!$B$4:$B$203,MATCH(D481,식자재단가!$C$4:$C$203,0)),""))</f>
        <v/>
      </c>
      <c r="F481" s="76"/>
      <c r="G481" s="59" t="str">
        <f aca="false">IF(D481="","",IFERROR(INDEX(식자재단가!$F$4:$F$203,MATCH(D481,식자재단가!$C$4:$C$203,0)),""))</f>
        <v/>
      </c>
      <c r="H481" s="50"/>
      <c r="I481" s="82" t="str">
        <f aca="false">IF(OR(F481="",H481=""),"",F481*H481)</f>
        <v/>
      </c>
      <c r="J481" s="83" t="str">
        <f aca="false">IF(D481="","",IFERROR(INDEX(식자재단가!$M$4:$M$203,MATCH(D481,식자재단가!$C$4:$C$203,0)),"과세"))</f>
        <v/>
      </c>
      <c r="K481" s="28" t="str">
        <f aca="false">IF(I481="","",IF(J481="과세",ROUND(I481*0.1,0),0))</f>
        <v/>
      </c>
      <c r="L481" s="28" t="str">
        <f aca="false">IF(I481="","",I481+K481)</f>
        <v/>
      </c>
      <c r="M481" s="10"/>
      <c r="N481" s="80"/>
      <c r="O481" s="80"/>
      <c r="P481" s="59" t="str">
        <f aca="false">IF(E481="","",IFERROR(INDEX(기본설정!$H$4:$H$14,MATCH(E481,기본설정!$G$4:$G$14,0)),""))</f>
        <v/>
      </c>
    </row>
    <row r="482" customFormat="false" ht="15" hidden="false" customHeight="false" outlineLevel="0" collapsed="false">
      <c r="A482" s="73"/>
      <c r="B482" s="10"/>
      <c r="C482" s="80"/>
      <c r="D482" s="80"/>
      <c r="E482" s="81" t="str">
        <f aca="false">IF(D482="","",IFERROR(INDEX(식자재단가!$B$4:$B$203,MATCH(D482,식자재단가!$C$4:$C$203,0)),""))</f>
        <v/>
      </c>
      <c r="F482" s="76"/>
      <c r="G482" s="59" t="str">
        <f aca="false">IF(D482="","",IFERROR(INDEX(식자재단가!$F$4:$F$203,MATCH(D482,식자재단가!$C$4:$C$203,0)),""))</f>
        <v/>
      </c>
      <c r="H482" s="50"/>
      <c r="I482" s="82" t="str">
        <f aca="false">IF(OR(F482="",H482=""),"",F482*H482)</f>
        <v/>
      </c>
      <c r="J482" s="83" t="str">
        <f aca="false">IF(D482="","",IFERROR(INDEX(식자재단가!$M$4:$M$203,MATCH(D482,식자재단가!$C$4:$C$203,0)),"과세"))</f>
        <v/>
      </c>
      <c r="K482" s="28" t="str">
        <f aca="false">IF(I482="","",IF(J482="과세",ROUND(I482*0.1,0),0))</f>
        <v/>
      </c>
      <c r="L482" s="28" t="str">
        <f aca="false">IF(I482="","",I482+K482)</f>
        <v/>
      </c>
      <c r="M482" s="10"/>
      <c r="N482" s="80"/>
      <c r="O482" s="80"/>
      <c r="P482" s="59" t="str">
        <f aca="false">IF(E482="","",IFERROR(INDEX(기본설정!$H$4:$H$14,MATCH(E482,기본설정!$G$4:$G$14,0)),""))</f>
        <v/>
      </c>
    </row>
    <row r="483" customFormat="false" ht="15" hidden="false" customHeight="false" outlineLevel="0" collapsed="false">
      <c r="A483" s="73"/>
      <c r="B483" s="10"/>
      <c r="C483" s="80"/>
      <c r="D483" s="80"/>
      <c r="E483" s="81" t="str">
        <f aca="false">IF(D483="","",IFERROR(INDEX(식자재단가!$B$4:$B$203,MATCH(D483,식자재단가!$C$4:$C$203,0)),""))</f>
        <v/>
      </c>
      <c r="F483" s="76"/>
      <c r="G483" s="59" t="str">
        <f aca="false">IF(D483="","",IFERROR(INDEX(식자재단가!$F$4:$F$203,MATCH(D483,식자재단가!$C$4:$C$203,0)),""))</f>
        <v/>
      </c>
      <c r="H483" s="50"/>
      <c r="I483" s="82" t="str">
        <f aca="false">IF(OR(F483="",H483=""),"",F483*H483)</f>
        <v/>
      </c>
      <c r="J483" s="83" t="str">
        <f aca="false">IF(D483="","",IFERROR(INDEX(식자재단가!$M$4:$M$203,MATCH(D483,식자재단가!$C$4:$C$203,0)),"과세"))</f>
        <v/>
      </c>
      <c r="K483" s="28" t="str">
        <f aca="false">IF(I483="","",IF(J483="과세",ROUND(I483*0.1,0),0))</f>
        <v/>
      </c>
      <c r="L483" s="28" t="str">
        <f aca="false">IF(I483="","",I483+K483)</f>
        <v/>
      </c>
      <c r="M483" s="10"/>
      <c r="N483" s="80"/>
      <c r="O483" s="80"/>
      <c r="P483" s="59" t="str">
        <f aca="false">IF(E483="","",IFERROR(INDEX(기본설정!$H$4:$H$14,MATCH(E483,기본설정!$G$4:$G$14,0)),""))</f>
        <v/>
      </c>
    </row>
    <row r="484" customFormat="false" ht="15" hidden="false" customHeight="false" outlineLevel="0" collapsed="false">
      <c r="A484" s="73"/>
      <c r="B484" s="10"/>
      <c r="C484" s="80"/>
      <c r="D484" s="80"/>
      <c r="E484" s="81" t="str">
        <f aca="false">IF(D484="","",IFERROR(INDEX(식자재단가!$B$4:$B$203,MATCH(D484,식자재단가!$C$4:$C$203,0)),""))</f>
        <v/>
      </c>
      <c r="F484" s="76"/>
      <c r="G484" s="59" t="str">
        <f aca="false">IF(D484="","",IFERROR(INDEX(식자재단가!$F$4:$F$203,MATCH(D484,식자재단가!$C$4:$C$203,0)),""))</f>
        <v/>
      </c>
      <c r="H484" s="50"/>
      <c r="I484" s="82" t="str">
        <f aca="false">IF(OR(F484="",H484=""),"",F484*H484)</f>
        <v/>
      </c>
      <c r="J484" s="83" t="str">
        <f aca="false">IF(D484="","",IFERROR(INDEX(식자재단가!$M$4:$M$203,MATCH(D484,식자재단가!$C$4:$C$203,0)),"과세"))</f>
        <v/>
      </c>
      <c r="K484" s="28" t="str">
        <f aca="false">IF(I484="","",IF(J484="과세",ROUND(I484*0.1,0),0))</f>
        <v/>
      </c>
      <c r="L484" s="28" t="str">
        <f aca="false">IF(I484="","",I484+K484)</f>
        <v/>
      </c>
      <c r="M484" s="10"/>
      <c r="N484" s="80"/>
      <c r="O484" s="80"/>
      <c r="P484" s="59" t="str">
        <f aca="false">IF(E484="","",IFERROR(INDEX(기본설정!$H$4:$H$14,MATCH(E484,기본설정!$G$4:$G$14,0)),""))</f>
        <v/>
      </c>
    </row>
    <row r="485" customFormat="false" ht="15" hidden="false" customHeight="false" outlineLevel="0" collapsed="false">
      <c r="A485" s="73"/>
      <c r="B485" s="10"/>
      <c r="C485" s="80"/>
      <c r="D485" s="80"/>
      <c r="E485" s="81" t="str">
        <f aca="false">IF(D485="","",IFERROR(INDEX(식자재단가!$B$4:$B$203,MATCH(D485,식자재단가!$C$4:$C$203,0)),""))</f>
        <v/>
      </c>
      <c r="F485" s="76"/>
      <c r="G485" s="59" t="str">
        <f aca="false">IF(D485="","",IFERROR(INDEX(식자재단가!$F$4:$F$203,MATCH(D485,식자재단가!$C$4:$C$203,0)),""))</f>
        <v/>
      </c>
      <c r="H485" s="50"/>
      <c r="I485" s="82" t="str">
        <f aca="false">IF(OR(F485="",H485=""),"",F485*H485)</f>
        <v/>
      </c>
      <c r="J485" s="83" t="str">
        <f aca="false">IF(D485="","",IFERROR(INDEX(식자재단가!$M$4:$M$203,MATCH(D485,식자재단가!$C$4:$C$203,0)),"과세"))</f>
        <v/>
      </c>
      <c r="K485" s="28" t="str">
        <f aca="false">IF(I485="","",IF(J485="과세",ROUND(I485*0.1,0),0))</f>
        <v/>
      </c>
      <c r="L485" s="28" t="str">
        <f aca="false">IF(I485="","",I485+K485)</f>
        <v/>
      </c>
      <c r="M485" s="10"/>
      <c r="N485" s="80"/>
      <c r="O485" s="80"/>
      <c r="P485" s="59" t="str">
        <f aca="false">IF(E485="","",IFERROR(INDEX(기본설정!$H$4:$H$14,MATCH(E485,기본설정!$G$4:$G$14,0)),""))</f>
        <v/>
      </c>
    </row>
    <row r="486" customFormat="false" ht="15" hidden="false" customHeight="false" outlineLevel="0" collapsed="false">
      <c r="A486" s="73"/>
      <c r="B486" s="10"/>
      <c r="C486" s="80"/>
      <c r="D486" s="80"/>
      <c r="E486" s="81" t="str">
        <f aca="false">IF(D486="","",IFERROR(INDEX(식자재단가!$B$4:$B$203,MATCH(D486,식자재단가!$C$4:$C$203,0)),""))</f>
        <v/>
      </c>
      <c r="F486" s="76"/>
      <c r="G486" s="59" t="str">
        <f aca="false">IF(D486="","",IFERROR(INDEX(식자재단가!$F$4:$F$203,MATCH(D486,식자재단가!$C$4:$C$203,0)),""))</f>
        <v/>
      </c>
      <c r="H486" s="50"/>
      <c r="I486" s="82" t="str">
        <f aca="false">IF(OR(F486="",H486=""),"",F486*H486)</f>
        <v/>
      </c>
      <c r="J486" s="83" t="str">
        <f aca="false">IF(D486="","",IFERROR(INDEX(식자재단가!$M$4:$M$203,MATCH(D486,식자재단가!$C$4:$C$203,0)),"과세"))</f>
        <v/>
      </c>
      <c r="K486" s="28" t="str">
        <f aca="false">IF(I486="","",IF(J486="과세",ROUND(I486*0.1,0),0))</f>
        <v/>
      </c>
      <c r="L486" s="28" t="str">
        <f aca="false">IF(I486="","",I486+K486)</f>
        <v/>
      </c>
      <c r="M486" s="10"/>
      <c r="N486" s="80"/>
      <c r="O486" s="80"/>
      <c r="P486" s="59" t="str">
        <f aca="false">IF(E486="","",IFERROR(INDEX(기본설정!$H$4:$H$14,MATCH(E486,기본설정!$G$4:$G$14,0)),""))</f>
        <v/>
      </c>
    </row>
    <row r="487" customFormat="false" ht="15" hidden="false" customHeight="false" outlineLevel="0" collapsed="false">
      <c r="A487" s="73"/>
      <c r="B487" s="10"/>
      <c r="C487" s="80"/>
      <c r="D487" s="80"/>
      <c r="E487" s="81" t="str">
        <f aca="false">IF(D487="","",IFERROR(INDEX(식자재단가!$B$4:$B$203,MATCH(D487,식자재단가!$C$4:$C$203,0)),""))</f>
        <v/>
      </c>
      <c r="F487" s="76"/>
      <c r="G487" s="59" t="str">
        <f aca="false">IF(D487="","",IFERROR(INDEX(식자재단가!$F$4:$F$203,MATCH(D487,식자재단가!$C$4:$C$203,0)),""))</f>
        <v/>
      </c>
      <c r="H487" s="50"/>
      <c r="I487" s="82" t="str">
        <f aca="false">IF(OR(F487="",H487=""),"",F487*H487)</f>
        <v/>
      </c>
      <c r="J487" s="83" t="str">
        <f aca="false">IF(D487="","",IFERROR(INDEX(식자재단가!$M$4:$M$203,MATCH(D487,식자재단가!$C$4:$C$203,0)),"과세"))</f>
        <v/>
      </c>
      <c r="K487" s="28" t="str">
        <f aca="false">IF(I487="","",IF(J487="과세",ROUND(I487*0.1,0),0))</f>
        <v/>
      </c>
      <c r="L487" s="28" t="str">
        <f aca="false">IF(I487="","",I487+K487)</f>
        <v/>
      </c>
      <c r="M487" s="10"/>
      <c r="N487" s="80"/>
      <c r="O487" s="80"/>
      <c r="P487" s="59" t="str">
        <f aca="false">IF(E487="","",IFERROR(INDEX(기본설정!$H$4:$H$14,MATCH(E487,기본설정!$G$4:$G$14,0)),""))</f>
        <v/>
      </c>
    </row>
    <row r="488" customFormat="false" ht="15" hidden="false" customHeight="false" outlineLevel="0" collapsed="false">
      <c r="A488" s="73"/>
      <c r="B488" s="10"/>
      <c r="C488" s="80"/>
      <c r="D488" s="80"/>
      <c r="E488" s="81" t="str">
        <f aca="false">IF(D488="","",IFERROR(INDEX(식자재단가!$B$4:$B$203,MATCH(D488,식자재단가!$C$4:$C$203,0)),""))</f>
        <v/>
      </c>
      <c r="F488" s="76"/>
      <c r="G488" s="59" t="str">
        <f aca="false">IF(D488="","",IFERROR(INDEX(식자재단가!$F$4:$F$203,MATCH(D488,식자재단가!$C$4:$C$203,0)),""))</f>
        <v/>
      </c>
      <c r="H488" s="50"/>
      <c r="I488" s="82" t="str">
        <f aca="false">IF(OR(F488="",H488=""),"",F488*H488)</f>
        <v/>
      </c>
      <c r="J488" s="83" t="str">
        <f aca="false">IF(D488="","",IFERROR(INDEX(식자재단가!$M$4:$M$203,MATCH(D488,식자재단가!$C$4:$C$203,0)),"과세"))</f>
        <v/>
      </c>
      <c r="K488" s="28" t="str">
        <f aca="false">IF(I488="","",IF(J488="과세",ROUND(I488*0.1,0),0))</f>
        <v/>
      </c>
      <c r="L488" s="28" t="str">
        <f aca="false">IF(I488="","",I488+K488)</f>
        <v/>
      </c>
      <c r="M488" s="10"/>
      <c r="N488" s="80"/>
      <c r="O488" s="80"/>
      <c r="P488" s="59" t="str">
        <f aca="false">IF(E488="","",IFERROR(INDEX(기본설정!$H$4:$H$14,MATCH(E488,기본설정!$G$4:$G$14,0)),""))</f>
        <v/>
      </c>
    </row>
    <row r="489" customFormat="false" ht="15" hidden="false" customHeight="false" outlineLevel="0" collapsed="false">
      <c r="A489" s="73"/>
      <c r="B489" s="10"/>
      <c r="C489" s="80"/>
      <c r="D489" s="80"/>
      <c r="E489" s="81" t="str">
        <f aca="false">IF(D489="","",IFERROR(INDEX(식자재단가!$B$4:$B$203,MATCH(D489,식자재단가!$C$4:$C$203,0)),""))</f>
        <v/>
      </c>
      <c r="F489" s="76"/>
      <c r="G489" s="59" t="str">
        <f aca="false">IF(D489="","",IFERROR(INDEX(식자재단가!$F$4:$F$203,MATCH(D489,식자재단가!$C$4:$C$203,0)),""))</f>
        <v/>
      </c>
      <c r="H489" s="50"/>
      <c r="I489" s="82" t="str">
        <f aca="false">IF(OR(F489="",H489=""),"",F489*H489)</f>
        <v/>
      </c>
      <c r="J489" s="83" t="str">
        <f aca="false">IF(D489="","",IFERROR(INDEX(식자재단가!$M$4:$M$203,MATCH(D489,식자재단가!$C$4:$C$203,0)),"과세"))</f>
        <v/>
      </c>
      <c r="K489" s="28" t="str">
        <f aca="false">IF(I489="","",IF(J489="과세",ROUND(I489*0.1,0),0))</f>
        <v/>
      </c>
      <c r="L489" s="28" t="str">
        <f aca="false">IF(I489="","",I489+K489)</f>
        <v/>
      </c>
      <c r="M489" s="10"/>
      <c r="N489" s="80"/>
      <c r="O489" s="80"/>
      <c r="P489" s="59" t="str">
        <f aca="false">IF(E489="","",IFERROR(INDEX(기본설정!$H$4:$H$14,MATCH(E489,기본설정!$G$4:$G$14,0)),""))</f>
        <v/>
      </c>
    </row>
    <row r="490" customFormat="false" ht="15" hidden="false" customHeight="false" outlineLevel="0" collapsed="false">
      <c r="A490" s="73"/>
      <c r="B490" s="10"/>
      <c r="C490" s="80"/>
      <c r="D490" s="80"/>
      <c r="E490" s="81" t="str">
        <f aca="false">IF(D490="","",IFERROR(INDEX(식자재단가!$B$4:$B$203,MATCH(D490,식자재단가!$C$4:$C$203,0)),""))</f>
        <v/>
      </c>
      <c r="F490" s="76"/>
      <c r="G490" s="59" t="str">
        <f aca="false">IF(D490="","",IFERROR(INDEX(식자재단가!$F$4:$F$203,MATCH(D490,식자재단가!$C$4:$C$203,0)),""))</f>
        <v/>
      </c>
      <c r="H490" s="50"/>
      <c r="I490" s="82" t="str">
        <f aca="false">IF(OR(F490="",H490=""),"",F490*H490)</f>
        <v/>
      </c>
      <c r="J490" s="83" t="str">
        <f aca="false">IF(D490="","",IFERROR(INDEX(식자재단가!$M$4:$M$203,MATCH(D490,식자재단가!$C$4:$C$203,0)),"과세"))</f>
        <v/>
      </c>
      <c r="K490" s="28" t="str">
        <f aca="false">IF(I490="","",IF(J490="과세",ROUND(I490*0.1,0),0))</f>
        <v/>
      </c>
      <c r="L490" s="28" t="str">
        <f aca="false">IF(I490="","",I490+K490)</f>
        <v/>
      </c>
      <c r="M490" s="10"/>
      <c r="N490" s="80"/>
      <c r="O490" s="80"/>
      <c r="P490" s="59" t="str">
        <f aca="false">IF(E490="","",IFERROR(INDEX(기본설정!$H$4:$H$14,MATCH(E490,기본설정!$G$4:$G$14,0)),""))</f>
        <v/>
      </c>
    </row>
    <row r="491" customFormat="false" ht="15" hidden="false" customHeight="false" outlineLevel="0" collapsed="false">
      <c r="A491" s="73"/>
      <c r="B491" s="10"/>
      <c r="C491" s="80"/>
      <c r="D491" s="80"/>
      <c r="E491" s="81" t="str">
        <f aca="false">IF(D491="","",IFERROR(INDEX(식자재단가!$B$4:$B$203,MATCH(D491,식자재단가!$C$4:$C$203,0)),""))</f>
        <v/>
      </c>
      <c r="F491" s="76"/>
      <c r="G491" s="59" t="str">
        <f aca="false">IF(D491="","",IFERROR(INDEX(식자재단가!$F$4:$F$203,MATCH(D491,식자재단가!$C$4:$C$203,0)),""))</f>
        <v/>
      </c>
      <c r="H491" s="50"/>
      <c r="I491" s="82" t="str">
        <f aca="false">IF(OR(F491="",H491=""),"",F491*H491)</f>
        <v/>
      </c>
      <c r="J491" s="83" t="str">
        <f aca="false">IF(D491="","",IFERROR(INDEX(식자재단가!$M$4:$M$203,MATCH(D491,식자재단가!$C$4:$C$203,0)),"과세"))</f>
        <v/>
      </c>
      <c r="K491" s="28" t="str">
        <f aca="false">IF(I491="","",IF(J491="과세",ROUND(I491*0.1,0),0))</f>
        <v/>
      </c>
      <c r="L491" s="28" t="str">
        <f aca="false">IF(I491="","",I491+K491)</f>
        <v/>
      </c>
      <c r="M491" s="10"/>
      <c r="N491" s="80"/>
      <c r="O491" s="80"/>
      <c r="P491" s="59" t="str">
        <f aca="false">IF(E491="","",IFERROR(INDEX(기본설정!$H$4:$H$14,MATCH(E491,기본설정!$G$4:$G$14,0)),""))</f>
        <v/>
      </c>
    </row>
    <row r="492" customFormat="false" ht="15" hidden="false" customHeight="false" outlineLevel="0" collapsed="false">
      <c r="A492" s="73"/>
      <c r="B492" s="10"/>
      <c r="C492" s="80"/>
      <c r="D492" s="80"/>
      <c r="E492" s="81" t="str">
        <f aca="false">IF(D492="","",IFERROR(INDEX(식자재단가!$B$4:$B$203,MATCH(D492,식자재단가!$C$4:$C$203,0)),""))</f>
        <v/>
      </c>
      <c r="F492" s="76"/>
      <c r="G492" s="59" t="str">
        <f aca="false">IF(D492="","",IFERROR(INDEX(식자재단가!$F$4:$F$203,MATCH(D492,식자재단가!$C$4:$C$203,0)),""))</f>
        <v/>
      </c>
      <c r="H492" s="50"/>
      <c r="I492" s="82" t="str">
        <f aca="false">IF(OR(F492="",H492=""),"",F492*H492)</f>
        <v/>
      </c>
      <c r="J492" s="83" t="str">
        <f aca="false">IF(D492="","",IFERROR(INDEX(식자재단가!$M$4:$M$203,MATCH(D492,식자재단가!$C$4:$C$203,0)),"과세"))</f>
        <v/>
      </c>
      <c r="K492" s="28" t="str">
        <f aca="false">IF(I492="","",IF(J492="과세",ROUND(I492*0.1,0),0))</f>
        <v/>
      </c>
      <c r="L492" s="28" t="str">
        <f aca="false">IF(I492="","",I492+K492)</f>
        <v/>
      </c>
      <c r="M492" s="10"/>
      <c r="N492" s="80"/>
      <c r="O492" s="80"/>
      <c r="P492" s="59" t="str">
        <f aca="false">IF(E492="","",IFERROR(INDEX(기본설정!$H$4:$H$14,MATCH(E492,기본설정!$G$4:$G$14,0)),""))</f>
        <v/>
      </c>
    </row>
    <row r="493" customFormat="false" ht="15" hidden="false" customHeight="false" outlineLevel="0" collapsed="false">
      <c r="A493" s="73"/>
      <c r="B493" s="10"/>
      <c r="C493" s="80"/>
      <c r="D493" s="80"/>
      <c r="E493" s="81" t="str">
        <f aca="false">IF(D493="","",IFERROR(INDEX(식자재단가!$B$4:$B$203,MATCH(D493,식자재단가!$C$4:$C$203,0)),""))</f>
        <v/>
      </c>
      <c r="F493" s="76"/>
      <c r="G493" s="59" t="str">
        <f aca="false">IF(D493="","",IFERROR(INDEX(식자재단가!$F$4:$F$203,MATCH(D493,식자재단가!$C$4:$C$203,0)),""))</f>
        <v/>
      </c>
      <c r="H493" s="50"/>
      <c r="I493" s="82" t="str">
        <f aca="false">IF(OR(F493="",H493=""),"",F493*H493)</f>
        <v/>
      </c>
      <c r="J493" s="83" t="str">
        <f aca="false">IF(D493="","",IFERROR(INDEX(식자재단가!$M$4:$M$203,MATCH(D493,식자재단가!$C$4:$C$203,0)),"과세"))</f>
        <v/>
      </c>
      <c r="K493" s="28" t="str">
        <f aca="false">IF(I493="","",IF(J493="과세",ROUND(I493*0.1,0),0))</f>
        <v/>
      </c>
      <c r="L493" s="28" t="str">
        <f aca="false">IF(I493="","",I493+K493)</f>
        <v/>
      </c>
      <c r="M493" s="10"/>
      <c r="N493" s="80"/>
      <c r="O493" s="80"/>
      <c r="P493" s="59" t="str">
        <f aca="false">IF(E493="","",IFERROR(INDEX(기본설정!$H$4:$H$14,MATCH(E493,기본설정!$G$4:$G$14,0)),""))</f>
        <v/>
      </c>
    </row>
    <row r="494" customFormat="false" ht="15" hidden="false" customHeight="false" outlineLevel="0" collapsed="false">
      <c r="A494" s="73"/>
      <c r="B494" s="10"/>
      <c r="C494" s="80"/>
      <c r="D494" s="80"/>
      <c r="E494" s="81" t="str">
        <f aca="false">IF(D494="","",IFERROR(INDEX(식자재단가!$B$4:$B$203,MATCH(D494,식자재단가!$C$4:$C$203,0)),""))</f>
        <v/>
      </c>
      <c r="F494" s="76"/>
      <c r="G494" s="59" t="str">
        <f aca="false">IF(D494="","",IFERROR(INDEX(식자재단가!$F$4:$F$203,MATCH(D494,식자재단가!$C$4:$C$203,0)),""))</f>
        <v/>
      </c>
      <c r="H494" s="50"/>
      <c r="I494" s="82" t="str">
        <f aca="false">IF(OR(F494="",H494=""),"",F494*H494)</f>
        <v/>
      </c>
      <c r="J494" s="83" t="str">
        <f aca="false">IF(D494="","",IFERROR(INDEX(식자재단가!$M$4:$M$203,MATCH(D494,식자재단가!$C$4:$C$203,0)),"과세"))</f>
        <v/>
      </c>
      <c r="K494" s="28" t="str">
        <f aca="false">IF(I494="","",IF(J494="과세",ROUND(I494*0.1,0),0))</f>
        <v/>
      </c>
      <c r="L494" s="28" t="str">
        <f aca="false">IF(I494="","",I494+K494)</f>
        <v/>
      </c>
      <c r="M494" s="10"/>
      <c r="N494" s="80"/>
      <c r="O494" s="80"/>
      <c r="P494" s="59" t="str">
        <f aca="false">IF(E494="","",IFERROR(INDEX(기본설정!$H$4:$H$14,MATCH(E494,기본설정!$G$4:$G$14,0)),""))</f>
        <v/>
      </c>
    </row>
    <row r="495" customFormat="false" ht="15" hidden="false" customHeight="false" outlineLevel="0" collapsed="false">
      <c r="A495" s="73"/>
      <c r="B495" s="10"/>
      <c r="C495" s="80"/>
      <c r="D495" s="80"/>
      <c r="E495" s="81" t="str">
        <f aca="false">IF(D495="","",IFERROR(INDEX(식자재단가!$B$4:$B$203,MATCH(D495,식자재단가!$C$4:$C$203,0)),""))</f>
        <v/>
      </c>
      <c r="F495" s="76"/>
      <c r="G495" s="59" t="str">
        <f aca="false">IF(D495="","",IFERROR(INDEX(식자재단가!$F$4:$F$203,MATCH(D495,식자재단가!$C$4:$C$203,0)),""))</f>
        <v/>
      </c>
      <c r="H495" s="50"/>
      <c r="I495" s="82" t="str">
        <f aca="false">IF(OR(F495="",H495=""),"",F495*H495)</f>
        <v/>
      </c>
      <c r="J495" s="83" t="str">
        <f aca="false">IF(D495="","",IFERROR(INDEX(식자재단가!$M$4:$M$203,MATCH(D495,식자재단가!$C$4:$C$203,0)),"과세"))</f>
        <v/>
      </c>
      <c r="K495" s="28" t="str">
        <f aca="false">IF(I495="","",IF(J495="과세",ROUND(I495*0.1,0),0))</f>
        <v/>
      </c>
      <c r="L495" s="28" t="str">
        <f aca="false">IF(I495="","",I495+K495)</f>
        <v/>
      </c>
      <c r="M495" s="10"/>
      <c r="N495" s="80"/>
      <c r="O495" s="80"/>
      <c r="P495" s="59" t="str">
        <f aca="false">IF(E495="","",IFERROR(INDEX(기본설정!$H$4:$H$14,MATCH(E495,기본설정!$G$4:$G$14,0)),""))</f>
        <v/>
      </c>
    </row>
    <row r="496" customFormat="false" ht="15" hidden="false" customHeight="false" outlineLevel="0" collapsed="false">
      <c r="A496" s="73"/>
      <c r="B496" s="10"/>
      <c r="C496" s="80"/>
      <c r="D496" s="80"/>
      <c r="E496" s="81" t="str">
        <f aca="false">IF(D496="","",IFERROR(INDEX(식자재단가!$B$4:$B$203,MATCH(D496,식자재단가!$C$4:$C$203,0)),""))</f>
        <v/>
      </c>
      <c r="F496" s="76"/>
      <c r="G496" s="59" t="str">
        <f aca="false">IF(D496="","",IFERROR(INDEX(식자재단가!$F$4:$F$203,MATCH(D496,식자재단가!$C$4:$C$203,0)),""))</f>
        <v/>
      </c>
      <c r="H496" s="50"/>
      <c r="I496" s="82" t="str">
        <f aca="false">IF(OR(F496="",H496=""),"",F496*H496)</f>
        <v/>
      </c>
      <c r="J496" s="83" t="str">
        <f aca="false">IF(D496="","",IFERROR(INDEX(식자재단가!$M$4:$M$203,MATCH(D496,식자재단가!$C$4:$C$203,0)),"과세"))</f>
        <v/>
      </c>
      <c r="K496" s="28" t="str">
        <f aca="false">IF(I496="","",IF(J496="과세",ROUND(I496*0.1,0),0))</f>
        <v/>
      </c>
      <c r="L496" s="28" t="str">
        <f aca="false">IF(I496="","",I496+K496)</f>
        <v/>
      </c>
      <c r="M496" s="10"/>
      <c r="N496" s="80"/>
      <c r="O496" s="80"/>
      <c r="P496" s="59" t="str">
        <f aca="false">IF(E496="","",IFERROR(INDEX(기본설정!$H$4:$H$14,MATCH(E496,기본설정!$G$4:$G$14,0)),""))</f>
        <v/>
      </c>
    </row>
    <row r="497" customFormat="false" ht="15" hidden="false" customHeight="false" outlineLevel="0" collapsed="false">
      <c r="A497" s="73"/>
      <c r="B497" s="10"/>
      <c r="C497" s="80"/>
      <c r="D497" s="80"/>
      <c r="E497" s="81" t="str">
        <f aca="false">IF(D497="","",IFERROR(INDEX(식자재단가!$B$4:$B$203,MATCH(D497,식자재단가!$C$4:$C$203,0)),""))</f>
        <v/>
      </c>
      <c r="F497" s="76"/>
      <c r="G497" s="59" t="str">
        <f aca="false">IF(D497="","",IFERROR(INDEX(식자재단가!$F$4:$F$203,MATCH(D497,식자재단가!$C$4:$C$203,0)),""))</f>
        <v/>
      </c>
      <c r="H497" s="50"/>
      <c r="I497" s="82" t="str">
        <f aca="false">IF(OR(F497="",H497=""),"",F497*H497)</f>
        <v/>
      </c>
      <c r="J497" s="83" t="str">
        <f aca="false">IF(D497="","",IFERROR(INDEX(식자재단가!$M$4:$M$203,MATCH(D497,식자재단가!$C$4:$C$203,0)),"과세"))</f>
        <v/>
      </c>
      <c r="K497" s="28" t="str">
        <f aca="false">IF(I497="","",IF(J497="과세",ROUND(I497*0.1,0),0))</f>
        <v/>
      </c>
      <c r="L497" s="28" t="str">
        <f aca="false">IF(I497="","",I497+K497)</f>
        <v/>
      </c>
      <c r="M497" s="10"/>
      <c r="N497" s="80"/>
      <c r="O497" s="80"/>
      <c r="P497" s="59" t="str">
        <f aca="false">IF(E497="","",IFERROR(INDEX(기본설정!$H$4:$H$14,MATCH(E497,기본설정!$G$4:$G$14,0)),""))</f>
        <v/>
      </c>
    </row>
    <row r="498" customFormat="false" ht="15" hidden="false" customHeight="false" outlineLevel="0" collapsed="false">
      <c r="A498" s="73"/>
      <c r="B498" s="10"/>
      <c r="C498" s="80"/>
      <c r="D498" s="80"/>
      <c r="E498" s="81" t="str">
        <f aca="false">IF(D498="","",IFERROR(INDEX(식자재단가!$B$4:$B$203,MATCH(D498,식자재단가!$C$4:$C$203,0)),""))</f>
        <v/>
      </c>
      <c r="F498" s="76"/>
      <c r="G498" s="59" t="str">
        <f aca="false">IF(D498="","",IFERROR(INDEX(식자재단가!$F$4:$F$203,MATCH(D498,식자재단가!$C$4:$C$203,0)),""))</f>
        <v/>
      </c>
      <c r="H498" s="50"/>
      <c r="I498" s="82" t="str">
        <f aca="false">IF(OR(F498="",H498=""),"",F498*H498)</f>
        <v/>
      </c>
      <c r="J498" s="83" t="str">
        <f aca="false">IF(D498="","",IFERROR(INDEX(식자재단가!$M$4:$M$203,MATCH(D498,식자재단가!$C$4:$C$203,0)),"과세"))</f>
        <v/>
      </c>
      <c r="K498" s="28" t="str">
        <f aca="false">IF(I498="","",IF(J498="과세",ROUND(I498*0.1,0),0))</f>
        <v/>
      </c>
      <c r="L498" s="28" t="str">
        <f aca="false">IF(I498="","",I498+K498)</f>
        <v/>
      </c>
      <c r="M498" s="10"/>
      <c r="N498" s="80"/>
      <c r="O498" s="80"/>
      <c r="P498" s="59" t="str">
        <f aca="false">IF(E498="","",IFERROR(INDEX(기본설정!$H$4:$H$14,MATCH(E498,기본설정!$G$4:$G$14,0)),""))</f>
        <v/>
      </c>
    </row>
    <row r="499" customFormat="false" ht="15" hidden="false" customHeight="false" outlineLevel="0" collapsed="false">
      <c r="A499" s="73"/>
      <c r="B499" s="10"/>
      <c r="C499" s="80"/>
      <c r="D499" s="80"/>
      <c r="E499" s="81" t="str">
        <f aca="false">IF(D499="","",IFERROR(INDEX(식자재단가!$B$4:$B$203,MATCH(D499,식자재단가!$C$4:$C$203,0)),""))</f>
        <v/>
      </c>
      <c r="F499" s="76"/>
      <c r="G499" s="59" t="str">
        <f aca="false">IF(D499="","",IFERROR(INDEX(식자재단가!$F$4:$F$203,MATCH(D499,식자재단가!$C$4:$C$203,0)),""))</f>
        <v/>
      </c>
      <c r="H499" s="50"/>
      <c r="I499" s="82" t="str">
        <f aca="false">IF(OR(F499="",H499=""),"",F499*H499)</f>
        <v/>
      </c>
      <c r="J499" s="83" t="str">
        <f aca="false">IF(D499="","",IFERROR(INDEX(식자재단가!$M$4:$M$203,MATCH(D499,식자재단가!$C$4:$C$203,0)),"과세"))</f>
        <v/>
      </c>
      <c r="K499" s="28" t="str">
        <f aca="false">IF(I499="","",IF(J499="과세",ROUND(I499*0.1,0),0))</f>
        <v/>
      </c>
      <c r="L499" s="28" t="str">
        <f aca="false">IF(I499="","",I499+K499)</f>
        <v/>
      </c>
      <c r="M499" s="10"/>
      <c r="N499" s="80"/>
      <c r="O499" s="80"/>
      <c r="P499" s="59" t="str">
        <f aca="false">IF(E499="","",IFERROR(INDEX(기본설정!$H$4:$H$14,MATCH(E499,기본설정!$G$4:$G$14,0)),""))</f>
        <v/>
      </c>
    </row>
    <row r="500" customFormat="false" ht="15" hidden="false" customHeight="false" outlineLevel="0" collapsed="false">
      <c r="A500" s="73"/>
      <c r="B500" s="10"/>
      <c r="C500" s="80"/>
      <c r="D500" s="80"/>
      <c r="E500" s="81" t="str">
        <f aca="false">IF(D500="","",IFERROR(INDEX(식자재단가!$B$4:$B$203,MATCH(D500,식자재단가!$C$4:$C$203,0)),""))</f>
        <v/>
      </c>
      <c r="F500" s="76"/>
      <c r="G500" s="59" t="str">
        <f aca="false">IF(D500="","",IFERROR(INDEX(식자재단가!$F$4:$F$203,MATCH(D500,식자재단가!$C$4:$C$203,0)),""))</f>
        <v/>
      </c>
      <c r="H500" s="50"/>
      <c r="I500" s="82" t="str">
        <f aca="false">IF(OR(F500="",H500=""),"",F500*H500)</f>
        <v/>
      </c>
      <c r="J500" s="83" t="str">
        <f aca="false">IF(D500="","",IFERROR(INDEX(식자재단가!$M$4:$M$203,MATCH(D500,식자재단가!$C$4:$C$203,0)),"과세"))</f>
        <v/>
      </c>
      <c r="K500" s="28" t="str">
        <f aca="false">IF(I500="","",IF(J500="과세",ROUND(I500*0.1,0),0))</f>
        <v/>
      </c>
      <c r="L500" s="28" t="str">
        <f aca="false">IF(I500="","",I500+K500)</f>
        <v/>
      </c>
      <c r="M500" s="10"/>
      <c r="N500" s="80"/>
      <c r="O500" s="80"/>
      <c r="P500" s="59" t="str">
        <f aca="false">IF(E500="","",IFERROR(INDEX(기본설정!$H$4:$H$14,MATCH(E500,기본설정!$G$4:$G$14,0)),""))</f>
        <v/>
      </c>
    </row>
    <row r="501" customFormat="false" ht="15" hidden="false" customHeight="false" outlineLevel="0" collapsed="false">
      <c r="A501" s="73"/>
      <c r="B501" s="10"/>
      <c r="C501" s="80"/>
      <c r="D501" s="80"/>
      <c r="E501" s="81" t="str">
        <f aca="false">IF(D501="","",IFERROR(INDEX(식자재단가!$B$4:$B$203,MATCH(D501,식자재단가!$C$4:$C$203,0)),""))</f>
        <v/>
      </c>
      <c r="F501" s="76"/>
      <c r="G501" s="59" t="str">
        <f aca="false">IF(D501="","",IFERROR(INDEX(식자재단가!$F$4:$F$203,MATCH(D501,식자재단가!$C$4:$C$203,0)),""))</f>
        <v/>
      </c>
      <c r="H501" s="50"/>
      <c r="I501" s="82" t="str">
        <f aca="false">IF(OR(F501="",H501=""),"",F501*H501)</f>
        <v/>
      </c>
      <c r="J501" s="83" t="str">
        <f aca="false">IF(D501="","",IFERROR(INDEX(식자재단가!$M$4:$M$203,MATCH(D501,식자재단가!$C$4:$C$203,0)),"과세"))</f>
        <v/>
      </c>
      <c r="K501" s="28" t="str">
        <f aca="false">IF(I501="","",IF(J501="과세",ROUND(I501*0.1,0),0))</f>
        <v/>
      </c>
      <c r="L501" s="28" t="str">
        <f aca="false">IF(I501="","",I501+K501)</f>
        <v/>
      </c>
      <c r="M501" s="10"/>
      <c r="N501" s="80"/>
      <c r="O501" s="80"/>
      <c r="P501" s="59" t="str">
        <f aca="false">IF(E501="","",IFERROR(INDEX(기본설정!$H$4:$H$14,MATCH(E501,기본설정!$G$4:$G$14,0)),""))</f>
        <v/>
      </c>
    </row>
    <row r="502" customFormat="false" ht="15" hidden="false" customHeight="false" outlineLevel="0" collapsed="false">
      <c r="A502" s="73"/>
      <c r="B502" s="10"/>
      <c r="C502" s="80"/>
      <c r="D502" s="80"/>
      <c r="E502" s="81" t="str">
        <f aca="false">IF(D502="","",IFERROR(INDEX(식자재단가!$B$4:$B$203,MATCH(D502,식자재단가!$C$4:$C$203,0)),""))</f>
        <v/>
      </c>
      <c r="F502" s="76"/>
      <c r="G502" s="59" t="str">
        <f aca="false">IF(D502="","",IFERROR(INDEX(식자재단가!$F$4:$F$203,MATCH(D502,식자재단가!$C$4:$C$203,0)),""))</f>
        <v/>
      </c>
      <c r="H502" s="50"/>
      <c r="I502" s="82" t="str">
        <f aca="false">IF(OR(F502="",H502=""),"",F502*H502)</f>
        <v/>
      </c>
      <c r="J502" s="83" t="str">
        <f aca="false">IF(D502="","",IFERROR(INDEX(식자재단가!$M$4:$M$203,MATCH(D502,식자재단가!$C$4:$C$203,0)),"과세"))</f>
        <v/>
      </c>
      <c r="K502" s="28" t="str">
        <f aca="false">IF(I502="","",IF(J502="과세",ROUND(I502*0.1,0),0))</f>
        <v/>
      </c>
      <c r="L502" s="28" t="str">
        <f aca="false">IF(I502="","",I502+K502)</f>
        <v/>
      </c>
      <c r="M502" s="10"/>
      <c r="N502" s="80"/>
      <c r="O502" s="80"/>
      <c r="P502" s="59" t="str">
        <f aca="false">IF(E502="","",IFERROR(INDEX(기본설정!$H$4:$H$14,MATCH(E502,기본설정!$G$4:$G$14,0)),""))</f>
        <v/>
      </c>
    </row>
    <row r="503" customFormat="false" ht="15" hidden="false" customHeight="false" outlineLevel="0" collapsed="false">
      <c r="A503" s="73"/>
      <c r="B503" s="10"/>
      <c r="C503" s="80"/>
      <c r="D503" s="80"/>
      <c r="E503" s="81" t="str">
        <f aca="false">IF(D503="","",IFERROR(INDEX(식자재단가!$B$4:$B$203,MATCH(D503,식자재단가!$C$4:$C$203,0)),""))</f>
        <v/>
      </c>
      <c r="F503" s="76"/>
      <c r="G503" s="59" t="str">
        <f aca="false">IF(D503="","",IFERROR(INDEX(식자재단가!$F$4:$F$203,MATCH(D503,식자재단가!$C$4:$C$203,0)),""))</f>
        <v/>
      </c>
      <c r="H503" s="50"/>
      <c r="I503" s="82" t="str">
        <f aca="false">IF(OR(F503="",H503=""),"",F503*H503)</f>
        <v/>
      </c>
      <c r="J503" s="83" t="str">
        <f aca="false">IF(D503="","",IFERROR(INDEX(식자재단가!$M$4:$M$203,MATCH(D503,식자재단가!$C$4:$C$203,0)),"과세"))</f>
        <v/>
      </c>
      <c r="K503" s="28" t="str">
        <f aca="false">IF(I503="","",IF(J503="과세",ROUND(I503*0.1,0),0))</f>
        <v/>
      </c>
      <c r="L503" s="28" t="str">
        <f aca="false">IF(I503="","",I503+K503)</f>
        <v/>
      </c>
      <c r="M503" s="10"/>
      <c r="N503" s="80"/>
      <c r="O503" s="80"/>
      <c r="P503" s="59" t="str">
        <f aca="false">IF(E503="","",IFERROR(INDEX(기본설정!$H$4:$H$14,MATCH(E503,기본설정!$G$4:$G$14,0)),""))</f>
        <v/>
      </c>
    </row>
    <row r="504" customFormat="false" ht="15" hidden="false" customHeight="false" outlineLevel="0" collapsed="false">
      <c r="A504" s="73"/>
      <c r="B504" s="10"/>
      <c r="C504" s="80"/>
      <c r="D504" s="80"/>
      <c r="E504" s="81" t="str">
        <f aca="false">IF(D504="","",IFERROR(INDEX(식자재단가!$B$4:$B$203,MATCH(D504,식자재단가!$C$4:$C$203,0)),""))</f>
        <v/>
      </c>
      <c r="F504" s="76"/>
      <c r="G504" s="59" t="str">
        <f aca="false">IF(D504="","",IFERROR(INDEX(식자재단가!$F$4:$F$203,MATCH(D504,식자재단가!$C$4:$C$203,0)),""))</f>
        <v/>
      </c>
      <c r="H504" s="50"/>
      <c r="I504" s="82" t="str">
        <f aca="false">IF(OR(F504="",H504=""),"",F504*H504)</f>
        <v/>
      </c>
      <c r="J504" s="83" t="str">
        <f aca="false">IF(D504="","",IFERROR(INDEX(식자재단가!$M$4:$M$203,MATCH(D504,식자재단가!$C$4:$C$203,0)),"과세"))</f>
        <v/>
      </c>
      <c r="K504" s="28" t="str">
        <f aca="false">IF(I504="","",IF(J504="과세",ROUND(I504*0.1,0),0))</f>
        <v/>
      </c>
      <c r="L504" s="28" t="str">
        <f aca="false">IF(I504="","",I504+K504)</f>
        <v/>
      </c>
      <c r="M504" s="10"/>
      <c r="N504" s="80"/>
      <c r="O504" s="80"/>
      <c r="P504" s="59" t="str">
        <f aca="false">IF(E504="","",IFERROR(INDEX(기본설정!$H$4:$H$14,MATCH(E504,기본설정!$G$4:$G$14,0)),""))</f>
        <v/>
      </c>
    </row>
    <row r="505" customFormat="false" ht="15" hidden="false" customHeight="false" outlineLevel="0" collapsed="false">
      <c r="A505" s="73"/>
      <c r="B505" s="10"/>
      <c r="C505" s="80"/>
      <c r="D505" s="80"/>
      <c r="E505" s="81" t="str">
        <f aca="false">IF(D505="","",IFERROR(INDEX(식자재단가!$B$4:$B$203,MATCH(D505,식자재단가!$C$4:$C$203,0)),""))</f>
        <v/>
      </c>
      <c r="F505" s="76"/>
      <c r="G505" s="59" t="str">
        <f aca="false">IF(D505="","",IFERROR(INDEX(식자재단가!$F$4:$F$203,MATCH(D505,식자재단가!$C$4:$C$203,0)),""))</f>
        <v/>
      </c>
      <c r="H505" s="50"/>
      <c r="I505" s="82" t="str">
        <f aca="false">IF(OR(F505="",H505=""),"",F505*H505)</f>
        <v/>
      </c>
      <c r="J505" s="83" t="str">
        <f aca="false">IF(D505="","",IFERROR(INDEX(식자재단가!$M$4:$M$203,MATCH(D505,식자재단가!$C$4:$C$203,0)),"과세"))</f>
        <v/>
      </c>
      <c r="K505" s="28" t="str">
        <f aca="false">IF(I505="","",IF(J505="과세",ROUND(I505*0.1,0),0))</f>
        <v/>
      </c>
      <c r="L505" s="28" t="str">
        <f aca="false">IF(I505="","",I505+K505)</f>
        <v/>
      </c>
      <c r="M505" s="10"/>
      <c r="N505" s="80"/>
      <c r="O505" s="80"/>
      <c r="P505" s="59" t="str">
        <f aca="false">IF(E505="","",IFERROR(INDEX(기본설정!$H$4:$H$14,MATCH(E505,기본설정!$G$4:$G$14,0)),""))</f>
        <v/>
      </c>
    </row>
    <row r="506" customFormat="false" ht="15" hidden="false" customHeight="false" outlineLevel="0" collapsed="false">
      <c r="A506" s="73"/>
      <c r="B506" s="10"/>
      <c r="C506" s="80"/>
      <c r="D506" s="80"/>
      <c r="E506" s="81" t="str">
        <f aca="false">IF(D506="","",IFERROR(INDEX(식자재단가!$B$4:$B$203,MATCH(D506,식자재단가!$C$4:$C$203,0)),""))</f>
        <v/>
      </c>
      <c r="F506" s="76"/>
      <c r="G506" s="59" t="str">
        <f aca="false">IF(D506="","",IFERROR(INDEX(식자재단가!$F$4:$F$203,MATCH(D506,식자재단가!$C$4:$C$203,0)),""))</f>
        <v/>
      </c>
      <c r="H506" s="50"/>
      <c r="I506" s="82" t="str">
        <f aca="false">IF(OR(F506="",H506=""),"",F506*H506)</f>
        <v/>
      </c>
      <c r="J506" s="83" t="str">
        <f aca="false">IF(D506="","",IFERROR(INDEX(식자재단가!$M$4:$M$203,MATCH(D506,식자재단가!$C$4:$C$203,0)),"과세"))</f>
        <v/>
      </c>
      <c r="K506" s="28" t="str">
        <f aca="false">IF(I506="","",IF(J506="과세",ROUND(I506*0.1,0),0))</f>
        <v/>
      </c>
      <c r="L506" s="28" t="str">
        <f aca="false">IF(I506="","",I506+K506)</f>
        <v/>
      </c>
      <c r="M506" s="10"/>
      <c r="N506" s="80"/>
      <c r="O506" s="80"/>
      <c r="P506" s="59" t="str">
        <f aca="false">IF(E506="","",IFERROR(INDEX(기본설정!$H$4:$H$14,MATCH(E506,기본설정!$G$4:$G$14,0)),""))</f>
        <v/>
      </c>
    </row>
    <row r="507" customFormat="false" ht="15" hidden="false" customHeight="false" outlineLevel="0" collapsed="false">
      <c r="A507" s="73"/>
      <c r="B507" s="10"/>
      <c r="C507" s="80"/>
      <c r="D507" s="80"/>
      <c r="E507" s="81" t="str">
        <f aca="false">IF(D507="","",IFERROR(INDEX(식자재단가!$B$4:$B$203,MATCH(D507,식자재단가!$C$4:$C$203,0)),""))</f>
        <v/>
      </c>
      <c r="F507" s="76"/>
      <c r="G507" s="59" t="str">
        <f aca="false">IF(D507="","",IFERROR(INDEX(식자재단가!$F$4:$F$203,MATCH(D507,식자재단가!$C$4:$C$203,0)),""))</f>
        <v/>
      </c>
      <c r="H507" s="50"/>
      <c r="I507" s="82" t="str">
        <f aca="false">IF(OR(F507="",H507=""),"",F507*H507)</f>
        <v/>
      </c>
      <c r="J507" s="83" t="str">
        <f aca="false">IF(D507="","",IFERROR(INDEX(식자재단가!$M$4:$M$203,MATCH(D507,식자재단가!$C$4:$C$203,0)),"과세"))</f>
        <v/>
      </c>
      <c r="K507" s="28" t="str">
        <f aca="false">IF(I507="","",IF(J507="과세",ROUND(I507*0.1,0),0))</f>
        <v/>
      </c>
      <c r="L507" s="28" t="str">
        <f aca="false">IF(I507="","",I507+K507)</f>
        <v/>
      </c>
      <c r="M507" s="10"/>
      <c r="N507" s="80"/>
      <c r="O507" s="80"/>
      <c r="P507" s="59" t="str">
        <f aca="false">IF(E507="","",IFERROR(INDEX(기본설정!$H$4:$H$14,MATCH(E507,기본설정!$G$4:$G$14,0)),""))</f>
        <v/>
      </c>
    </row>
    <row r="508" customFormat="false" ht="15" hidden="false" customHeight="false" outlineLevel="0" collapsed="false">
      <c r="A508" s="73"/>
      <c r="B508" s="10"/>
      <c r="C508" s="80"/>
      <c r="D508" s="80"/>
      <c r="E508" s="81" t="str">
        <f aca="false">IF(D508="","",IFERROR(INDEX(식자재단가!$B$4:$B$203,MATCH(D508,식자재단가!$C$4:$C$203,0)),""))</f>
        <v/>
      </c>
      <c r="F508" s="76"/>
      <c r="G508" s="59" t="str">
        <f aca="false">IF(D508="","",IFERROR(INDEX(식자재단가!$F$4:$F$203,MATCH(D508,식자재단가!$C$4:$C$203,0)),""))</f>
        <v/>
      </c>
      <c r="H508" s="50"/>
      <c r="I508" s="82" t="str">
        <f aca="false">IF(OR(F508="",H508=""),"",F508*H508)</f>
        <v/>
      </c>
      <c r="J508" s="83" t="str">
        <f aca="false">IF(D508="","",IFERROR(INDEX(식자재단가!$M$4:$M$203,MATCH(D508,식자재단가!$C$4:$C$203,0)),"과세"))</f>
        <v/>
      </c>
      <c r="K508" s="28" t="str">
        <f aca="false">IF(I508="","",IF(J508="과세",ROUND(I508*0.1,0),0))</f>
        <v/>
      </c>
      <c r="L508" s="28" t="str">
        <f aca="false">IF(I508="","",I508+K508)</f>
        <v/>
      </c>
      <c r="M508" s="10"/>
      <c r="N508" s="80"/>
      <c r="O508" s="80"/>
      <c r="P508" s="59" t="str">
        <f aca="false">IF(E508="","",IFERROR(INDEX(기본설정!$H$4:$H$14,MATCH(E508,기본설정!$G$4:$G$14,0)),""))</f>
        <v/>
      </c>
    </row>
    <row r="509" customFormat="false" ht="15" hidden="false" customHeight="false" outlineLevel="0" collapsed="false">
      <c r="A509" s="73"/>
      <c r="B509" s="10"/>
      <c r="C509" s="80"/>
      <c r="D509" s="80"/>
      <c r="E509" s="81" t="str">
        <f aca="false">IF(D509="","",IFERROR(INDEX(식자재단가!$B$4:$B$203,MATCH(D509,식자재단가!$C$4:$C$203,0)),""))</f>
        <v/>
      </c>
      <c r="F509" s="76"/>
      <c r="G509" s="59" t="str">
        <f aca="false">IF(D509="","",IFERROR(INDEX(식자재단가!$F$4:$F$203,MATCH(D509,식자재단가!$C$4:$C$203,0)),""))</f>
        <v/>
      </c>
      <c r="H509" s="50"/>
      <c r="I509" s="82" t="str">
        <f aca="false">IF(OR(F509="",H509=""),"",F509*H509)</f>
        <v/>
      </c>
      <c r="J509" s="83" t="str">
        <f aca="false">IF(D509="","",IFERROR(INDEX(식자재단가!$M$4:$M$203,MATCH(D509,식자재단가!$C$4:$C$203,0)),"과세"))</f>
        <v/>
      </c>
      <c r="K509" s="28" t="str">
        <f aca="false">IF(I509="","",IF(J509="과세",ROUND(I509*0.1,0),0))</f>
        <v/>
      </c>
      <c r="L509" s="28" t="str">
        <f aca="false">IF(I509="","",I509+K509)</f>
        <v/>
      </c>
      <c r="M509" s="10"/>
      <c r="N509" s="80"/>
      <c r="O509" s="80"/>
      <c r="P509" s="59" t="str">
        <f aca="false">IF(E509="","",IFERROR(INDEX(기본설정!$H$4:$H$14,MATCH(E509,기본설정!$G$4:$G$14,0)),""))</f>
        <v/>
      </c>
    </row>
    <row r="510" customFormat="false" ht="15" hidden="false" customHeight="false" outlineLevel="0" collapsed="false">
      <c r="A510" s="73"/>
      <c r="B510" s="10"/>
      <c r="C510" s="80"/>
      <c r="D510" s="80"/>
      <c r="E510" s="81" t="str">
        <f aca="false">IF(D510="","",IFERROR(INDEX(식자재단가!$B$4:$B$203,MATCH(D510,식자재단가!$C$4:$C$203,0)),""))</f>
        <v/>
      </c>
      <c r="F510" s="76"/>
      <c r="G510" s="59" t="str">
        <f aca="false">IF(D510="","",IFERROR(INDEX(식자재단가!$F$4:$F$203,MATCH(D510,식자재단가!$C$4:$C$203,0)),""))</f>
        <v/>
      </c>
      <c r="H510" s="50"/>
      <c r="I510" s="82" t="str">
        <f aca="false">IF(OR(F510="",H510=""),"",F510*H510)</f>
        <v/>
      </c>
      <c r="J510" s="83" t="str">
        <f aca="false">IF(D510="","",IFERROR(INDEX(식자재단가!$M$4:$M$203,MATCH(D510,식자재단가!$C$4:$C$203,0)),"과세"))</f>
        <v/>
      </c>
      <c r="K510" s="28" t="str">
        <f aca="false">IF(I510="","",IF(J510="과세",ROUND(I510*0.1,0),0))</f>
        <v/>
      </c>
      <c r="L510" s="28" t="str">
        <f aca="false">IF(I510="","",I510+K510)</f>
        <v/>
      </c>
      <c r="M510" s="10"/>
      <c r="N510" s="80"/>
      <c r="O510" s="80"/>
      <c r="P510" s="59" t="str">
        <f aca="false">IF(E510="","",IFERROR(INDEX(기본설정!$H$4:$H$14,MATCH(E510,기본설정!$G$4:$G$14,0)),""))</f>
        <v/>
      </c>
    </row>
    <row r="511" customFormat="false" ht="15" hidden="false" customHeight="false" outlineLevel="0" collapsed="false">
      <c r="A511" s="73"/>
      <c r="B511" s="10"/>
      <c r="C511" s="80"/>
      <c r="D511" s="80"/>
      <c r="E511" s="81" t="str">
        <f aca="false">IF(D511="","",IFERROR(INDEX(식자재단가!$B$4:$B$203,MATCH(D511,식자재단가!$C$4:$C$203,0)),""))</f>
        <v/>
      </c>
      <c r="F511" s="76"/>
      <c r="G511" s="59" t="str">
        <f aca="false">IF(D511="","",IFERROR(INDEX(식자재단가!$F$4:$F$203,MATCH(D511,식자재단가!$C$4:$C$203,0)),""))</f>
        <v/>
      </c>
      <c r="H511" s="50"/>
      <c r="I511" s="82" t="str">
        <f aca="false">IF(OR(F511="",H511=""),"",F511*H511)</f>
        <v/>
      </c>
      <c r="J511" s="83" t="str">
        <f aca="false">IF(D511="","",IFERROR(INDEX(식자재단가!$M$4:$M$203,MATCH(D511,식자재단가!$C$4:$C$203,0)),"과세"))</f>
        <v/>
      </c>
      <c r="K511" s="28" t="str">
        <f aca="false">IF(I511="","",IF(J511="과세",ROUND(I511*0.1,0),0))</f>
        <v/>
      </c>
      <c r="L511" s="28" t="str">
        <f aca="false">IF(I511="","",I511+K511)</f>
        <v/>
      </c>
      <c r="M511" s="10"/>
      <c r="N511" s="80"/>
      <c r="O511" s="80"/>
      <c r="P511" s="59" t="str">
        <f aca="false">IF(E511="","",IFERROR(INDEX(기본설정!$H$4:$H$14,MATCH(E511,기본설정!$G$4:$G$14,0)),""))</f>
        <v/>
      </c>
    </row>
    <row r="512" customFormat="false" ht="15" hidden="false" customHeight="false" outlineLevel="0" collapsed="false">
      <c r="A512" s="73"/>
      <c r="B512" s="10"/>
      <c r="C512" s="80"/>
      <c r="D512" s="80"/>
      <c r="E512" s="81" t="str">
        <f aca="false">IF(D512="","",IFERROR(INDEX(식자재단가!$B$4:$B$203,MATCH(D512,식자재단가!$C$4:$C$203,0)),""))</f>
        <v/>
      </c>
      <c r="F512" s="76"/>
      <c r="G512" s="59" t="str">
        <f aca="false">IF(D512="","",IFERROR(INDEX(식자재단가!$F$4:$F$203,MATCH(D512,식자재단가!$C$4:$C$203,0)),""))</f>
        <v/>
      </c>
      <c r="H512" s="50"/>
      <c r="I512" s="82" t="str">
        <f aca="false">IF(OR(F512="",H512=""),"",F512*H512)</f>
        <v/>
      </c>
      <c r="J512" s="83" t="str">
        <f aca="false">IF(D512="","",IFERROR(INDEX(식자재단가!$M$4:$M$203,MATCH(D512,식자재단가!$C$4:$C$203,0)),"과세"))</f>
        <v/>
      </c>
      <c r="K512" s="28" t="str">
        <f aca="false">IF(I512="","",IF(J512="과세",ROUND(I512*0.1,0),0))</f>
        <v/>
      </c>
      <c r="L512" s="28" t="str">
        <f aca="false">IF(I512="","",I512+K512)</f>
        <v/>
      </c>
      <c r="M512" s="10"/>
      <c r="N512" s="80"/>
      <c r="O512" s="80"/>
      <c r="P512" s="59" t="str">
        <f aca="false">IF(E512="","",IFERROR(INDEX(기본설정!$H$4:$H$14,MATCH(E512,기본설정!$G$4:$G$14,0)),""))</f>
        <v/>
      </c>
    </row>
    <row r="513" customFormat="false" ht="15" hidden="false" customHeight="false" outlineLevel="0" collapsed="false">
      <c r="A513" s="73"/>
      <c r="B513" s="10"/>
      <c r="C513" s="80"/>
      <c r="D513" s="80"/>
      <c r="E513" s="81" t="str">
        <f aca="false">IF(D513="","",IFERROR(INDEX(식자재단가!$B$4:$B$203,MATCH(D513,식자재단가!$C$4:$C$203,0)),""))</f>
        <v/>
      </c>
      <c r="F513" s="76"/>
      <c r="G513" s="59" t="str">
        <f aca="false">IF(D513="","",IFERROR(INDEX(식자재단가!$F$4:$F$203,MATCH(D513,식자재단가!$C$4:$C$203,0)),""))</f>
        <v/>
      </c>
      <c r="H513" s="50"/>
      <c r="I513" s="82" t="str">
        <f aca="false">IF(OR(F513="",H513=""),"",F513*H513)</f>
        <v/>
      </c>
      <c r="J513" s="83" t="str">
        <f aca="false">IF(D513="","",IFERROR(INDEX(식자재단가!$M$4:$M$203,MATCH(D513,식자재단가!$C$4:$C$203,0)),"과세"))</f>
        <v/>
      </c>
      <c r="K513" s="28" t="str">
        <f aca="false">IF(I513="","",IF(J513="과세",ROUND(I513*0.1,0),0))</f>
        <v/>
      </c>
      <c r="L513" s="28" t="str">
        <f aca="false">IF(I513="","",I513+K513)</f>
        <v/>
      </c>
      <c r="M513" s="10"/>
      <c r="N513" s="80"/>
      <c r="O513" s="80"/>
      <c r="P513" s="59" t="str">
        <f aca="false">IF(E513="","",IFERROR(INDEX(기본설정!$H$4:$H$14,MATCH(E513,기본설정!$G$4:$G$14,0)),""))</f>
        <v/>
      </c>
    </row>
    <row r="514" customFormat="false" ht="15" hidden="false" customHeight="false" outlineLevel="0" collapsed="false">
      <c r="A514" s="73"/>
      <c r="B514" s="10"/>
      <c r="C514" s="80"/>
      <c r="D514" s="80"/>
      <c r="E514" s="81" t="str">
        <f aca="false">IF(D514="","",IFERROR(INDEX(식자재단가!$B$4:$B$203,MATCH(D514,식자재단가!$C$4:$C$203,0)),""))</f>
        <v/>
      </c>
      <c r="F514" s="76"/>
      <c r="G514" s="59" t="str">
        <f aca="false">IF(D514="","",IFERROR(INDEX(식자재단가!$F$4:$F$203,MATCH(D514,식자재단가!$C$4:$C$203,0)),""))</f>
        <v/>
      </c>
      <c r="H514" s="50"/>
      <c r="I514" s="82" t="str">
        <f aca="false">IF(OR(F514="",H514=""),"",F514*H514)</f>
        <v/>
      </c>
      <c r="J514" s="83" t="str">
        <f aca="false">IF(D514="","",IFERROR(INDEX(식자재단가!$M$4:$M$203,MATCH(D514,식자재단가!$C$4:$C$203,0)),"과세"))</f>
        <v/>
      </c>
      <c r="K514" s="28" t="str">
        <f aca="false">IF(I514="","",IF(J514="과세",ROUND(I514*0.1,0),0))</f>
        <v/>
      </c>
      <c r="L514" s="28" t="str">
        <f aca="false">IF(I514="","",I514+K514)</f>
        <v/>
      </c>
      <c r="M514" s="10"/>
      <c r="N514" s="80"/>
      <c r="O514" s="80"/>
      <c r="P514" s="59" t="str">
        <f aca="false">IF(E514="","",IFERROR(INDEX(기본설정!$H$4:$H$14,MATCH(E514,기본설정!$G$4:$G$14,0)),""))</f>
        <v/>
      </c>
    </row>
    <row r="515" customFormat="false" ht="15" hidden="false" customHeight="false" outlineLevel="0" collapsed="false">
      <c r="A515" s="73"/>
      <c r="B515" s="10"/>
      <c r="C515" s="80"/>
      <c r="D515" s="80"/>
      <c r="E515" s="81" t="str">
        <f aca="false">IF(D515="","",IFERROR(INDEX(식자재단가!$B$4:$B$203,MATCH(D515,식자재단가!$C$4:$C$203,0)),""))</f>
        <v/>
      </c>
      <c r="F515" s="76"/>
      <c r="G515" s="59" t="str">
        <f aca="false">IF(D515="","",IFERROR(INDEX(식자재단가!$F$4:$F$203,MATCH(D515,식자재단가!$C$4:$C$203,0)),""))</f>
        <v/>
      </c>
      <c r="H515" s="50"/>
      <c r="I515" s="82" t="str">
        <f aca="false">IF(OR(F515="",H515=""),"",F515*H515)</f>
        <v/>
      </c>
      <c r="J515" s="83" t="str">
        <f aca="false">IF(D515="","",IFERROR(INDEX(식자재단가!$M$4:$M$203,MATCH(D515,식자재단가!$C$4:$C$203,0)),"과세"))</f>
        <v/>
      </c>
      <c r="K515" s="28" t="str">
        <f aca="false">IF(I515="","",IF(J515="과세",ROUND(I515*0.1,0),0))</f>
        <v/>
      </c>
      <c r="L515" s="28" t="str">
        <f aca="false">IF(I515="","",I515+K515)</f>
        <v/>
      </c>
      <c r="M515" s="10"/>
      <c r="N515" s="80"/>
      <c r="O515" s="80"/>
      <c r="P515" s="59" t="str">
        <f aca="false">IF(E515="","",IFERROR(INDEX(기본설정!$H$4:$H$14,MATCH(E515,기본설정!$G$4:$G$14,0)),""))</f>
        <v/>
      </c>
    </row>
    <row r="516" customFormat="false" ht="15" hidden="false" customHeight="false" outlineLevel="0" collapsed="false">
      <c r="A516" s="73"/>
      <c r="B516" s="10"/>
      <c r="C516" s="80"/>
      <c r="D516" s="80"/>
      <c r="E516" s="81" t="str">
        <f aca="false">IF(D516="","",IFERROR(INDEX(식자재단가!$B$4:$B$203,MATCH(D516,식자재단가!$C$4:$C$203,0)),""))</f>
        <v/>
      </c>
      <c r="F516" s="76"/>
      <c r="G516" s="59" t="str">
        <f aca="false">IF(D516="","",IFERROR(INDEX(식자재단가!$F$4:$F$203,MATCH(D516,식자재단가!$C$4:$C$203,0)),""))</f>
        <v/>
      </c>
      <c r="H516" s="50"/>
      <c r="I516" s="82" t="str">
        <f aca="false">IF(OR(F516="",H516=""),"",F516*H516)</f>
        <v/>
      </c>
      <c r="J516" s="83" t="str">
        <f aca="false">IF(D516="","",IFERROR(INDEX(식자재단가!$M$4:$M$203,MATCH(D516,식자재단가!$C$4:$C$203,0)),"과세"))</f>
        <v/>
      </c>
      <c r="K516" s="28" t="str">
        <f aca="false">IF(I516="","",IF(J516="과세",ROUND(I516*0.1,0),0))</f>
        <v/>
      </c>
      <c r="L516" s="28" t="str">
        <f aca="false">IF(I516="","",I516+K516)</f>
        <v/>
      </c>
      <c r="M516" s="10"/>
      <c r="N516" s="80"/>
      <c r="O516" s="80"/>
      <c r="P516" s="59" t="str">
        <f aca="false">IF(E516="","",IFERROR(INDEX(기본설정!$H$4:$H$14,MATCH(E516,기본설정!$G$4:$G$14,0)),""))</f>
        <v/>
      </c>
    </row>
    <row r="517" customFormat="false" ht="15" hidden="false" customHeight="false" outlineLevel="0" collapsed="false">
      <c r="A517" s="73"/>
      <c r="B517" s="10"/>
      <c r="C517" s="80"/>
      <c r="D517" s="80"/>
      <c r="E517" s="81" t="str">
        <f aca="false">IF(D517="","",IFERROR(INDEX(식자재단가!$B$4:$B$203,MATCH(D517,식자재단가!$C$4:$C$203,0)),""))</f>
        <v/>
      </c>
      <c r="F517" s="76"/>
      <c r="G517" s="59" t="str">
        <f aca="false">IF(D517="","",IFERROR(INDEX(식자재단가!$F$4:$F$203,MATCH(D517,식자재단가!$C$4:$C$203,0)),""))</f>
        <v/>
      </c>
      <c r="H517" s="50"/>
      <c r="I517" s="82" t="str">
        <f aca="false">IF(OR(F517="",H517=""),"",F517*H517)</f>
        <v/>
      </c>
      <c r="J517" s="83" t="str">
        <f aca="false">IF(D517="","",IFERROR(INDEX(식자재단가!$M$4:$M$203,MATCH(D517,식자재단가!$C$4:$C$203,0)),"과세"))</f>
        <v/>
      </c>
      <c r="K517" s="28" t="str">
        <f aca="false">IF(I517="","",IF(J517="과세",ROUND(I517*0.1,0),0))</f>
        <v/>
      </c>
      <c r="L517" s="28" t="str">
        <f aca="false">IF(I517="","",I517+K517)</f>
        <v/>
      </c>
      <c r="M517" s="10"/>
      <c r="N517" s="80"/>
      <c r="O517" s="80"/>
      <c r="P517" s="59" t="str">
        <f aca="false">IF(E517="","",IFERROR(INDEX(기본설정!$H$4:$H$14,MATCH(E517,기본설정!$G$4:$G$14,0)),""))</f>
        <v/>
      </c>
    </row>
    <row r="518" customFormat="false" ht="15" hidden="false" customHeight="false" outlineLevel="0" collapsed="false">
      <c r="A518" s="73"/>
      <c r="B518" s="10"/>
      <c r="C518" s="80"/>
      <c r="D518" s="80"/>
      <c r="E518" s="81" t="str">
        <f aca="false">IF(D518="","",IFERROR(INDEX(식자재단가!$B$4:$B$203,MATCH(D518,식자재단가!$C$4:$C$203,0)),""))</f>
        <v/>
      </c>
      <c r="F518" s="76"/>
      <c r="G518" s="59" t="str">
        <f aca="false">IF(D518="","",IFERROR(INDEX(식자재단가!$F$4:$F$203,MATCH(D518,식자재단가!$C$4:$C$203,0)),""))</f>
        <v/>
      </c>
      <c r="H518" s="50"/>
      <c r="I518" s="82" t="str">
        <f aca="false">IF(OR(F518="",H518=""),"",F518*H518)</f>
        <v/>
      </c>
      <c r="J518" s="83" t="str">
        <f aca="false">IF(D518="","",IFERROR(INDEX(식자재단가!$M$4:$M$203,MATCH(D518,식자재단가!$C$4:$C$203,0)),"과세"))</f>
        <v/>
      </c>
      <c r="K518" s="28" t="str">
        <f aca="false">IF(I518="","",IF(J518="과세",ROUND(I518*0.1,0),0))</f>
        <v/>
      </c>
      <c r="L518" s="28" t="str">
        <f aca="false">IF(I518="","",I518+K518)</f>
        <v/>
      </c>
      <c r="M518" s="10"/>
      <c r="N518" s="80"/>
      <c r="O518" s="80"/>
      <c r="P518" s="59" t="str">
        <f aca="false">IF(E518="","",IFERROR(INDEX(기본설정!$H$4:$H$14,MATCH(E518,기본설정!$G$4:$G$14,0)),""))</f>
        <v/>
      </c>
    </row>
    <row r="519" customFormat="false" ht="15" hidden="false" customHeight="false" outlineLevel="0" collapsed="false">
      <c r="A519" s="73"/>
      <c r="B519" s="10"/>
      <c r="C519" s="80"/>
      <c r="D519" s="80"/>
      <c r="E519" s="81" t="str">
        <f aca="false">IF(D519="","",IFERROR(INDEX(식자재단가!$B$4:$B$203,MATCH(D519,식자재단가!$C$4:$C$203,0)),""))</f>
        <v/>
      </c>
      <c r="F519" s="76"/>
      <c r="G519" s="59" t="str">
        <f aca="false">IF(D519="","",IFERROR(INDEX(식자재단가!$F$4:$F$203,MATCH(D519,식자재단가!$C$4:$C$203,0)),""))</f>
        <v/>
      </c>
      <c r="H519" s="50"/>
      <c r="I519" s="82" t="str">
        <f aca="false">IF(OR(F519="",H519=""),"",F519*H519)</f>
        <v/>
      </c>
      <c r="J519" s="83" t="str">
        <f aca="false">IF(D519="","",IFERROR(INDEX(식자재단가!$M$4:$M$203,MATCH(D519,식자재단가!$C$4:$C$203,0)),"과세"))</f>
        <v/>
      </c>
      <c r="K519" s="28" t="str">
        <f aca="false">IF(I519="","",IF(J519="과세",ROUND(I519*0.1,0),0))</f>
        <v/>
      </c>
      <c r="L519" s="28" t="str">
        <f aca="false">IF(I519="","",I519+K519)</f>
        <v/>
      </c>
      <c r="M519" s="10"/>
      <c r="N519" s="80"/>
      <c r="O519" s="80"/>
      <c r="P519" s="59" t="str">
        <f aca="false">IF(E519="","",IFERROR(INDEX(기본설정!$H$4:$H$14,MATCH(E519,기본설정!$G$4:$G$14,0)),""))</f>
        <v/>
      </c>
    </row>
    <row r="520" customFormat="false" ht="15" hidden="false" customHeight="false" outlineLevel="0" collapsed="false">
      <c r="A520" s="73"/>
      <c r="B520" s="10"/>
      <c r="C520" s="80"/>
      <c r="D520" s="80"/>
      <c r="E520" s="81" t="str">
        <f aca="false">IF(D520="","",IFERROR(INDEX(식자재단가!$B$4:$B$203,MATCH(D520,식자재단가!$C$4:$C$203,0)),""))</f>
        <v/>
      </c>
      <c r="F520" s="76"/>
      <c r="G520" s="59" t="str">
        <f aca="false">IF(D520="","",IFERROR(INDEX(식자재단가!$F$4:$F$203,MATCH(D520,식자재단가!$C$4:$C$203,0)),""))</f>
        <v/>
      </c>
      <c r="H520" s="50"/>
      <c r="I520" s="82" t="str">
        <f aca="false">IF(OR(F520="",H520=""),"",F520*H520)</f>
        <v/>
      </c>
      <c r="J520" s="83" t="str">
        <f aca="false">IF(D520="","",IFERROR(INDEX(식자재단가!$M$4:$M$203,MATCH(D520,식자재단가!$C$4:$C$203,0)),"과세"))</f>
        <v/>
      </c>
      <c r="K520" s="28" t="str">
        <f aca="false">IF(I520="","",IF(J520="과세",ROUND(I520*0.1,0),0))</f>
        <v/>
      </c>
      <c r="L520" s="28" t="str">
        <f aca="false">IF(I520="","",I520+K520)</f>
        <v/>
      </c>
      <c r="M520" s="10"/>
      <c r="N520" s="80"/>
      <c r="O520" s="80"/>
      <c r="P520" s="59" t="str">
        <f aca="false">IF(E520="","",IFERROR(INDEX(기본설정!$H$4:$H$14,MATCH(E520,기본설정!$G$4:$G$14,0)),""))</f>
        <v/>
      </c>
    </row>
    <row r="521" customFormat="false" ht="15" hidden="false" customHeight="false" outlineLevel="0" collapsed="false">
      <c r="A521" s="73"/>
      <c r="B521" s="10"/>
      <c r="C521" s="80"/>
      <c r="D521" s="80"/>
      <c r="E521" s="81" t="str">
        <f aca="false">IF(D521="","",IFERROR(INDEX(식자재단가!$B$4:$B$203,MATCH(D521,식자재단가!$C$4:$C$203,0)),""))</f>
        <v/>
      </c>
      <c r="F521" s="76"/>
      <c r="G521" s="59" t="str">
        <f aca="false">IF(D521="","",IFERROR(INDEX(식자재단가!$F$4:$F$203,MATCH(D521,식자재단가!$C$4:$C$203,0)),""))</f>
        <v/>
      </c>
      <c r="H521" s="50"/>
      <c r="I521" s="82" t="str">
        <f aca="false">IF(OR(F521="",H521=""),"",F521*H521)</f>
        <v/>
      </c>
      <c r="J521" s="83" t="str">
        <f aca="false">IF(D521="","",IFERROR(INDEX(식자재단가!$M$4:$M$203,MATCH(D521,식자재단가!$C$4:$C$203,0)),"과세"))</f>
        <v/>
      </c>
      <c r="K521" s="28" t="str">
        <f aca="false">IF(I521="","",IF(J521="과세",ROUND(I521*0.1,0),0))</f>
        <v/>
      </c>
      <c r="L521" s="28" t="str">
        <f aca="false">IF(I521="","",I521+K521)</f>
        <v/>
      </c>
      <c r="M521" s="10"/>
      <c r="N521" s="80"/>
      <c r="O521" s="80"/>
      <c r="P521" s="59" t="str">
        <f aca="false">IF(E521="","",IFERROR(INDEX(기본설정!$H$4:$H$14,MATCH(E521,기본설정!$G$4:$G$14,0)),""))</f>
        <v/>
      </c>
    </row>
    <row r="522" customFormat="false" ht="15" hidden="false" customHeight="false" outlineLevel="0" collapsed="false">
      <c r="A522" s="73"/>
      <c r="B522" s="10"/>
      <c r="C522" s="80"/>
      <c r="D522" s="80"/>
      <c r="E522" s="81" t="str">
        <f aca="false">IF(D522="","",IFERROR(INDEX(식자재단가!$B$4:$B$203,MATCH(D522,식자재단가!$C$4:$C$203,0)),""))</f>
        <v/>
      </c>
      <c r="F522" s="76"/>
      <c r="G522" s="59" t="str">
        <f aca="false">IF(D522="","",IFERROR(INDEX(식자재단가!$F$4:$F$203,MATCH(D522,식자재단가!$C$4:$C$203,0)),""))</f>
        <v/>
      </c>
      <c r="H522" s="50"/>
      <c r="I522" s="82" t="str">
        <f aca="false">IF(OR(F522="",H522=""),"",F522*H522)</f>
        <v/>
      </c>
      <c r="J522" s="83" t="str">
        <f aca="false">IF(D522="","",IFERROR(INDEX(식자재단가!$M$4:$M$203,MATCH(D522,식자재단가!$C$4:$C$203,0)),"과세"))</f>
        <v/>
      </c>
      <c r="K522" s="28" t="str">
        <f aca="false">IF(I522="","",IF(J522="과세",ROUND(I522*0.1,0),0))</f>
        <v/>
      </c>
      <c r="L522" s="28" t="str">
        <f aca="false">IF(I522="","",I522+K522)</f>
        <v/>
      </c>
      <c r="M522" s="10"/>
      <c r="N522" s="80"/>
      <c r="O522" s="80"/>
      <c r="P522" s="59" t="str">
        <f aca="false">IF(E522="","",IFERROR(INDEX(기본설정!$H$4:$H$14,MATCH(E522,기본설정!$G$4:$G$14,0)),""))</f>
        <v/>
      </c>
    </row>
    <row r="523" customFormat="false" ht="15" hidden="false" customHeight="false" outlineLevel="0" collapsed="false">
      <c r="A523" s="73"/>
      <c r="B523" s="10"/>
      <c r="C523" s="80"/>
      <c r="D523" s="80"/>
      <c r="E523" s="81" t="str">
        <f aca="false">IF(D523="","",IFERROR(INDEX(식자재단가!$B$4:$B$203,MATCH(D523,식자재단가!$C$4:$C$203,0)),""))</f>
        <v/>
      </c>
      <c r="F523" s="76"/>
      <c r="G523" s="59" t="str">
        <f aca="false">IF(D523="","",IFERROR(INDEX(식자재단가!$F$4:$F$203,MATCH(D523,식자재단가!$C$4:$C$203,0)),""))</f>
        <v/>
      </c>
      <c r="H523" s="50"/>
      <c r="I523" s="82" t="str">
        <f aca="false">IF(OR(F523="",H523=""),"",F523*H523)</f>
        <v/>
      </c>
      <c r="J523" s="83" t="str">
        <f aca="false">IF(D523="","",IFERROR(INDEX(식자재단가!$M$4:$M$203,MATCH(D523,식자재단가!$C$4:$C$203,0)),"과세"))</f>
        <v/>
      </c>
      <c r="K523" s="28" t="str">
        <f aca="false">IF(I523="","",IF(J523="과세",ROUND(I523*0.1,0),0))</f>
        <v/>
      </c>
      <c r="L523" s="28" t="str">
        <f aca="false">IF(I523="","",I523+K523)</f>
        <v/>
      </c>
      <c r="M523" s="10"/>
      <c r="N523" s="80"/>
      <c r="O523" s="80"/>
      <c r="P523" s="59" t="str">
        <f aca="false">IF(E523="","",IFERROR(INDEX(기본설정!$H$4:$H$14,MATCH(E523,기본설정!$G$4:$G$14,0)),""))</f>
        <v/>
      </c>
    </row>
    <row r="524" customFormat="false" ht="15" hidden="false" customHeight="false" outlineLevel="0" collapsed="false">
      <c r="A524" s="73"/>
      <c r="B524" s="10"/>
      <c r="C524" s="80"/>
      <c r="D524" s="80"/>
      <c r="E524" s="81" t="str">
        <f aca="false">IF(D524="","",IFERROR(INDEX(식자재단가!$B$4:$B$203,MATCH(D524,식자재단가!$C$4:$C$203,0)),""))</f>
        <v/>
      </c>
      <c r="F524" s="76"/>
      <c r="G524" s="59" t="str">
        <f aca="false">IF(D524="","",IFERROR(INDEX(식자재단가!$F$4:$F$203,MATCH(D524,식자재단가!$C$4:$C$203,0)),""))</f>
        <v/>
      </c>
      <c r="H524" s="50"/>
      <c r="I524" s="82" t="str">
        <f aca="false">IF(OR(F524="",H524=""),"",F524*H524)</f>
        <v/>
      </c>
      <c r="J524" s="83" t="str">
        <f aca="false">IF(D524="","",IFERROR(INDEX(식자재단가!$M$4:$M$203,MATCH(D524,식자재단가!$C$4:$C$203,0)),"과세"))</f>
        <v/>
      </c>
      <c r="K524" s="28" t="str">
        <f aca="false">IF(I524="","",IF(J524="과세",ROUND(I524*0.1,0),0))</f>
        <v/>
      </c>
      <c r="L524" s="28" t="str">
        <f aca="false">IF(I524="","",I524+K524)</f>
        <v/>
      </c>
      <c r="M524" s="10"/>
      <c r="N524" s="80"/>
      <c r="O524" s="80"/>
      <c r="P524" s="59" t="str">
        <f aca="false">IF(E524="","",IFERROR(INDEX(기본설정!$H$4:$H$14,MATCH(E524,기본설정!$G$4:$G$14,0)),""))</f>
        <v/>
      </c>
    </row>
    <row r="525" customFormat="false" ht="15" hidden="false" customHeight="false" outlineLevel="0" collapsed="false">
      <c r="A525" s="73"/>
      <c r="B525" s="10"/>
      <c r="C525" s="80"/>
      <c r="D525" s="80"/>
      <c r="E525" s="81" t="str">
        <f aca="false">IF(D525="","",IFERROR(INDEX(식자재단가!$B$4:$B$203,MATCH(D525,식자재단가!$C$4:$C$203,0)),""))</f>
        <v/>
      </c>
      <c r="F525" s="76"/>
      <c r="G525" s="59" t="str">
        <f aca="false">IF(D525="","",IFERROR(INDEX(식자재단가!$F$4:$F$203,MATCH(D525,식자재단가!$C$4:$C$203,0)),""))</f>
        <v/>
      </c>
      <c r="H525" s="50"/>
      <c r="I525" s="82" t="str">
        <f aca="false">IF(OR(F525="",H525=""),"",F525*H525)</f>
        <v/>
      </c>
      <c r="J525" s="83" t="str">
        <f aca="false">IF(D525="","",IFERROR(INDEX(식자재단가!$M$4:$M$203,MATCH(D525,식자재단가!$C$4:$C$203,0)),"과세"))</f>
        <v/>
      </c>
      <c r="K525" s="28" t="str">
        <f aca="false">IF(I525="","",IF(J525="과세",ROUND(I525*0.1,0),0))</f>
        <v/>
      </c>
      <c r="L525" s="28" t="str">
        <f aca="false">IF(I525="","",I525+K525)</f>
        <v/>
      </c>
      <c r="M525" s="10"/>
      <c r="N525" s="80"/>
      <c r="O525" s="80"/>
      <c r="P525" s="59" t="str">
        <f aca="false">IF(E525="","",IFERROR(INDEX(기본설정!$H$4:$H$14,MATCH(E525,기본설정!$G$4:$G$14,0)),""))</f>
        <v/>
      </c>
    </row>
    <row r="526" customFormat="false" ht="15" hidden="false" customHeight="false" outlineLevel="0" collapsed="false">
      <c r="A526" s="73"/>
      <c r="B526" s="10"/>
      <c r="C526" s="80"/>
      <c r="D526" s="80"/>
      <c r="E526" s="81" t="str">
        <f aca="false">IF(D526="","",IFERROR(INDEX(식자재단가!$B$4:$B$203,MATCH(D526,식자재단가!$C$4:$C$203,0)),""))</f>
        <v/>
      </c>
      <c r="F526" s="76"/>
      <c r="G526" s="59" t="str">
        <f aca="false">IF(D526="","",IFERROR(INDEX(식자재단가!$F$4:$F$203,MATCH(D526,식자재단가!$C$4:$C$203,0)),""))</f>
        <v/>
      </c>
      <c r="H526" s="50"/>
      <c r="I526" s="82" t="str">
        <f aca="false">IF(OR(F526="",H526=""),"",F526*H526)</f>
        <v/>
      </c>
      <c r="J526" s="83" t="str">
        <f aca="false">IF(D526="","",IFERROR(INDEX(식자재단가!$M$4:$M$203,MATCH(D526,식자재단가!$C$4:$C$203,0)),"과세"))</f>
        <v/>
      </c>
      <c r="K526" s="28" t="str">
        <f aca="false">IF(I526="","",IF(J526="과세",ROUND(I526*0.1,0),0))</f>
        <v/>
      </c>
      <c r="L526" s="28" t="str">
        <f aca="false">IF(I526="","",I526+K526)</f>
        <v/>
      </c>
      <c r="M526" s="10"/>
      <c r="N526" s="80"/>
      <c r="O526" s="80"/>
      <c r="P526" s="59" t="str">
        <f aca="false">IF(E526="","",IFERROR(INDEX(기본설정!$H$4:$H$14,MATCH(E526,기본설정!$G$4:$G$14,0)),""))</f>
        <v/>
      </c>
    </row>
    <row r="527" customFormat="false" ht="15" hidden="false" customHeight="false" outlineLevel="0" collapsed="false">
      <c r="A527" s="73"/>
      <c r="B527" s="10"/>
      <c r="C527" s="80"/>
      <c r="D527" s="80"/>
      <c r="E527" s="81" t="str">
        <f aca="false">IF(D527="","",IFERROR(INDEX(식자재단가!$B$4:$B$203,MATCH(D527,식자재단가!$C$4:$C$203,0)),""))</f>
        <v/>
      </c>
      <c r="F527" s="76"/>
      <c r="G527" s="59" t="str">
        <f aca="false">IF(D527="","",IFERROR(INDEX(식자재단가!$F$4:$F$203,MATCH(D527,식자재단가!$C$4:$C$203,0)),""))</f>
        <v/>
      </c>
      <c r="H527" s="50"/>
      <c r="I527" s="82" t="str">
        <f aca="false">IF(OR(F527="",H527=""),"",F527*H527)</f>
        <v/>
      </c>
      <c r="J527" s="83" t="str">
        <f aca="false">IF(D527="","",IFERROR(INDEX(식자재단가!$M$4:$M$203,MATCH(D527,식자재단가!$C$4:$C$203,0)),"과세"))</f>
        <v/>
      </c>
      <c r="K527" s="28" t="str">
        <f aca="false">IF(I527="","",IF(J527="과세",ROUND(I527*0.1,0),0))</f>
        <v/>
      </c>
      <c r="L527" s="28" t="str">
        <f aca="false">IF(I527="","",I527+K527)</f>
        <v/>
      </c>
      <c r="M527" s="10"/>
      <c r="N527" s="80"/>
      <c r="O527" s="80"/>
      <c r="P527" s="59" t="str">
        <f aca="false">IF(E527="","",IFERROR(INDEX(기본설정!$H$4:$H$14,MATCH(E527,기본설정!$G$4:$G$14,0)),""))</f>
        <v/>
      </c>
    </row>
    <row r="528" customFormat="false" ht="15" hidden="false" customHeight="false" outlineLevel="0" collapsed="false">
      <c r="A528" s="73"/>
      <c r="B528" s="10"/>
      <c r="C528" s="80"/>
      <c r="D528" s="80"/>
      <c r="E528" s="81" t="str">
        <f aca="false">IF(D528="","",IFERROR(INDEX(식자재단가!$B$4:$B$203,MATCH(D528,식자재단가!$C$4:$C$203,0)),""))</f>
        <v/>
      </c>
      <c r="F528" s="76"/>
      <c r="G528" s="59" t="str">
        <f aca="false">IF(D528="","",IFERROR(INDEX(식자재단가!$F$4:$F$203,MATCH(D528,식자재단가!$C$4:$C$203,0)),""))</f>
        <v/>
      </c>
      <c r="H528" s="50"/>
      <c r="I528" s="82" t="str">
        <f aca="false">IF(OR(F528="",H528=""),"",F528*H528)</f>
        <v/>
      </c>
      <c r="J528" s="83" t="str">
        <f aca="false">IF(D528="","",IFERROR(INDEX(식자재단가!$M$4:$M$203,MATCH(D528,식자재단가!$C$4:$C$203,0)),"과세"))</f>
        <v/>
      </c>
      <c r="K528" s="28" t="str">
        <f aca="false">IF(I528="","",IF(J528="과세",ROUND(I528*0.1,0),0))</f>
        <v/>
      </c>
      <c r="L528" s="28" t="str">
        <f aca="false">IF(I528="","",I528+K528)</f>
        <v/>
      </c>
      <c r="M528" s="10"/>
      <c r="N528" s="80"/>
      <c r="O528" s="80"/>
      <c r="P528" s="59" t="str">
        <f aca="false">IF(E528="","",IFERROR(INDEX(기본설정!$H$4:$H$14,MATCH(E528,기본설정!$G$4:$G$14,0)),""))</f>
        <v/>
      </c>
    </row>
    <row r="529" customFormat="false" ht="15" hidden="false" customHeight="false" outlineLevel="0" collapsed="false">
      <c r="A529" s="73"/>
      <c r="B529" s="10"/>
      <c r="C529" s="80"/>
      <c r="D529" s="80"/>
      <c r="E529" s="81" t="str">
        <f aca="false">IF(D529="","",IFERROR(INDEX(식자재단가!$B$4:$B$203,MATCH(D529,식자재단가!$C$4:$C$203,0)),""))</f>
        <v/>
      </c>
      <c r="F529" s="76"/>
      <c r="G529" s="59" t="str">
        <f aca="false">IF(D529="","",IFERROR(INDEX(식자재단가!$F$4:$F$203,MATCH(D529,식자재단가!$C$4:$C$203,0)),""))</f>
        <v/>
      </c>
      <c r="H529" s="50"/>
      <c r="I529" s="82" t="str">
        <f aca="false">IF(OR(F529="",H529=""),"",F529*H529)</f>
        <v/>
      </c>
      <c r="J529" s="83" t="str">
        <f aca="false">IF(D529="","",IFERROR(INDEX(식자재단가!$M$4:$M$203,MATCH(D529,식자재단가!$C$4:$C$203,0)),"과세"))</f>
        <v/>
      </c>
      <c r="K529" s="28" t="str">
        <f aca="false">IF(I529="","",IF(J529="과세",ROUND(I529*0.1,0),0))</f>
        <v/>
      </c>
      <c r="L529" s="28" t="str">
        <f aca="false">IF(I529="","",I529+K529)</f>
        <v/>
      </c>
      <c r="M529" s="10"/>
      <c r="N529" s="80"/>
      <c r="O529" s="80"/>
      <c r="P529" s="59" t="str">
        <f aca="false">IF(E529="","",IFERROR(INDEX(기본설정!$H$4:$H$14,MATCH(E529,기본설정!$G$4:$G$14,0)),""))</f>
        <v/>
      </c>
    </row>
    <row r="530" customFormat="false" ht="15" hidden="false" customHeight="false" outlineLevel="0" collapsed="false">
      <c r="A530" s="73"/>
      <c r="B530" s="10"/>
      <c r="C530" s="80"/>
      <c r="D530" s="80"/>
      <c r="E530" s="81" t="str">
        <f aca="false">IF(D530="","",IFERROR(INDEX(식자재단가!$B$4:$B$203,MATCH(D530,식자재단가!$C$4:$C$203,0)),""))</f>
        <v/>
      </c>
      <c r="F530" s="76"/>
      <c r="G530" s="59" t="str">
        <f aca="false">IF(D530="","",IFERROR(INDEX(식자재단가!$F$4:$F$203,MATCH(D530,식자재단가!$C$4:$C$203,0)),""))</f>
        <v/>
      </c>
      <c r="H530" s="50"/>
      <c r="I530" s="82" t="str">
        <f aca="false">IF(OR(F530="",H530=""),"",F530*H530)</f>
        <v/>
      </c>
      <c r="J530" s="83" t="str">
        <f aca="false">IF(D530="","",IFERROR(INDEX(식자재단가!$M$4:$M$203,MATCH(D530,식자재단가!$C$4:$C$203,0)),"과세"))</f>
        <v/>
      </c>
      <c r="K530" s="28" t="str">
        <f aca="false">IF(I530="","",IF(J530="과세",ROUND(I530*0.1,0),0))</f>
        <v/>
      </c>
      <c r="L530" s="28" t="str">
        <f aca="false">IF(I530="","",I530+K530)</f>
        <v/>
      </c>
      <c r="M530" s="10"/>
      <c r="N530" s="80"/>
      <c r="O530" s="80"/>
      <c r="P530" s="59" t="str">
        <f aca="false">IF(E530="","",IFERROR(INDEX(기본설정!$H$4:$H$14,MATCH(E530,기본설정!$G$4:$G$14,0)),""))</f>
        <v/>
      </c>
    </row>
    <row r="531" customFormat="false" ht="15" hidden="false" customHeight="false" outlineLevel="0" collapsed="false">
      <c r="A531" s="73"/>
      <c r="B531" s="10"/>
      <c r="C531" s="80"/>
      <c r="D531" s="80"/>
      <c r="E531" s="81" t="str">
        <f aca="false">IF(D531="","",IFERROR(INDEX(식자재단가!$B$4:$B$203,MATCH(D531,식자재단가!$C$4:$C$203,0)),""))</f>
        <v/>
      </c>
      <c r="F531" s="76"/>
      <c r="G531" s="59" t="str">
        <f aca="false">IF(D531="","",IFERROR(INDEX(식자재단가!$F$4:$F$203,MATCH(D531,식자재단가!$C$4:$C$203,0)),""))</f>
        <v/>
      </c>
      <c r="H531" s="50"/>
      <c r="I531" s="82" t="str">
        <f aca="false">IF(OR(F531="",H531=""),"",F531*H531)</f>
        <v/>
      </c>
      <c r="J531" s="83" t="str">
        <f aca="false">IF(D531="","",IFERROR(INDEX(식자재단가!$M$4:$M$203,MATCH(D531,식자재단가!$C$4:$C$203,0)),"과세"))</f>
        <v/>
      </c>
      <c r="K531" s="28" t="str">
        <f aca="false">IF(I531="","",IF(J531="과세",ROUND(I531*0.1,0),0))</f>
        <v/>
      </c>
      <c r="L531" s="28" t="str">
        <f aca="false">IF(I531="","",I531+K531)</f>
        <v/>
      </c>
      <c r="M531" s="10"/>
      <c r="N531" s="80"/>
      <c r="O531" s="80"/>
      <c r="P531" s="59" t="str">
        <f aca="false">IF(E531="","",IFERROR(INDEX(기본설정!$H$4:$H$14,MATCH(E531,기본설정!$G$4:$G$14,0)),""))</f>
        <v/>
      </c>
    </row>
    <row r="532" customFormat="false" ht="15" hidden="false" customHeight="false" outlineLevel="0" collapsed="false">
      <c r="A532" s="73"/>
      <c r="B532" s="10"/>
      <c r="C532" s="80"/>
      <c r="D532" s="80"/>
      <c r="E532" s="81" t="str">
        <f aca="false">IF(D532="","",IFERROR(INDEX(식자재단가!$B$4:$B$203,MATCH(D532,식자재단가!$C$4:$C$203,0)),""))</f>
        <v/>
      </c>
      <c r="F532" s="76"/>
      <c r="G532" s="59" t="str">
        <f aca="false">IF(D532="","",IFERROR(INDEX(식자재단가!$F$4:$F$203,MATCH(D532,식자재단가!$C$4:$C$203,0)),""))</f>
        <v/>
      </c>
      <c r="H532" s="50"/>
      <c r="I532" s="82" t="str">
        <f aca="false">IF(OR(F532="",H532=""),"",F532*H532)</f>
        <v/>
      </c>
      <c r="J532" s="83" t="str">
        <f aca="false">IF(D532="","",IFERROR(INDEX(식자재단가!$M$4:$M$203,MATCH(D532,식자재단가!$C$4:$C$203,0)),"과세"))</f>
        <v/>
      </c>
      <c r="K532" s="28" t="str">
        <f aca="false">IF(I532="","",IF(J532="과세",ROUND(I532*0.1,0),0))</f>
        <v/>
      </c>
      <c r="L532" s="28" t="str">
        <f aca="false">IF(I532="","",I532+K532)</f>
        <v/>
      </c>
      <c r="M532" s="10"/>
      <c r="N532" s="80"/>
      <c r="O532" s="80"/>
      <c r="P532" s="59" t="str">
        <f aca="false">IF(E532="","",IFERROR(INDEX(기본설정!$H$4:$H$14,MATCH(E532,기본설정!$G$4:$G$14,0)),""))</f>
        <v/>
      </c>
    </row>
    <row r="533" customFormat="false" ht="15" hidden="false" customHeight="false" outlineLevel="0" collapsed="false">
      <c r="A533" s="73"/>
      <c r="B533" s="10"/>
      <c r="C533" s="80"/>
      <c r="D533" s="80"/>
      <c r="E533" s="81" t="str">
        <f aca="false">IF(D533="","",IFERROR(INDEX(식자재단가!$B$4:$B$203,MATCH(D533,식자재단가!$C$4:$C$203,0)),""))</f>
        <v/>
      </c>
      <c r="F533" s="76"/>
      <c r="G533" s="59" t="str">
        <f aca="false">IF(D533="","",IFERROR(INDEX(식자재단가!$F$4:$F$203,MATCH(D533,식자재단가!$C$4:$C$203,0)),""))</f>
        <v/>
      </c>
      <c r="H533" s="50"/>
      <c r="I533" s="82" t="str">
        <f aca="false">IF(OR(F533="",H533=""),"",F533*H533)</f>
        <v/>
      </c>
      <c r="J533" s="83" t="str">
        <f aca="false">IF(D533="","",IFERROR(INDEX(식자재단가!$M$4:$M$203,MATCH(D533,식자재단가!$C$4:$C$203,0)),"과세"))</f>
        <v/>
      </c>
      <c r="K533" s="28" t="str">
        <f aca="false">IF(I533="","",IF(J533="과세",ROUND(I533*0.1,0),0))</f>
        <v/>
      </c>
      <c r="L533" s="28" t="str">
        <f aca="false">IF(I533="","",I533+K533)</f>
        <v/>
      </c>
      <c r="M533" s="10"/>
      <c r="N533" s="80"/>
      <c r="O533" s="80"/>
      <c r="P533" s="59" t="str">
        <f aca="false">IF(E533="","",IFERROR(INDEX(기본설정!$H$4:$H$14,MATCH(E533,기본설정!$G$4:$G$14,0)),""))</f>
        <v/>
      </c>
    </row>
    <row r="534" customFormat="false" ht="15" hidden="false" customHeight="false" outlineLevel="0" collapsed="false">
      <c r="A534" s="73"/>
      <c r="B534" s="10"/>
      <c r="C534" s="80"/>
      <c r="D534" s="80"/>
      <c r="E534" s="81" t="str">
        <f aca="false">IF(D534="","",IFERROR(INDEX(식자재단가!$B$4:$B$203,MATCH(D534,식자재단가!$C$4:$C$203,0)),""))</f>
        <v/>
      </c>
      <c r="F534" s="76"/>
      <c r="G534" s="59" t="str">
        <f aca="false">IF(D534="","",IFERROR(INDEX(식자재단가!$F$4:$F$203,MATCH(D534,식자재단가!$C$4:$C$203,0)),""))</f>
        <v/>
      </c>
      <c r="H534" s="50"/>
      <c r="I534" s="82" t="str">
        <f aca="false">IF(OR(F534="",H534=""),"",F534*H534)</f>
        <v/>
      </c>
      <c r="J534" s="83" t="str">
        <f aca="false">IF(D534="","",IFERROR(INDEX(식자재단가!$M$4:$M$203,MATCH(D534,식자재단가!$C$4:$C$203,0)),"과세"))</f>
        <v/>
      </c>
      <c r="K534" s="28" t="str">
        <f aca="false">IF(I534="","",IF(J534="과세",ROUND(I534*0.1,0),0))</f>
        <v/>
      </c>
      <c r="L534" s="28" t="str">
        <f aca="false">IF(I534="","",I534+K534)</f>
        <v/>
      </c>
      <c r="M534" s="10"/>
      <c r="N534" s="80"/>
      <c r="O534" s="80"/>
      <c r="P534" s="59" t="str">
        <f aca="false">IF(E534="","",IFERROR(INDEX(기본설정!$H$4:$H$14,MATCH(E534,기본설정!$G$4:$G$14,0)),""))</f>
        <v/>
      </c>
    </row>
    <row r="535" customFormat="false" ht="15" hidden="false" customHeight="false" outlineLevel="0" collapsed="false">
      <c r="A535" s="73"/>
      <c r="B535" s="10"/>
      <c r="C535" s="80"/>
      <c r="D535" s="80"/>
      <c r="E535" s="81" t="str">
        <f aca="false">IF(D535="","",IFERROR(INDEX(식자재단가!$B$4:$B$203,MATCH(D535,식자재단가!$C$4:$C$203,0)),""))</f>
        <v/>
      </c>
      <c r="F535" s="76"/>
      <c r="G535" s="59" t="str">
        <f aca="false">IF(D535="","",IFERROR(INDEX(식자재단가!$F$4:$F$203,MATCH(D535,식자재단가!$C$4:$C$203,0)),""))</f>
        <v/>
      </c>
      <c r="H535" s="50"/>
      <c r="I535" s="82" t="str">
        <f aca="false">IF(OR(F535="",H535=""),"",F535*H535)</f>
        <v/>
      </c>
      <c r="J535" s="83" t="str">
        <f aca="false">IF(D535="","",IFERROR(INDEX(식자재단가!$M$4:$M$203,MATCH(D535,식자재단가!$C$4:$C$203,0)),"과세"))</f>
        <v/>
      </c>
      <c r="K535" s="28" t="str">
        <f aca="false">IF(I535="","",IF(J535="과세",ROUND(I535*0.1,0),0))</f>
        <v/>
      </c>
      <c r="L535" s="28" t="str">
        <f aca="false">IF(I535="","",I535+K535)</f>
        <v/>
      </c>
      <c r="M535" s="10"/>
      <c r="N535" s="80"/>
      <c r="O535" s="80"/>
      <c r="P535" s="59" t="str">
        <f aca="false">IF(E535="","",IFERROR(INDEX(기본설정!$H$4:$H$14,MATCH(E535,기본설정!$G$4:$G$14,0)),""))</f>
        <v/>
      </c>
    </row>
    <row r="536" customFormat="false" ht="15" hidden="false" customHeight="false" outlineLevel="0" collapsed="false">
      <c r="A536" s="73"/>
      <c r="B536" s="10"/>
      <c r="C536" s="80"/>
      <c r="D536" s="80"/>
      <c r="E536" s="81" t="str">
        <f aca="false">IF(D536="","",IFERROR(INDEX(식자재단가!$B$4:$B$203,MATCH(D536,식자재단가!$C$4:$C$203,0)),""))</f>
        <v/>
      </c>
      <c r="F536" s="76"/>
      <c r="G536" s="59" t="str">
        <f aca="false">IF(D536="","",IFERROR(INDEX(식자재단가!$F$4:$F$203,MATCH(D536,식자재단가!$C$4:$C$203,0)),""))</f>
        <v/>
      </c>
      <c r="H536" s="50"/>
      <c r="I536" s="82" t="str">
        <f aca="false">IF(OR(F536="",H536=""),"",F536*H536)</f>
        <v/>
      </c>
      <c r="J536" s="83" t="str">
        <f aca="false">IF(D536="","",IFERROR(INDEX(식자재단가!$M$4:$M$203,MATCH(D536,식자재단가!$C$4:$C$203,0)),"과세"))</f>
        <v/>
      </c>
      <c r="K536" s="28" t="str">
        <f aca="false">IF(I536="","",IF(J536="과세",ROUND(I536*0.1,0),0))</f>
        <v/>
      </c>
      <c r="L536" s="28" t="str">
        <f aca="false">IF(I536="","",I536+K536)</f>
        <v/>
      </c>
      <c r="M536" s="10"/>
      <c r="N536" s="80"/>
      <c r="O536" s="80"/>
      <c r="P536" s="59" t="str">
        <f aca="false">IF(E536="","",IFERROR(INDEX(기본설정!$H$4:$H$14,MATCH(E536,기본설정!$G$4:$G$14,0)),""))</f>
        <v/>
      </c>
    </row>
    <row r="537" customFormat="false" ht="15" hidden="false" customHeight="false" outlineLevel="0" collapsed="false">
      <c r="A537" s="73"/>
      <c r="B537" s="10"/>
      <c r="C537" s="80"/>
      <c r="D537" s="80"/>
      <c r="E537" s="81" t="str">
        <f aca="false">IF(D537="","",IFERROR(INDEX(식자재단가!$B$4:$B$203,MATCH(D537,식자재단가!$C$4:$C$203,0)),""))</f>
        <v/>
      </c>
      <c r="F537" s="76"/>
      <c r="G537" s="59" t="str">
        <f aca="false">IF(D537="","",IFERROR(INDEX(식자재단가!$F$4:$F$203,MATCH(D537,식자재단가!$C$4:$C$203,0)),""))</f>
        <v/>
      </c>
      <c r="H537" s="50"/>
      <c r="I537" s="82" t="str">
        <f aca="false">IF(OR(F537="",H537=""),"",F537*H537)</f>
        <v/>
      </c>
      <c r="J537" s="83" t="str">
        <f aca="false">IF(D537="","",IFERROR(INDEX(식자재단가!$M$4:$M$203,MATCH(D537,식자재단가!$C$4:$C$203,0)),"과세"))</f>
        <v/>
      </c>
      <c r="K537" s="28" t="str">
        <f aca="false">IF(I537="","",IF(J537="과세",ROUND(I537*0.1,0),0))</f>
        <v/>
      </c>
      <c r="L537" s="28" t="str">
        <f aca="false">IF(I537="","",I537+K537)</f>
        <v/>
      </c>
      <c r="M537" s="10"/>
      <c r="N537" s="80"/>
      <c r="O537" s="80"/>
      <c r="P537" s="59" t="str">
        <f aca="false">IF(E537="","",IFERROR(INDEX(기본설정!$H$4:$H$14,MATCH(E537,기본설정!$G$4:$G$14,0)),""))</f>
        <v/>
      </c>
    </row>
    <row r="538" customFormat="false" ht="15" hidden="false" customHeight="false" outlineLevel="0" collapsed="false">
      <c r="A538" s="73"/>
      <c r="B538" s="10"/>
      <c r="C538" s="80"/>
      <c r="D538" s="80"/>
      <c r="E538" s="81" t="str">
        <f aca="false">IF(D538="","",IFERROR(INDEX(식자재단가!$B$4:$B$203,MATCH(D538,식자재단가!$C$4:$C$203,0)),""))</f>
        <v/>
      </c>
      <c r="F538" s="76"/>
      <c r="G538" s="59" t="str">
        <f aca="false">IF(D538="","",IFERROR(INDEX(식자재단가!$F$4:$F$203,MATCH(D538,식자재단가!$C$4:$C$203,0)),""))</f>
        <v/>
      </c>
      <c r="H538" s="50"/>
      <c r="I538" s="82" t="str">
        <f aca="false">IF(OR(F538="",H538=""),"",F538*H538)</f>
        <v/>
      </c>
      <c r="J538" s="83" t="str">
        <f aca="false">IF(D538="","",IFERROR(INDEX(식자재단가!$M$4:$M$203,MATCH(D538,식자재단가!$C$4:$C$203,0)),"과세"))</f>
        <v/>
      </c>
      <c r="K538" s="28" t="str">
        <f aca="false">IF(I538="","",IF(J538="과세",ROUND(I538*0.1,0),0))</f>
        <v/>
      </c>
      <c r="L538" s="28" t="str">
        <f aca="false">IF(I538="","",I538+K538)</f>
        <v/>
      </c>
      <c r="M538" s="10"/>
      <c r="N538" s="80"/>
      <c r="O538" s="80"/>
      <c r="P538" s="59" t="str">
        <f aca="false">IF(E538="","",IFERROR(INDEX(기본설정!$H$4:$H$14,MATCH(E538,기본설정!$G$4:$G$14,0)),""))</f>
        <v/>
      </c>
    </row>
    <row r="539" customFormat="false" ht="15" hidden="false" customHeight="false" outlineLevel="0" collapsed="false">
      <c r="A539" s="73"/>
      <c r="B539" s="10"/>
      <c r="C539" s="80"/>
      <c r="D539" s="80"/>
      <c r="E539" s="81" t="str">
        <f aca="false">IF(D539="","",IFERROR(INDEX(식자재단가!$B$4:$B$203,MATCH(D539,식자재단가!$C$4:$C$203,0)),""))</f>
        <v/>
      </c>
      <c r="F539" s="76"/>
      <c r="G539" s="59" t="str">
        <f aca="false">IF(D539="","",IFERROR(INDEX(식자재단가!$F$4:$F$203,MATCH(D539,식자재단가!$C$4:$C$203,0)),""))</f>
        <v/>
      </c>
      <c r="H539" s="50"/>
      <c r="I539" s="82" t="str">
        <f aca="false">IF(OR(F539="",H539=""),"",F539*H539)</f>
        <v/>
      </c>
      <c r="J539" s="83" t="str">
        <f aca="false">IF(D539="","",IFERROR(INDEX(식자재단가!$M$4:$M$203,MATCH(D539,식자재단가!$C$4:$C$203,0)),"과세"))</f>
        <v/>
      </c>
      <c r="K539" s="28" t="str">
        <f aca="false">IF(I539="","",IF(J539="과세",ROUND(I539*0.1,0),0))</f>
        <v/>
      </c>
      <c r="L539" s="28" t="str">
        <f aca="false">IF(I539="","",I539+K539)</f>
        <v/>
      </c>
      <c r="M539" s="10"/>
      <c r="N539" s="80"/>
      <c r="O539" s="80"/>
      <c r="P539" s="59" t="str">
        <f aca="false">IF(E539="","",IFERROR(INDEX(기본설정!$H$4:$H$14,MATCH(E539,기본설정!$G$4:$G$14,0)),""))</f>
        <v/>
      </c>
    </row>
    <row r="540" customFormat="false" ht="15" hidden="false" customHeight="false" outlineLevel="0" collapsed="false">
      <c r="A540" s="73"/>
      <c r="B540" s="10"/>
      <c r="C540" s="80"/>
      <c r="D540" s="80"/>
      <c r="E540" s="81" t="str">
        <f aca="false">IF(D540="","",IFERROR(INDEX(식자재단가!$B$4:$B$203,MATCH(D540,식자재단가!$C$4:$C$203,0)),""))</f>
        <v/>
      </c>
      <c r="F540" s="76"/>
      <c r="G540" s="59" t="str">
        <f aca="false">IF(D540="","",IFERROR(INDEX(식자재단가!$F$4:$F$203,MATCH(D540,식자재단가!$C$4:$C$203,0)),""))</f>
        <v/>
      </c>
      <c r="H540" s="50"/>
      <c r="I540" s="82" t="str">
        <f aca="false">IF(OR(F540="",H540=""),"",F540*H540)</f>
        <v/>
      </c>
      <c r="J540" s="83" t="str">
        <f aca="false">IF(D540="","",IFERROR(INDEX(식자재단가!$M$4:$M$203,MATCH(D540,식자재단가!$C$4:$C$203,0)),"과세"))</f>
        <v/>
      </c>
      <c r="K540" s="28" t="str">
        <f aca="false">IF(I540="","",IF(J540="과세",ROUND(I540*0.1,0),0))</f>
        <v/>
      </c>
      <c r="L540" s="28" t="str">
        <f aca="false">IF(I540="","",I540+K540)</f>
        <v/>
      </c>
      <c r="M540" s="10"/>
      <c r="N540" s="80"/>
      <c r="O540" s="80"/>
      <c r="P540" s="59" t="str">
        <f aca="false">IF(E540="","",IFERROR(INDEX(기본설정!$H$4:$H$14,MATCH(E540,기본설정!$G$4:$G$14,0)),""))</f>
        <v/>
      </c>
    </row>
    <row r="541" customFormat="false" ht="15" hidden="false" customHeight="false" outlineLevel="0" collapsed="false">
      <c r="A541" s="73"/>
      <c r="B541" s="10"/>
      <c r="C541" s="80"/>
      <c r="D541" s="80"/>
      <c r="E541" s="81" t="str">
        <f aca="false">IF(D541="","",IFERROR(INDEX(식자재단가!$B$4:$B$203,MATCH(D541,식자재단가!$C$4:$C$203,0)),""))</f>
        <v/>
      </c>
      <c r="F541" s="76"/>
      <c r="G541" s="59" t="str">
        <f aca="false">IF(D541="","",IFERROR(INDEX(식자재단가!$F$4:$F$203,MATCH(D541,식자재단가!$C$4:$C$203,0)),""))</f>
        <v/>
      </c>
      <c r="H541" s="50"/>
      <c r="I541" s="82" t="str">
        <f aca="false">IF(OR(F541="",H541=""),"",F541*H541)</f>
        <v/>
      </c>
      <c r="J541" s="83" t="str">
        <f aca="false">IF(D541="","",IFERROR(INDEX(식자재단가!$M$4:$M$203,MATCH(D541,식자재단가!$C$4:$C$203,0)),"과세"))</f>
        <v/>
      </c>
      <c r="K541" s="28" t="str">
        <f aca="false">IF(I541="","",IF(J541="과세",ROUND(I541*0.1,0),0))</f>
        <v/>
      </c>
      <c r="L541" s="28" t="str">
        <f aca="false">IF(I541="","",I541+K541)</f>
        <v/>
      </c>
      <c r="M541" s="10"/>
      <c r="N541" s="80"/>
      <c r="O541" s="80"/>
      <c r="P541" s="59" t="str">
        <f aca="false">IF(E541="","",IFERROR(INDEX(기본설정!$H$4:$H$14,MATCH(E541,기본설정!$G$4:$G$14,0)),""))</f>
        <v/>
      </c>
    </row>
    <row r="542" customFormat="false" ht="15" hidden="false" customHeight="false" outlineLevel="0" collapsed="false">
      <c r="A542" s="73"/>
      <c r="B542" s="10"/>
      <c r="C542" s="80"/>
      <c r="D542" s="80"/>
      <c r="E542" s="81" t="str">
        <f aca="false">IF(D542="","",IFERROR(INDEX(식자재단가!$B$4:$B$203,MATCH(D542,식자재단가!$C$4:$C$203,0)),""))</f>
        <v/>
      </c>
      <c r="F542" s="76"/>
      <c r="G542" s="59" t="str">
        <f aca="false">IF(D542="","",IFERROR(INDEX(식자재단가!$F$4:$F$203,MATCH(D542,식자재단가!$C$4:$C$203,0)),""))</f>
        <v/>
      </c>
      <c r="H542" s="50"/>
      <c r="I542" s="82" t="str">
        <f aca="false">IF(OR(F542="",H542=""),"",F542*H542)</f>
        <v/>
      </c>
      <c r="J542" s="83" t="str">
        <f aca="false">IF(D542="","",IFERROR(INDEX(식자재단가!$M$4:$M$203,MATCH(D542,식자재단가!$C$4:$C$203,0)),"과세"))</f>
        <v/>
      </c>
      <c r="K542" s="28" t="str">
        <f aca="false">IF(I542="","",IF(J542="과세",ROUND(I542*0.1,0),0))</f>
        <v/>
      </c>
      <c r="L542" s="28" t="str">
        <f aca="false">IF(I542="","",I542+K542)</f>
        <v/>
      </c>
      <c r="M542" s="10"/>
      <c r="N542" s="80"/>
      <c r="O542" s="80"/>
      <c r="P542" s="59" t="str">
        <f aca="false">IF(E542="","",IFERROR(INDEX(기본설정!$H$4:$H$14,MATCH(E542,기본설정!$G$4:$G$14,0)),""))</f>
        <v/>
      </c>
    </row>
    <row r="543" customFormat="false" ht="15" hidden="false" customHeight="false" outlineLevel="0" collapsed="false">
      <c r="A543" s="73"/>
      <c r="B543" s="10"/>
      <c r="C543" s="80"/>
      <c r="D543" s="80"/>
      <c r="E543" s="81" t="str">
        <f aca="false">IF(D543="","",IFERROR(INDEX(식자재단가!$B$4:$B$203,MATCH(D543,식자재단가!$C$4:$C$203,0)),""))</f>
        <v/>
      </c>
      <c r="F543" s="76"/>
      <c r="G543" s="59" t="str">
        <f aca="false">IF(D543="","",IFERROR(INDEX(식자재단가!$F$4:$F$203,MATCH(D543,식자재단가!$C$4:$C$203,0)),""))</f>
        <v/>
      </c>
      <c r="H543" s="50"/>
      <c r="I543" s="82" t="str">
        <f aca="false">IF(OR(F543="",H543=""),"",F543*H543)</f>
        <v/>
      </c>
      <c r="J543" s="83" t="str">
        <f aca="false">IF(D543="","",IFERROR(INDEX(식자재단가!$M$4:$M$203,MATCH(D543,식자재단가!$C$4:$C$203,0)),"과세"))</f>
        <v/>
      </c>
      <c r="K543" s="28" t="str">
        <f aca="false">IF(I543="","",IF(J543="과세",ROUND(I543*0.1,0),0))</f>
        <v/>
      </c>
      <c r="L543" s="28" t="str">
        <f aca="false">IF(I543="","",I543+K543)</f>
        <v/>
      </c>
      <c r="M543" s="10"/>
      <c r="N543" s="80"/>
      <c r="O543" s="80"/>
      <c r="P543" s="59" t="str">
        <f aca="false">IF(E543="","",IFERROR(INDEX(기본설정!$H$4:$H$14,MATCH(E543,기본설정!$G$4:$G$14,0)),""))</f>
        <v/>
      </c>
    </row>
    <row r="544" customFormat="false" ht="15" hidden="false" customHeight="false" outlineLevel="0" collapsed="false">
      <c r="A544" s="73"/>
      <c r="B544" s="10"/>
      <c r="C544" s="80"/>
      <c r="D544" s="80"/>
      <c r="E544" s="81" t="str">
        <f aca="false">IF(D544="","",IFERROR(INDEX(식자재단가!$B$4:$B$203,MATCH(D544,식자재단가!$C$4:$C$203,0)),""))</f>
        <v/>
      </c>
      <c r="F544" s="76"/>
      <c r="G544" s="59" t="str">
        <f aca="false">IF(D544="","",IFERROR(INDEX(식자재단가!$F$4:$F$203,MATCH(D544,식자재단가!$C$4:$C$203,0)),""))</f>
        <v/>
      </c>
      <c r="H544" s="50"/>
      <c r="I544" s="82" t="str">
        <f aca="false">IF(OR(F544="",H544=""),"",F544*H544)</f>
        <v/>
      </c>
      <c r="J544" s="83" t="str">
        <f aca="false">IF(D544="","",IFERROR(INDEX(식자재단가!$M$4:$M$203,MATCH(D544,식자재단가!$C$4:$C$203,0)),"과세"))</f>
        <v/>
      </c>
      <c r="K544" s="28" t="str">
        <f aca="false">IF(I544="","",IF(J544="과세",ROUND(I544*0.1,0),0))</f>
        <v/>
      </c>
      <c r="L544" s="28" t="str">
        <f aca="false">IF(I544="","",I544+K544)</f>
        <v/>
      </c>
      <c r="M544" s="10"/>
      <c r="N544" s="80"/>
      <c r="O544" s="80"/>
      <c r="P544" s="59" t="str">
        <f aca="false">IF(E544="","",IFERROR(INDEX(기본설정!$H$4:$H$14,MATCH(E544,기본설정!$G$4:$G$14,0)),""))</f>
        <v/>
      </c>
    </row>
    <row r="545" customFormat="false" ht="15" hidden="false" customHeight="false" outlineLevel="0" collapsed="false">
      <c r="A545" s="73"/>
      <c r="B545" s="10"/>
      <c r="C545" s="80"/>
      <c r="D545" s="80"/>
      <c r="E545" s="81" t="str">
        <f aca="false">IF(D545="","",IFERROR(INDEX(식자재단가!$B$4:$B$203,MATCH(D545,식자재단가!$C$4:$C$203,0)),""))</f>
        <v/>
      </c>
      <c r="F545" s="76"/>
      <c r="G545" s="59" t="str">
        <f aca="false">IF(D545="","",IFERROR(INDEX(식자재단가!$F$4:$F$203,MATCH(D545,식자재단가!$C$4:$C$203,0)),""))</f>
        <v/>
      </c>
      <c r="H545" s="50"/>
      <c r="I545" s="82" t="str">
        <f aca="false">IF(OR(F545="",H545=""),"",F545*H545)</f>
        <v/>
      </c>
      <c r="J545" s="83" t="str">
        <f aca="false">IF(D545="","",IFERROR(INDEX(식자재단가!$M$4:$M$203,MATCH(D545,식자재단가!$C$4:$C$203,0)),"과세"))</f>
        <v/>
      </c>
      <c r="K545" s="28" t="str">
        <f aca="false">IF(I545="","",IF(J545="과세",ROUND(I545*0.1,0),0))</f>
        <v/>
      </c>
      <c r="L545" s="28" t="str">
        <f aca="false">IF(I545="","",I545+K545)</f>
        <v/>
      </c>
      <c r="M545" s="10"/>
      <c r="N545" s="80"/>
      <c r="O545" s="80"/>
      <c r="P545" s="59" t="str">
        <f aca="false">IF(E545="","",IFERROR(INDEX(기본설정!$H$4:$H$14,MATCH(E545,기본설정!$G$4:$G$14,0)),""))</f>
        <v/>
      </c>
    </row>
    <row r="546" customFormat="false" ht="15" hidden="false" customHeight="false" outlineLevel="0" collapsed="false">
      <c r="A546" s="73"/>
      <c r="B546" s="10"/>
      <c r="C546" s="80"/>
      <c r="D546" s="80"/>
      <c r="E546" s="81" t="str">
        <f aca="false">IF(D546="","",IFERROR(INDEX(식자재단가!$B$4:$B$203,MATCH(D546,식자재단가!$C$4:$C$203,0)),""))</f>
        <v/>
      </c>
      <c r="F546" s="76"/>
      <c r="G546" s="59" t="str">
        <f aca="false">IF(D546="","",IFERROR(INDEX(식자재단가!$F$4:$F$203,MATCH(D546,식자재단가!$C$4:$C$203,0)),""))</f>
        <v/>
      </c>
      <c r="H546" s="50"/>
      <c r="I546" s="82" t="str">
        <f aca="false">IF(OR(F546="",H546=""),"",F546*H546)</f>
        <v/>
      </c>
      <c r="J546" s="83" t="str">
        <f aca="false">IF(D546="","",IFERROR(INDEX(식자재단가!$M$4:$M$203,MATCH(D546,식자재단가!$C$4:$C$203,0)),"과세"))</f>
        <v/>
      </c>
      <c r="K546" s="28" t="str">
        <f aca="false">IF(I546="","",IF(J546="과세",ROUND(I546*0.1,0),0))</f>
        <v/>
      </c>
      <c r="L546" s="28" t="str">
        <f aca="false">IF(I546="","",I546+K546)</f>
        <v/>
      </c>
      <c r="M546" s="10"/>
      <c r="N546" s="80"/>
      <c r="O546" s="80"/>
      <c r="P546" s="59" t="str">
        <f aca="false">IF(E546="","",IFERROR(INDEX(기본설정!$H$4:$H$14,MATCH(E546,기본설정!$G$4:$G$14,0)),""))</f>
        <v/>
      </c>
    </row>
    <row r="547" customFormat="false" ht="15" hidden="false" customHeight="false" outlineLevel="0" collapsed="false">
      <c r="A547" s="73"/>
      <c r="B547" s="10"/>
      <c r="C547" s="80"/>
      <c r="D547" s="80"/>
      <c r="E547" s="81" t="str">
        <f aca="false">IF(D547="","",IFERROR(INDEX(식자재단가!$B$4:$B$203,MATCH(D547,식자재단가!$C$4:$C$203,0)),""))</f>
        <v/>
      </c>
      <c r="F547" s="76"/>
      <c r="G547" s="59" t="str">
        <f aca="false">IF(D547="","",IFERROR(INDEX(식자재단가!$F$4:$F$203,MATCH(D547,식자재단가!$C$4:$C$203,0)),""))</f>
        <v/>
      </c>
      <c r="H547" s="50"/>
      <c r="I547" s="82" t="str">
        <f aca="false">IF(OR(F547="",H547=""),"",F547*H547)</f>
        <v/>
      </c>
      <c r="J547" s="83" t="str">
        <f aca="false">IF(D547="","",IFERROR(INDEX(식자재단가!$M$4:$M$203,MATCH(D547,식자재단가!$C$4:$C$203,0)),"과세"))</f>
        <v/>
      </c>
      <c r="K547" s="28" t="str">
        <f aca="false">IF(I547="","",IF(J547="과세",ROUND(I547*0.1,0),0))</f>
        <v/>
      </c>
      <c r="L547" s="28" t="str">
        <f aca="false">IF(I547="","",I547+K547)</f>
        <v/>
      </c>
      <c r="M547" s="10"/>
      <c r="N547" s="80"/>
      <c r="O547" s="80"/>
      <c r="P547" s="59" t="str">
        <f aca="false">IF(E547="","",IFERROR(INDEX(기본설정!$H$4:$H$14,MATCH(E547,기본설정!$G$4:$G$14,0)),""))</f>
        <v/>
      </c>
    </row>
    <row r="548" customFormat="false" ht="15" hidden="false" customHeight="false" outlineLevel="0" collapsed="false">
      <c r="A548" s="73"/>
      <c r="B548" s="10"/>
      <c r="C548" s="80"/>
      <c r="D548" s="80"/>
      <c r="E548" s="81" t="str">
        <f aca="false">IF(D548="","",IFERROR(INDEX(식자재단가!$B$4:$B$203,MATCH(D548,식자재단가!$C$4:$C$203,0)),""))</f>
        <v/>
      </c>
      <c r="F548" s="76"/>
      <c r="G548" s="59" t="str">
        <f aca="false">IF(D548="","",IFERROR(INDEX(식자재단가!$F$4:$F$203,MATCH(D548,식자재단가!$C$4:$C$203,0)),""))</f>
        <v/>
      </c>
      <c r="H548" s="50"/>
      <c r="I548" s="82" t="str">
        <f aca="false">IF(OR(F548="",H548=""),"",F548*H548)</f>
        <v/>
      </c>
      <c r="J548" s="83" t="str">
        <f aca="false">IF(D548="","",IFERROR(INDEX(식자재단가!$M$4:$M$203,MATCH(D548,식자재단가!$C$4:$C$203,0)),"과세"))</f>
        <v/>
      </c>
      <c r="K548" s="28" t="str">
        <f aca="false">IF(I548="","",IF(J548="과세",ROUND(I548*0.1,0),0))</f>
        <v/>
      </c>
      <c r="L548" s="28" t="str">
        <f aca="false">IF(I548="","",I548+K548)</f>
        <v/>
      </c>
      <c r="M548" s="10"/>
      <c r="N548" s="80"/>
      <c r="O548" s="80"/>
      <c r="P548" s="59" t="str">
        <f aca="false">IF(E548="","",IFERROR(INDEX(기본설정!$H$4:$H$14,MATCH(E548,기본설정!$G$4:$G$14,0)),""))</f>
        <v/>
      </c>
    </row>
    <row r="549" customFormat="false" ht="15" hidden="false" customHeight="false" outlineLevel="0" collapsed="false">
      <c r="A549" s="73"/>
      <c r="B549" s="10"/>
      <c r="C549" s="80"/>
      <c r="D549" s="80"/>
      <c r="E549" s="81" t="str">
        <f aca="false">IF(D549="","",IFERROR(INDEX(식자재단가!$B$4:$B$203,MATCH(D549,식자재단가!$C$4:$C$203,0)),""))</f>
        <v/>
      </c>
      <c r="F549" s="76"/>
      <c r="G549" s="59" t="str">
        <f aca="false">IF(D549="","",IFERROR(INDEX(식자재단가!$F$4:$F$203,MATCH(D549,식자재단가!$C$4:$C$203,0)),""))</f>
        <v/>
      </c>
      <c r="H549" s="50"/>
      <c r="I549" s="82" t="str">
        <f aca="false">IF(OR(F549="",H549=""),"",F549*H549)</f>
        <v/>
      </c>
      <c r="J549" s="83" t="str">
        <f aca="false">IF(D549="","",IFERROR(INDEX(식자재단가!$M$4:$M$203,MATCH(D549,식자재단가!$C$4:$C$203,0)),"과세"))</f>
        <v/>
      </c>
      <c r="K549" s="28" t="str">
        <f aca="false">IF(I549="","",IF(J549="과세",ROUND(I549*0.1,0),0))</f>
        <v/>
      </c>
      <c r="L549" s="28" t="str">
        <f aca="false">IF(I549="","",I549+K549)</f>
        <v/>
      </c>
      <c r="M549" s="10"/>
      <c r="N549" s="80"/>
      <c r="O549" s="80"/>
      <c r="P549" s="59" t="str">
        <f aca="false">IF(E549="","",IFERROR(INDEX(기본설정!$H$4:$H$14,MATCH(E549,기본설정!$G$4:$G$14,0)),""))</f>
        <v/>
      </c>
    </row>
    <row r="550" customFormat="false" ht="15" hidden="false" customHeight="false" outlineLevel="0" collapsed="false">
      <c r="A550" s="73"/>
      <c r="B550" s="10"/>
      <c r="C550" s="80"/>
      <c r="D550" s="80"/>
      <c r="E550" s="81" t="str">
        <f aca="false">IF(D550="","",IFERROR(INDEX(식자재단가!$B$4:$B$203,MATCH(D550,식자재단가!$C$4:$C$203,0)),""))</f>
        <v/>
      </c>
      <c r="F550" s="76"/>
      <c r="G550" s="59" t="str">
        <f aca="false">IF(D550="","",IFERROR(INDEX(식자재단가!$F$4:$F$203,MATCH(D550,식자재단가!$C$4:$C$203,0)),""))</f>
        <v/>
      </c>
      <c r="H550" s="50"/>
      <c r="I550" s="82" t="str">
        <f aca="false">IF(OR(F550="",H550=""),"",F550*H550)</f>
        <v/>
      </c>
      <c r="J550" s="83" t="str">
        <f aca="false">IF(D550="","",IFERROR(INDEX(식자재단가!$M$4:$M$203,MATCH(D550,식자재단가!$C$4:$C$203,0)),"과세"))</f>
        <v/>
      </c>
      <c r="K550" s="28" t="str">
        <f aca="false">IF(I550="","",IF(J550="과세",ROUND(I550*0.1,0),0))</f>
        <v/>
      </c>
      <c r="L550" s="28" t="str">
        <f aca="false">IF(I550="","",I550+K550)</f>
        <v/>
      </c>
      <c r="M550" s="10"/>
      <c r="N550" s="80"/>
      <c r="O550" s="80"/>
      <c r="P550" s="59" t="str">
        <f aca="false">IF(E550="","",IFERROR(INDEX(기본설정!$H$4:$H$14,MATCH(E550,기본설정!$G$4:$G$14,0)),""))</f>
        <v/>
      </c>
    </row>
    <row r="551" customFormat="false" ht="15" hidden="false" customHeight="false" outlineLevel="0" collapsed="false">
      <c r="A551" s="73"/>
      <c r="B551" s="10"/>
      <c r="C551" s="80"/>
      <c r="D551" s="80"/>
      <c r="E551" s="81" t="str">
        <f aca="false">IF(D551="","",IFERROR(INDEX(식자재단가!$B$4:$B$203,MATCH(D551,식자재단가!$C$4:$C$203,0)),""))</f>
        <v/>
      </c>
      <c r="F551" s="76"/>
      <c r="G551" s="59" t="str">
        <f aca="false">IF(D551="","",IFERROR(INDEX(식자재단가!$F$4:$F$203,MATCH(D551,식자재단가!$C$4:$C$203,0)),""))</f>
        <v/>
      </c>
      <c r="H551" s="50"/>
      <c r="I551" s="82" t="str">
        <f aca="false">IF(OR(F551="",H551=""),"",F551*H551)</f>
        <v/>
      </c>
      <c r="J551" s="83" t="str">
        <f aca="false">IF(D551="","",IFERROR(INDEX(식자재단가!$M$4:$M$203,MATCH(D551,식자재단가!$C$4:$C$203,0)),"과세"))</f>
        <v/>
      </c>
      <c r="K551" s="28" t="str">
        <f aca="false">IF(I551="","",IF(J551="과세",ROUND(I551*0.1,0),0))</f>
        <v/>
      </c>
      <c r="L551" s="28" t="str">
        <f aca="false">IF(I551="","",I551+K551)</f>
        <v/>
      </c>
      <c r="M551" s="10"/>
      <c r="N551" s="80"/>
      <c r="O551" s="80"/>
      <c r="P551" s="59" t="str">
        <f aca="false">IF(E551="","",IFERROR(INDEX(기본설정!$H$4:$H$14,MATCH(E551,기본설정!$G$4:$G$14,0)),""))</f>
        <v/>
      </c>
    </row>
    <row r="552" customFormat="false" ht="15" hidden="false" customHeight="false" outlineLevel="0" collapsed="false">
      <c r="A552" s="73"/>
      <c r="B552" s="10"/>
      <c r="C552" s="80"/>
      <c r="D552" s="80"/>
      <c r="E552" s="81" t="str">
        <f aca="false">IF(D552="","",IFERROR(INDEX(식자재단가!$B$4:$B$203,MATCH(D552,식자재단가!$C$4:$C$203,0)),""))</f>
        <v/>
      </c>
      <c r="F552" s="76"/>
      <c r="G552" s="59" t="str">
        <f aca="false">IF(D552="","",IFERROR(INDEX(식자재단가!$F$4:$F$203,MATCH(D552,식자재단가!$C$4:$C$203,0)),""))</f>
        <v/>
      </c>
      <c r="H552" s="50"/>
      <c r="I552" s="82" t="str">
        <f aca="false">IF(OR(F552="",H552=""),"",F552*H552)</f>
        <v/>
      </c>
      <c r="J552" s="83" t="str">
        <f aca="false">IF(D552="","",IFERROR(INDEX(식자재단가!$M$4:$M$203,MATCH(D552,식자재단가!$C$4:$C$203,0)),"과세"))</f>
        <v/>
      </c>
      <c r="K552" s="28" t="str">
        <f aca="false">IF(I552="","",IF(J552="과세",ROUND(I552*0.1,0),0))</f>
        <v/>
      </c>
      <c r="L552" s="28" t="str">
        <f aca="false">IF(I552="","",I552+K552)</f>
        <v/>
      </c>
      <c r="M552" s="10"/>
      <c r="N552" s="80"/>
      <c r="O552" s="80"/>
      <c r="P552" s="59" t="str">
        <f aca="false">IF(E552="","",IFERROR(INDEX(기본설정!$H$4:$H$14,MATCH(E552,기본설정!$G$4:$G$14,0)),""))</f>
        <v/>
      </c>
    </row>
    <row r="553" customFormat="false" ht="15" hidden="false" customHeight="false" outlineLevel="0" collapsed="false">
      <c r="A553" s="73"/>
      <c r="B553" s="10"/>
      <c r="C553" s="80"/>
      <c r="D553" s="80"/>
      <c r="E553" s="81" t="str">
        <f aca="false">IF(D553="","",IFERROR(INDEX(식자재단가!$B$4:$B$203,MATCH(D553,식자재단가!$C$4:$C$203,0)),""))</f>
        <v/>
      </c>
      <c r="F553" s="76"/>
      <c r="G553" s="59" t="str">
        <f aca="false">IF(D553="","",IFERROR(INDEX(식자재단가!$F$4:$F$203,MATCH(D553,식자재단가!$C$4:$C$203,0)),""))</f>
        <v/>
      </c>
      <c r="H553" s="50"/>
      <c r="I553" s="82" t="str">
        <f aca="false">IF(OR(F553="",H553=""),"",F553*H553)</f>
        <v/>
      </c>
      <c r="J553" s="83" t="str">
        <f aca="false">IF(D553="","",IFERROR(INDEX(식자재단가!$M$4:$M$203,MATCH(D553,식자재단가!$C$4:$C$203,0)),"과세"))</f>
        <v/>
      </c>
      <c r="K553" s="28" t="str">
        <f aca="false">IF(I553="","",IF(J553="과세",ROUND(I553*0.1,0),0))</f>
        <v/>
      </c>
      <c r="L553" s="28" t="str">
        <f aca="false">IF(I553="","",I553+K553)</f>
        <v/>
      </c>
      <c r="M553" s="10"/>
      <c r="N553" s="80"/>
      <c r="O553" s="80"/>
      <c r="P553" s="59" t="str">
        <f aca="false">IF(E553="","",IFERROR(INDEX(기본설정!$H$4:$H$14,MATCH(E553,기본설정!$G$4:$G$14,0)),""))</f>
        <v/>
      </c>
    </row>
    <row r="554" customFormat="false" ht="15" hidden="false" customHeight="false" outlineLevel="0" collapsed="false">
      <c r="A554" s="73"/>
      <c r="B554" s="10"/>
      <c r="C554" s="80"/>
      <c r="D554" s="80"/>
      <c r="E554" s="81" t="str">
        <f aca="false">IF(D554="","",IFERROR(INDEX(식자재단가!$B$4:$B$203,MATCH(D554,식자재단가!$C$4:$C$203,0)),""))</f>
        <v/>
      </c>
      <c r="F554" s="76"/>
      <c r="G554" s="59" t="str">
        <f aca="false">IF(D554="","",IFERROR(INDEX(식자재단가!$F$4:$F$203,MATCH(D554,식자재단가!$C$4:$C$203,0)),""))</f>
        <v/>
      </c>
      <c r="H554" s="50"/>
      <c r="I554" s="82" t="str">
        <f aca="false">IF(OR(F554="",H554=""),"",F554*H554)</f>
        <v/>
      </c>
      <c r="J554" s="83" t="str">
        <f aca="false">IF(D554="","",IFERROR(INDEX(식자재단가!$M$4:$M$203,MATCH(D554,식자재단가!$C$4:$C$203,0)),"과세"))</f>
        <v/>
      </c>
      <c r="K554" s="28" t="str">
        <f aca="false">IF(I554="","",IF(J554="과세",ROUND(I554*0.1,0),0))</f>
        <v/>
      </c>
      <c r="L554" s="28" t="str">
        <f aca="false">IF(I554="","",I554+K554)</f>
        <v/>
      </c>
      <c r="M554" s="10"/>
      <c r="N554" s="80"/>
      <c r="O554" s="80"/>
      <c r="P554" s="59" t="str">
        <f aca="false">IF(E554="","",IFERROR(INDEX(기본설정!$H$4:$H$14,MATCH(E554,기본설정!$G$4:$G$14,0)),""))</f>
        <v/>
      </c>
    </row>
    <row r="555" customFormat="false" ht="15" hidden="false" customHeight="false" outlineLevel="0" collapsed="false">
      <c r="A555" s="73"/>
      <c r="B555" s="10"/>
      <c r="C555" s="80"/>
      <c r="D555" s="80"/>
      <c r="E555" s="81" t="str">
        <f aca="false">IF(D555="","",IFERROR(INDEX(식자재단가!$B$4:$B$203,MATCH(D555,식자재단가!$C$4:$C$203,0)),""))</f>
        <v/>
      </c>
      <c r="F555" s="76"/>
      <c r="G555" s="59" t="str">
        <f aca="false">IF(D555="","",IFERROR(INDEX(식자재단가!$F$4:$F$203,MATCH(D555,식자재단가!$C$4:$C$203,0)),""))</f>
        <v/>
      </c>
      <c r="H555" s="50"/>
      <c r="I555" s="82" t="str">
        <f aca="false">IF(OR(F555="",H555=""),"",F555*H555)</f>
        <v/>
      </c>
      <c r="J555" s="83" t="str">
        <f aca="false">IF(D555="","",IFERROR(INDEX(식자재단가!$M$4:$M$203,MATCH(D555,식자재단가!$C$4:$C$203,0)),"과세"))</f>
        <v/>
      </c>
      <c r="K555" s="28" t="str">
        <f aca="false">IF(I555="","",IF(J555="과세",ROUND(I555*0.1,0),0))</f>
        <v/>
      </c>
      <c r="L555" s="28" t="str">
        <f aca="false">IF(I555="","",I555+K555)</f>
        <v/>
      </c>
      <c r="M555" s="10"/>
      <c r="N555" s="80"/>
      <c r="O555" s="80"/>
      <c r="P555" s="59" t="str">
        <f aca="false">IF(E555="","",IFERROR(INDEX(기본설정!$H$4:$H$14,MATCH(E555,기본설정!$G$4:$G$14,0)),""))</f>
        <v/>
      </c>
    </row>
    <row r="556" customFormat="false" ht="15" hidden="false" customHeight="false" outlineLevel="0" collapsed="false">
      <c r="A556" s="73"/>
      <c r="B556" s="10"/>
      <c r="C556" s="80"/>
      <c r="D556" s="80"/>
      <c r="E556" s="81" t="str">
        <f aca="false">IF(D556="","",IFERROR(INDEX(식자재단가!$B$4:$B$203,MATCH(D556,식자재단가!$C$4:$C$203,0)),""))</f>
        <v/>
      </c>
      <c r="F556" s="76"/>
      <c r="G556" s="59" t="str">
        <f aca="false">IF(D556="","",IFERROR(INDEX(식자재단가!$F$4:$F$203,MATCH(D556,식자재단가!$C$4:$C$203,0)),""))</f>
        <v/>
      </c>
      <c r="H556" s="50"/>
      <c r="I556" s="82" t="str">
        <f aca="false">IF(OR(F556="",H556=""),"",F556*H556)</f>
        <v/>
      </c>
      <c r="J556" s="83" t="str">
        <f aca="false">IF(D556="","",IFERROR(INDEX(식자재단가!$M$4:$M$203,MATCH(D556,식자재단가!$C$4:$C$203,0)),"과세"))</f>
        <v/>
      </c>
      <c r="K556" s="28" t="str">
        <f aca="false">IF(I556="","",IF(J556="과세",ROUND(I556*0.1,0),0))</f>
        <v/>
      </c>
      <c r="L556" s="28" t="str">
        <f aca="false">IF(I556="","",I556+K556)</f>
        <v/>
      </c>
      <c r="M556" s="10"/>
      <c r="N556" s="80"/>
      <c r="O556" s="80"/>
      <c r="P556" s="59" t="str">
        <f aca="false">IF(E556="","",IFERROR(INDEX(기본설정!$H$4:$H$14,MATCH(E556,기본설정!$G$4:$G$14,0)),""))</f>
        <v/>
      </c>
    </row>
    <row r="557" customFormat="false" ht="15" hidden="false" customHeight="false" outlineLevel="0" collapsed="false">
      <c r="A557" s="73"/>
      <c r="B557" s="10"/>
      <c r="C557" s="80"/>
      <c r="D557" s="80"/>
      <c r="E557" s="81" t="str">
        <f aca="false">IF(D557="","",IFERROR(INDEX(식자재단가!$B$4:$B$203,MATCH(D557,식자재단가!$C$4:$C$203,0)),""))</f>
        <v/>
      </c>
      <c r="F557" s="76"/>
      <c r="G557" s="59" t="str">
        <f aca="false">IF(D557="","",IFERROR(INDEX(식자재단가!$F$4:$F$203,MATCH(D557,식자재단가!$C$4:$C$203,0)),""))</f>
        <v/>
      </c>
      <c r="H557" s="50"/>
      <c r="I557" s="82" t="str">
        <f aca="false">IF(OR(F557="",H557=""),"",F557*H557)</f>
        <v/>
      </c>
      <c r="J557" s="83" t="str">
        <f aca="false">IF(D557="","",IFERROR(INDEX(식자재단가!$M$4:$M$203,MATCH(D557,식자재단가!$C$4:$C$203,0)),"과세"))</f>
        <v/>
      </c>
      <c r="K557" s="28" t="str">
        <f aca="false">IF(I557="","",IF(J557="과세",ROUND(I557*0.1,0),0))</f>
        <v/>
      </c>
      <c r="L557" s="28" t="str">
        <f aca="false">IF(I557="","",I557+K557)</f>
        <v/>
      </c>
      <c r="M557" s="10"/>
      <c r="N557" s="80"/>
      <c r="O557" s="80"/>
      <c r="P557" s="59" t="str">
        <f aca="false">IF(E557="","",IFERROR(INDEX(기본설정!$H$4:$H$14,MATCH(E557,기본설정!$G$4:$G$14,0)),""))</f>
        <v/>
      </c>
    </row>
    <row r="558" customFormat="false" ht="15" hidden="false" customHeight="false" outlineLevel="0" collapsed="false">
      <c r="A558" s="73"/>
      <c r="B558" s="10"/>
      <c r="C558" s="80"/>
      <c r="D558" s="80"/>
      <c r="E558" s="81" t="str">
        <f aca="false">IF(D558="","",IFERROR(INDEX(식자재단가!$B$4:$B$203,MATCH(D558,식자재단가!$C$4:$C$203,0)),""))</f>
        <v/>
      </c>
      <c r="F558" s="76"/>
      <c r="G558" s="59" t="str">
        <f aca="false">IF(D558="","",IFERROR(INDEX(식자재단가!$F$4:$F$203,MATCH(D558,식자재단가!$C$4:$C$203,0)),""))</f>
        <v/>
      </c>
      <c r="H558" s="50"/>
      <c r="I558" s="82" t="str">
        <f aca="false">IF(OR(F558="",H558=""),"",F558*H558)</f>
        <v/>
      </c>
      <c r="J558" s="83" t="str">
        <f aca="false">IF(D558="","",IFERROR(INDEX(식자재단가!$M$4:$M$203,MATCH(D558,식자재단가!$C$4:$C$203,0)),"과세"))</f>
        <v/>
      </c>
      <c r="K558" s="28" t="str">
        <f aca="false">IF(I558="","",IF(J558="과세",ROUND(I558*0.1,0),0))</f>
        <v/>
      </c>
      <c r="L558" s="28" t="str">
        <f aca="false">IF(I558="","",I558+K558)</f>
        <v/>
      </c>
      <c r="M558" s="10"/>
      <c r="N558" s="80"/>
      <c r="O558" s="80"/>
      <c r="P558" s="59" t="str">
        <f aca="false">IF(E558="","",IFERROR(INDEX(기본설정!$H$4:$H$14,MATCH(E558,기본설정!$G$4:$G$14,0)),""))</f>
        <v/>
      </c>
    </row>
    <row r="559" customFormat="false" ht="15" hidden="false" customHeight="false" outlineLevel="0" collapsed="false">
      <c r="A559" s="73"/>
      <c r="B559" s="10"/>
      <c r="C559" s="80"/>
      <c r="D559" s="80"/>
      <c r="E559" s="81" t="str">
        <f aca="false">IF(D559="","",IFERROR(INDEX(식자재단가!$B$4:$B$203,MATCH(D559,식자재단가!$C$4:$C$203,0)),""))</f>
        <v/>
      </c>
      <c r="F559" s="76"/>
      <c r="G559" s="59" t="str">
        <f aca="false">IF(D559="","",IFERROR(INDEX(식자재단가!$F$4:$F$203,MATCH(D559,식자재단가!$C$4:$C$203,0)),""))</f>
        <v/>
      </c>
      <c r="H559" s="50"/>
      <c r="I559" s="82" t="str">
        <f aca="false">IF(OR(F559="",H559=""),"",F559*H559)</f>
        <v/>
      </c>
      <c r="J559" s="83" t="str">
        <f aca="false">IF(D559="","",IFERROR(INDEX(식자재단가!$M$4:$M$203,MATCH(D559,식자재단가!$C$4:$C$203,0)),"과세"))</f>
        <v/>
      </c>
      <c r="K559" s="28" t="str">
        <f aca="false">IF(I559="","",IF(J559="과세",ROUND(I559*0.1,0),0))</f>
        <v/>
      </c>
      <c r="L559" s="28" t="str">
        <f aca="false">IF(I559="","",I559+K559)</f>
        <v/>
      </c>
      <c r="M559" s="10"/>
      <c r="N559" s="80"/>
      <c r="O559" s="80"/>
      <c r="P559" s="59" t="str">
        <f aca="false">IF(E559="","",IFERROR(INDEX(기본설정!$H$4:$H$14,MATCH(E559,기본설정!$G$4:$G$14,0)),""))</f>
        <v/>
      </c>
    </row>
    <row r="560" customFormat="false" ht="15" hidden="false" customHeight="false" outlineLevel="0" collapsed="false">
      <c r="A560" s="73"/>
      <c r="B560" s="10"/>
      <c r="C560" s="80"/>
      <c r="D560" s="80"/>
      <c r="E560" s="81" t="str">
        <f aca="false">IF(D560="","",IFERROR(INDEX(식자재단가!$B$4:$B$203,MATCH(D560,식자재단가!$C$4:$C$203,0)),""))</f>
        <v/>
      </c>
      <c r="F560" s="76"/>
      <c r="G560" s="59" t="str">
        <f aca="false">IF(D560="","",IFERROR(INDEX(식자재단가!$F$4:$F$203,MATCH(D560,식자재단가!$C$4:$C$203,0)),""))</f>
        <v/>
      </c>
      <c r="H560" s="50"/>
      <c r="I560" s="82" t="str">
        <f aca="false">IF(OR(F560="",H560=""),"",F560*H560)</f>
        <v/>
      </c>
      <c r="J560" s="83" t="str">
        <f aca="false">IF(D560="","",IFERROR(INDEX(식자재단가!$M$4:$M$203,MATCH(D560,식자재단가!$C$4:$C$203,0)),"과세"))</f>
        <v/>
      </c>
      <c r="K560" s="28" t="str">
        <f aca="false">IF(I560="","",IF(J560="과세",ROUND(I560*0.1,0),0))</f>
        <v/>
      </c>
      <c r="L560" s="28" t="str">
        <f aca="false">IF(I560="","",I560+K560)</f>
        <v/>
      </c>
      <c r="M560" s="10"/>
      <c r="N560" s="80"/>
      <c r="O560" s="80"/>
      <c r="P560" s="59" t="str">
        <f aca="false">IF(E560="","",IFERROR(INDEX(기본설정!$H$4:$H$14,MATCH(E560,기본설정!$G$4:$G$14,0)),""))</f>
        <v/>
      </c>
    </row>
    <row r="561" customFormat="false" ht="15" hidden="false" customHeight="false" outlineLevel="0" collapsed="false">
      <c r="A561" s="73"/>
      <c r="B561" s="10"/>
      <c r="C561" s="80"/>
      <c r="D561" s="80"/>
      <c r="E561" s="81" t="str">
        <f aca="false">IF(D561="","",IFERROR(INDEX(식자재단가!$B$4:$B$203,MATCH(D561,식자재단가!$C$4:$C$203,0)),""))</f>
        <v/>
      </c>
      <c r="F561" s="76"/>
      <c r="G561" s="59" t="str">
        <f aca="false">IF(D561="","",IFERROR(INDEX(식자재단가!$F$4:$F$203,MATCH(D561,식자재단가!$C$4:$C$203,0)),""))</f>
        <v/>
      </c>
      <c r="H561" s="50"/>
      <c r="I561" s="82" t="str">
        <f aca="false">IF(OR(F561="",H561=""),"",F561*H561)</f>
        <v/>
      </c>
      <c r="J561" s="83" t="str">
        <f aca="false">IF(D561="","",IFERROR(INDEX(식자재단가!$M$4:$M$203,MATCH(D561,식자재단가!$C$4:$C$203,0)),"과세"))</f>
        <v/>
      </c>
      <c r="K561" s="28" t="str">
        <f aca="false">IF(I561="","",IF(J561="과세",ROUND(I561*0.1,0),0))</f>
        <v/>
      </c>
      <c r="L561" s="28" t="str">
        <f aca="false">IF(I561="","",I561+K561)</f>
        <v/>
      </c>
      <c r="M561" s="10"/>
      <c r="N561" s="80"/>
      <c r="O561" s="80"/>
      <c r="P561" s="59" t="str">
        <f aca="false">IF(E561="","",IFERROR(INDEX(기본설정!$H$4:$H$14,MATCH(E561,기본설정!$G$4:$G$14,0)),""))</f>
        <v/>
      </c>
    </row>
    <row r="562" customFormat="false" ht="15" hidden="false" customHeight="false" outlineLevel="0" collapsed="false">
      <c r="A562" s="73"/>
      <c r="B562" s="10"/>
      <c r="C562" s="80"/>
      <c r="D562" s="80"/>
      <c r="E562" s="81" t="str">
        <f aca="false">IF(D562="","",IFERROR(INDEX(식자재단가!$B$4:$B$203,MATCH(D562,식자재단가!$C$4:$C$203,0)),""))</f>
        <v/>
      </c>
      <c r="F562" s="76"/>
      <c r="G562" s="59" t="str">
        <f aca="false">IF(D562="","",IFERROR(INDEX(식자재단가!$F$4:$F$203,MATCH(D562,식자재단가!$C$4:$C$203,0)),""))</f>
        <v/>
      </c>
      <c r="H562" s="50"/>
      <c r="I562" s="82" t="str">
        <f aca="false">IF(OR(F562="",H562=""),"",F562*H562)</f>
        <v/>
      </c>
      <c r="J562" s="83" t="str">
        <f aca="false">IF(D562="","",IFERROR(INDEX(식자재단가!$M$4:$M$203,MATCH(D562,식자재단가!$C$4:$C$203,0)),"과세"))</f>
        <v/>
      </c>
      <c r="K562" s="28" t="str">
        <f aca="false">IF(I562="","",IF(J562="과세",ROUND(I562*0.1,0),0))</f>
        <v/>
      </c>
      <c r="L562" s="28" t="str">
        <f aca="false">IF(I562="","",I562+K562)</f>
        <v/>
      </c>
      <c r="M562" s="10"/>
      <c r="N562" s="80"/>
      <c r="O562" s="80"/>
      <c r="P562" s="59" t="str">
        <f aca="false">IF(E562="","",IFERROR(INDEX(기본설정!$H$4:$H$14,MATCH(E562,기본설정!$G$4:$G$14,0)),""))</f>
        <v/>
      </c>
    </row>
    <row r="563" customFormat="false" ht="15" hidden="false" customHeight="false" outlineLevel="0" collapsed="false">
      <c r="A563" s="73"/>
      <c r="B563" s="10"/>
      <c r="C563" s="80"/>
      <c r="D563" s="80"/>
      <c r="E563" s="81" t="str">
        <f aca="false">IF(D563="","",IFERROR(INDEX(식자재단가!$B$4:$B$203,MATCH(D563,식자재단가!$C$4:$C$203,0)),""))</f>
        <v/>
      </c>
      <c r="F563" s="76"/>
      <c r="G563" s="59" t="str">
        <f aca="false">IF(D563="","",IFERROR(INDEX(식자재단가!$F$4:$F$203,MATCH(D563,식자재단가!$C$4:$C$203,0)),""))</f>
        <v/>
      </c>
      <c r="H563" s="50"/>
      <c r="I563" s="82" t="str">
        <f aca="false">IF(OR(F563="",H563=""),"",F563*H563)</f>
        <v/>
      </c>
      <c r="J563" s="83" t="str">
        <f aca="false">IF(D563="","",IFERROR(INDEX(식자재단가!$M$4:$M$203,MATCH(D563,식자재단가!$C$4:$C$203,0)),"과세"))</f>
        <v/>
      </c>
      <c r="K563" s="28" t="str">
        <f aca="false">IF(I563="","",IF(J563="과세",ROUND(I563*0.1,0),0))</f>
        <v/>
      </c>
      <c r="L563" s="28" t="str">
        <f aca="false">IF(I563="","",I563+K563)</f>
        <v/>
      </c>
      <c r="M563" s="10"/>
      <c r="N563" s="80"/>
      <c r="O563" s="80"/>
      <c r="P563" s="59" t="str">
        <f aca="false">IF(E563="","",IFERROR(INDEX(기본설정!$H$4:$H$14,MATCH(E563,기본설정!$G$4:$G$14,0)),""))</f>
        <v/>
      </c>
    </row>
    <row r="564" customFormat="false" ht="15" hidden="false" customHeight="false" outlineLevel="0" collapsed="false">
      <c r="A564" s="73"/>
      <c r="B564" s="10"/>
      <c r="C564" s="80"/>
      <c r="D564" s="80"/>
      <c r="E564" s="81" t="str">
        <f aca="false">IF(D564="","",IFERROR(INDEX(식자재단가!$B$4:$B$203,MATCH(D564,식자재단가!$C$4:$C$203,0)),""))</f>
        <v/>
      </c>
      <c r="F564" s="76"/>
      <c r="G564" s="59" t="str">
        <f aca="false">IF(D564="","",IFERROR(INDEX(식자재단가!$F$4:$F$203,MATCH(D564,식자재단가!$C$4:$C$203,0)),""))</f>
        <v/>
      </c>
      <c r="H564" s="50"/>
      <c r="I564" s="82" t="str">
        <f aca="false">IF(OR(F564="",H564=""),"",F564*H564)</f>
        <v/>
      </c>
      <c r="J564" s="83" t="str">
        <f aca="false">IF(D564="","",IFERROR(INDEX(식자재단가!$M$4:$M$203,MATCH(D564,식자재단가!$C$4:$C$203,0)),"과세"))</f>
        <v/>
      </c>
      <c r="K564" s="28" t="str">
        <f aca="false">IF(I564="","",IF(J564="과세",ROUND(I564*0.1,0),0))</f>
        <v/>
      </c>
      <c r="L564" s="28" t="str">
        <f aca="false">IF(I564="","",I564+K564)</f>
        <v/>
      </c>
      <c r="M564" s="10"/>
      <c r="N564" s="80"/>
      <c r="O564" s="80"/>
      <c r="P564" s="59" t="str">
        <f aca="false">IF(E564="","",IFERROR(INDEX(기본설정!$H$4:$H$14,MATCH(E564,기본설정!$G$4:$G$14,0)),""))</f>
        <v/>
      </c>
    </row>
    <row r="565" customFormat="false" ht="15" hidden="false" customHeight="false" outlineLevel="0" collapsed="false">
      <c r="A565" s="73"/>
      <c r="B565" s="10"/>
      <c r="C565" s="80"/>
      <c r="D565" s="80"/>
      <c r="E565" s="81" t="str">
        <f aca="false">IF(D565="","",IFERROR(INDEX(식자재단가!$B$4:$B$203,MATCH(D565,식자재단가!$C$4:$C$203,0)),""))</f>
        <v/>
      </c>
      <c r="F565" s="76"/>
      <c r="G565" s="59" t="str">
        <f aca="false">IF(D565="","",IFERROR(INDEX(식자재단가!$F$4:$F$203,MATCH(D565,식자재단가!$C$4:$C$203,0)),""))</f>
        <v/>
      </c>
      <c r="H565" s="50"/>
      <c r="I565" s="82" t="str">
        <f aca="false">IF(OR(F565="",H565=""),"",F565*H565)</f>
        <v/>
      </c>
      <c r="J565" s="83" t="str">
        <f aca="false">IF(D565="","",IFERROR(INDEX(식자재단가!$M$4:$M$203,MATCH(D565,식자재단가!$C$4:$C$203,0)),"과세"))</f>
        <v/>
      </c>
      <c r="K565" s="28" t="str">
        <f aca="false">IF(I565="","",IF(J565="과세",ROUND(I565*0.1,0),0))</f>
        <v/>
      </c>
      <c r="L565" s="28" t="str">
        <f aca="false">IF(I565="","",I565+K565)</f>
        <v/>
      </c>
      <c r="M565" s="10"/>
      <c r="N565" s="80"/>
      <c r="O565" s="80"/>
      <c r="P565" s="59" t="str">
        <f aca="false">IF(E565="","",IFERROR(INDEX(기본설정!$H$4:$H$14,MATCH(E565,기본설정!$G$4:$G$14,0)),""))</f>
        <v/>
      </c>
    </row>
    <row r="566" customFormat="false" ht="15" hidden="false" customHeight="false" outlineLevel="0" collapsed="false">
      <c r="A566" s="73"/>
      <c r="B566" s="10"/>
      <c r="C566" s="80"/>
      <c r="D566" s="80"/>
      <c r="E566" s="81" t="str">
        <f aca="false">IF(D566="","",IFERROR(INDEX(식자재단가!$B$4:$B$203,MATCH(D566,식자재단가!$C$4:$C$203,0)),""))</f>
        <v/>
      </c>
      <c r="F566" s="76"/>
      <c r="G566" s="59" t="str">
        <f aca="false">IF(D566="","",IFERROR(INDEX(식자재단가!$F$4:$F$203,MATCH(D566,식자재단가!$C$4:$C$203,0)),""))</f>
        <v/>
      </c>
      <c r="H566" s="50"/>
      <c r="I566" s="82" t="str">
        <f aca="false">IF(OR(F566="",H566=""),"",F566*H566)</f>
        <v/>
      </c>
      <c r="J566" s="83" t="str">
        <f aca="false">IF(D566="","",IFERROR(INDEX(식자재단가!$M$4:$M$203,MATCH(D566,식자재단가!$C$4:$C$203,0)),"과세"))</f>
        <v/>
      </c>
      <c r="K566" s="28" t="str">
        <f aca="false">IF(I566="","",IF(J566="과세",ROUND(I566*0.1,0),0))</f>
        <v/>
      </c>
      <c r="L566" s="28" t="str">
        <f aca="false">IF(I566="","",I566+K566)</f>
        <v/>
      </c>
      <c r="M566" s="10"/>
      <c r="N566" s="80"/>
      <c r="O566" s="80"/>
      <c r="P566" s="59" t="str">
        <f aca="false">IF(E566="","",IFERROR(INDEX(기본설정!$H$4:$H$14,MATCH(E566,기본설정!$G$4:$G$14,0)),""))</f>
        <v/>
      </c>
    </row>
    <row r="567" customFormat="false" ht="15" hidden="false" customHeight="false" outlineLevel="0" collapsed="false">
      <c r="A567" s="73"/>
      <c r="B567" s="10"/>
      <c r="C567" s="80"/>
      <c r="D567" s="80"/>
      <c r="E567" s="81" t="str">
        <f aca="false">IF(D567="","",IFERROR(INDEX(식자재단가!$B$4:$B$203,MATCH(D567,식자재단가!$C$4:$C$203,0)),""))</f>
        <v/>
      </c>
      <c r="F567" s="76"/>
      <c r="G567" s="59" t="str">
        <f aca="false">IF(D567="","",IFERROR(INDEX(식자재단가!$F$4:$F$203,MATCH(D567,식자재단가!$C$4:$C$203,0)),""))</f>
        <v/>
      </c>
      <c r="H567" s="50"/>
      <c r="I567" s="82" t="str">
        <f aca="false">IF(OR(F567="",H567=""),"",F567*H567)</f>
        <v/>
      </c>
      <c r="J567" s="83" t="str">
        <f aca="false">IF(D567="","",IFERROR(INDEX(식자재단가!$M$4:$M$203,MATCH(D567,식자재단가!$C$4:$C$203,0)),"과세"))</f>
        <v/>
      </c>
      <c r="K567" s="28" t="str">
        <f aca="false">IF(I567="","",IF(J567="과세",ROUND(I567*0.1,0),0))</f>
        <v/>
      </c>
      <c r="L567" s="28" t="str">
        <f aca="false">IF(I567="","",I567+K567)</f>
        <v/>
      </c>
      <c r="M567" s="10"/>
      <c r="N567" s="80"/>
      <c r="O567" s="80"/>
      <c r="P567" s="59" t="str">
        <f aca="false">IF(E567="","",IFERROR(INDEX(기본설정!$H$4:$H$14,MATCH(E567,기본설정!$G$4:$G$14,0)),""))</f>
        <v/>
      </c>
    </row>
    <row r="568" customFormat="false" ht="15" hidden="false" customHeight="false" outlineLevel="0" collapsed="false">
      <c r="A568" s="73"/>
      <c r="B568" s="10"/>
      <c r="C568" s="80"/>
      <c r="D568" s="80"/>
      <c r="E568" s="81" t="str">
        <f aca="false">IF(D568="","",IFERROR(INDEX(식자재단가!$B$4:$B$203,MATCH(D568,식자재단가!$C$4:$C$203,0)),""))</f>
        <v/>
      </c>
      <c r="F568" s="76"/>
      <c r="G568" s="59" t="str">
        <f aca="false">IF(D568="","",IFERROR(INDEX(식자재단가!$F$4:$F$203,MATCH(D568,식자재단가!$C$4:$C$203,0)),""))</f>
        <v/>
      </c>
      <c r="H568" s="50"/>
      <c r="I568" s="82" t="str">
        <f aca="false">IF(OR(F568="",H568=""),"",F568*H568)</f>
        <v/>
      </c>
      <c r="J568" s="83" t="str">
        <f aca="false">IF(D568="","",IFERROR(INDEX(식자재단가!$M$4:$M$203,MATCH(D568,식자재단가!$C$4:$C$203,0)),"과세"))</f>
        <v/>
      </c>
      <c r="K568" s="28" t="str">
        <f aca="false">IF(I568="","",IF(J568="과세",ROUND(I568*0.1,0),0))</f>
        <v/>
      </c>
      <c r="L568" s="28" t="str">
        <f aca="false">IF(I568="","",I568+K568)</f>
        <v/>
      </c>
      <c r="M568" s="10"/>
      <c r="N568" s="80"/>
      <c r="O568" s="80"/>
      <c r="P568" s="59" t="str">
        <f aca="false">IF(E568="","",IFERROR(INDEX(기본설정!$H$4:$H$14,MATCH(E568,기본설정!$G$4:$G$14,0)),""))</f>
        <v/>
      </c>
    </row>
    <row r="569" customFormat="false" ht="15" hidden="false" customHeight="false" outlineLevel="0" collapsed="false">
      <c r="A569" s="73"/>
      <c r="B569" s="10"/>
      <c r="C569" s="80"/>
      <c r="D569" s="80"/>
      <c r="E569" s="81" t="str">
        <f aca="false">IF(D569="","",IFERROR(INDEX(식자재단가!$B$4:$B$203,MATCH(D569,식자재단가!$C$4:$C$203,0)),""))</f>
        <v/>
      </c>
      <c r="F569" s="76"/>
      <c r="G569" s="59" t="str">
        <f aca="false">IF(D569="","",IFERROR(INDEX(식자재단가!$F$4:$F$203,MATCH(D569,식자재단가!$C$4:$C$203,0)),""))</f>
        <v/>
      </c>
      <c r="H569" s="50"/>
      <c r="I569" s="82" t="str">
        <f aca="false">IF(OR(F569="",H569=""),"",F569*H569)</f>
        <v/>
      </c>
      <c r="J569" s="83" t="str">
        <f aca="false">IF(D569="","",IFERROR(INDEX(식자재단가!$M$4:$M$203,MATCH(D569,식자재단가!$C$4:$C$203,0)),"과세"))</f>
        <v/>
      </c>
      <c r="K569" s="28" t="str">
        <f aca="false">IF(I569="","",IF(J569="과세",ROUND(I569*0.1,0),0))</f>
        <v/>
      </c>
      <c r="L569" s="28" t="str">
        <f aca="false">IF(I569="","",I569+K569)</f>
        <v/>
      </c>
      <c r="M569" s="10"/>
      <c r="N569" s="80"/>
      <c r="O569" s="80"/>
      <c r="P569" s="59" t="str">
        <f aca="false">IF(E569="","",IFERROR(INDEX(기본설정!$H$4:$H$14,MATCH(E569,기본설정!$G$4:$G$14,0)),""))</f>
        <v/>
      </c>
    </row>
    <row r="570" customFormat="false" ht="15" hidden="false" customHeight="false" outlineLevel="0" collapsed="false">
      <c r="A570" s="73"/>
      <c r="B570" s="10"/>
      <c r="C570" s="80"/>
      <c r="D570" s="80"/>
      <c r="E570" s="81" t="str">
        <f aca="false">IF(D570="","",IFERROR(INDEX(식자재단가!$B$4:$B$203,MATCH(D570,식자재단가!$C$4:$C$203,0)),""))</f>
        <v/>
      </c>
      <c r="F570" s="76"/>
      <c r="G570" s="59" t="str">
        <f aca="false">IF(D570="","",IFERROR(INDEX(식자재단가!$F$4:$F$203,MATCH(D570,식자재단가!$C$4:$C$203,0)),""))</f>
        <v/>
      </c>
      <c r="H570" s="50"/>
      <c r="I570" s="82" t="str">
        <f aca="false">IF(OR(F570="",H570=""),"",F570*H570)</f>
        <v/>
      </c>
      <c r="J570" s="83" t="str">
        <f aca="false">IF(D570="","",IFERROR(INDEX(식자재단가!$M$4:$M$203,MATCH(D570,식자재단가!$C$4:$C$203,0)),"과세"))</f>
        <v/>
      </c>
      <c r="K570" s="28" t="str">
        <f aca="false">IF(I570="","",IF(J570="과세",ROUND(I570*0.1,0),0))</f>
        <v/>
      </c>
      <c r="L570" s="28" t="str">
        <f aca="false">IF(I570="","",I570+K570)</f>
        <v/>
      </c>
      <c r="M570" s="10"/>
      <c r="N570" s="80"/>
      <c r="O570" s="80"/>
      <c r="P570" s="59" t="str">
        <f aca="false">IF(E570="","",IFERROR(INDEX(기본설정!$H$4:$H$14,MATCH(E570,기본설정!$G$4:$G$14,0)),""))</f>
        <v/>
      </c>
    </row>
    <row r="571" customFormat="false" ht="15" hidden="false" customHeight="false" outlineLevel="0" collapsed="false">
      <c r="A571" s="73"/>
      <c r="B571" s="10"/>
      <c r="C571" s="80"/>
      <c r="D571" s="80"/>
      <c r="E571" s="81" t="str">
        <f aca="false">IF(D571="","",IFERROR(INDEX(식자재단가!$B$4:$B$203,MATCH(D571,식자재단가!$C$4:$C$203,0)),""))</f>
        <v/>
      </c>
      <c r="F571" s="76"/>
      <c r="G571" s="59" t="str">
        <f aca="false">IF(D571="","",IFERROR(INDEX(식자재단가!$F$4:$F$203,MATCH(D571,식자재단가!$C$4:$C$203,0)),""))</f>
        <v/>
      </c>
      <c r="H571" s="50"/>
      <c r="I571" s="82" t="str">
        <f aca="false">IF(OR(F571="",H571=""),"",F571*H571)</f>
        <v/>
      </c>
      <c r="J571" s="83" t="str">
        <f aca="false">IF(D571="","",IFERROR(INDEX(식자재단가!$M$4:$M$203,MATCH(D571,식자재단가!$C$4:$C$203,0)),"과세"))</f>
        <v/>
      </c>
      <c r="K571" s="28" t="str">
        <f aca="false">IF(I571="","",IF(J571="과세",ROUND(I571*0.1,0),0))</f>
        <v/>
      </c>
      <c r="L571" s="28" t="str">
        <f aca="false">IF(I571="","",I571+K571)</f>
        <v/>
      </c>
      <c r="M571" s="10"/>
      <c r="N571" s="80"/>
      <c r="O571" s="80"/>
      <c r="P571" s="59" t="str">
        <f aca="false">IF(E571="","",IFERROR(INDEX(기본설정!$H$4:$H$14,MATCH(E571,기본설정!$G$4:$G$14,0)),""))</f>
        <v/>
      </c>
    </row>
    <row r="572" customFormat="false" ht="15" hidden="false" customHeight="false" outlineLevel="0" collapsed="false">
      <c r="A572" s="73"/>
      <c r="B572" s="10"/>
      <c r="C572" s="80"/>
      <c r="D572" s="80"/>
      <c r="E572" s="81" t="str">
        <f aca="false">IF(D572="","",IFERROR(INDEX(식자재단가!$B$4:$B$203,MATCH(D572,식자재단가!$C$4:$C$203,0)),""))</f>
        <v/>
      </c>
      <c r="F572" s="76"/>
      <c r="G572" s="59" t="str">
        <f aca="false">IF(D572="","",IFERROR(INDEX(식자재단가!$F$4:$F$203,MATCH(D572,식자재단가!$C$4:$C$203,0)),""))</f>
        <v/>
      </c>
      <c r="H572" s="50"/>
      <c r="I572" s="82" t="str">
        <f aca="false">IF(OR(F572="",H572=""),"",F572*H572)</f>
        <v/>
      </c>
      <c r="J572" s="83" t="str">
        <f aca="false">IF(D572="","",IFERROR(INDEX(식자재단가!$M$4:$M$203,MATCH(D572,식자재단가!$C$4:$C$203,0)),"과세"))</f>
        <v/>
      </c>
      <c r="K572" s="28" t="str">
        <f aca="false">IF(I572="","",IF(J572="과세",ROUND(I572*0.1,0),0))</f>
        <v/>
      </c>
      <c r="L572" s="28" t="str">
        <f aca="false">IF(I572="","",I572+K572)</f>
        <v/>
      </c>
      <c r="M572" s="10"/>
      <c r="N572" s="80"/>
      <c r="O572" s="80"/>
      <c r="P572" s="59" t="str">
        <f aca="false">IF(E572="","",IFERROR(INDEX(기본설정!$H$4:$H$14,MATCH(E572,기본설정!$G$4:$G$14,0)),""))</f>
        <v/>
      </c>
    </row>
    <row r="573" customFormat="false" ht="15" hidden="false" customHeight="false" outlineLevel="0" collapsed="false">
      <c r="A573" s="73"/>
      <c r="B573" s="10"/>
      <c r="C573" s="80"/>
      <c r="D573" s="80"/>
      <c r="E573" s="81" t="str">
        <f aca="false">IF(D573="","",IFERROR(INDEX(식자재단가!$B$4:$B$203,MATCH(D573,식자재단가!$C$4:$C$203,0)),""))</f>
        <v/>
      </c>
      <c r="F573" s="76"/>
      <c r="G573" s="59" t="str">
        <f aca="false">IF(D573="","",IFERROR(INDEX(식자재단가!$F$4:$F$203,MATCH(D573,식자재단가!$C$4:$C$203,0)),""))</f>
        <v/>
      </c>
      <c r="H573" s="50"/>
      <c r="I573" s="82" t="str">
        <f aca="false">IF(OR(F573="",H573=""),"",F573*H573)</f>
        <v/>
      </c>
      <c r="J573" s="83" t="str">
        <f aca="false">IF(D573="","",IFERROR(INDEX(식자재단가!$M$4:$M$203,MATCH(D573,식자재단가!$C$4:$C$203,0)),"과세"))</f>
        <v/>
      </c>
      <c r="K573" s="28" t="str">
        <f aca="false">IF(I573="","",IF(J573="과세",ROUND(I573*0.1,0),0))</f>
        <v/>
      </c>
      <c r="L573" s="28" t="str">
        <f aca="false">IF(I573="","",I573+K573)</f>
        <v/>
      </c>
      <c r="M573" s="10"/>
      <c r="N573" s="80"/>
      <c r="O573" s="80"/>
      <c r="P573" s="59" t="str">
        <f aca="false">IF(E573="","",IFERROR(INDEX(기본설정!$H$4:$H$14,MATCH(E573,기본설정!$G$4:$G$14,0)),""))</f>
        <v/>
      </c>
    </row>
    <row r="574" customFormat="false" ht="15" hidden="false" customHeight="false" outlineLevel="0" collapsed="false">
      <c r="A574" s="73"/>
      <c r="B574" s="10"/>
      <c r="C574" s="80"/>
      <c r="D574" s="80"/>
      <c r="E574" s="81" t="str">
        <f aca="false">IF(D574="","",IFERROR(INDEX(식자재단가!$B$4:$B$203,MATCH(D574,식자재단가!$C$4:$C$203,0)),""))</f>
        <v/>
      </c>
      <c r="F574" s="76"/>
      <c r="G574" s="59" t="str">
        <f aca="false">IF(D574="","",IFERROR(INDEX(식자재단가!$F$4:$F$203,MATCH(D574,식자재단가!$C$4:$C$203,0)),""))</f>
        <v/>
      </c>
      <c r="H574" s="50"/>
      <c r="I574" s="82" t="str">
        <f aca="false">IF(OR(F574="",H574=""),"",F574*H574)</f>
        <v/>
      </c>
      <c r="J574" s="83" t="str">
        <f aca="false">IF(D574="","",IFERROR(INDEX(식자재단가!$M$4:$M$203,MATCH(D574,식자재단가!$C$4:$C$203,0)),"과세"))</f>
        <v/>
      </c>
      <c r="K574" s="28" t="str">
        <f aca="false">IF(I574="","",IF(J574="과세",ROUND(I574*0.1,0),0))</f>
        <v/>
      </c>
      <c r="L574" s="28" t="str">
        <f aca="false">IF(I574="","",I574+K574)</f>
        <v/>
      </c>
      <c r="M574" s="10"/>
      <c r="N574" s="80"/>
      <c r="O574" s="80"/>
      <c r="P574" s="59" t="str">
        <f aca="false">IF(E574="","",IFERROR(INDEX(기본설정!$H$4:$H$14,MATCH(E574,기본설정!$G$4:$G$14,0)),""))</f>
        <v/>
      </c>
    </row>
    <row r="575" customFormat="false" ht="15" hidden="false" customHeight="false" outlineLevel="0" collapsed="false">
      <c r="A575" s="73"/>
      <c r="B575" s="10"/>
      <c r="C575" s="80"/>
      <c r="D575" s="80"/>
      <c r="E575" s="81" t="str">
        <f aca="false">IF(D575="","",IFERROR(INDEX(식자재단가!$B$4:$B$203,MATCH(D575,식자재단가!$C$4:$C$203,0)),""))</f>
        <v/>
      </c>
      <c r="F575" s="76"/>
      <c r="G575" s="59" t="str">
        <f aca="false">IF(D575="","",IFERROR(INDEX(식자재단가!$F$4:$F$203,MATCH(D575,식자재단가!$C$4:$C$203,0)),""))</f>
        <v/>
      </c>
      <c r="H575" s="50"/>
      <c r="I575" s="82" t="str">
        <f aca="false">IF(OR(F575="",H575=""),"",F575*H575)</f>
        <v/>
      </c>
      <c r="J575" s="83" t="str">
        <f aca="false">IF(D575="","",IFERROR(INDEX(식자재단가!$M$4:$M$203,MATCH(D575,식자재단가!$C$4:$C$203,0)),"과세"))</f>
        <v/>
      </c>
      <c r="K575" s="28" t="str">
        <f aca="false">IF(I575="","",IF(J575="과세",ROUND(I575*0.1,0),0))</f>
        <v/>
      </c>
      <c r="L575" s="28" t="str">
        <f aca="false">IF(I575="","",I575+K575)</f>
        <v/>
      </c>
      <c r="M575" s="10"/>
      <c r="N575" s="80"/>
      <c r="O575" s="80"/>
      <c r="P575" s="59" t="str">
        <f aca="false">IF(E575="","",IFERROR(INDEX(기본설정!$H$4:$H$14,MATCH(E575,기본설정!$G$4:$G$14,0)),""))</f>
        <v/>
      </c>
    </row>
    <row r="576" customFormat="false" ht="15" hidden="false" customHeight="false" outlineLevel="0" collapsed="false">
      <c r="A576" s="73"/>
      <c r="B576" s="10"/>
      <c r="C576" s="80"/>
      <c r="D576" s="80"/>
      <c r="E576" s="81" t="str">
        <f aca="false">IF(D576="","",IFERROR(INDEX(식자재단가!$B$4:$B$203,MATCH(D576,식자재단가!$C$4:$C$203,0)),""))</f>
        <v/>
      </c>
      <c r="F576" s="76"/>
      <c r="G576" s="59" t="str">
        <f aca="false">IF(D576="","",IFERROR(INDEX(식자재단가!$F$4:$F$203,MATCH(D576,식자재단가!$C$4:$C$203,0)),""))</f>
        <v/>
      </c>
      <c r="H576" s="50"/>
      <c r="I576" s="82" t="str">
        <f aca="false">IF(OR(F576="",H576=""),"",F576*H576)</f>
        <v/>
      </c>
      <c r="J576" s="83" t="str">
        <f aca="false">IF(D576="","",IFERROR(INDEX(식자재단가!$M$4:$M$203,MATCH(D576,식자재단가!$C$4:$C$203,0)),"과세"))</f>
        <v/>
      </c>
      <c r="K576" s="28" t="str">
        <f aca="false">IF(I576="","",IF(J576="과세",ROUND(I576*0.1,0),0))</f>
        <v/>
      </c>
      <c r="L576" s="28" t="str">
        <f aca="false">IF(I576="","",I576+K576)</f>
        <v/>
      </c>
      <c r="M576" s="10"/>
      <c r="N576" s="80"/>
      <c r="O576" s="80"/>
      <c r="P576" s="59" t="str">
        <f aca="false">IF(E576="","",IFERROR(INDEX(기본설정!$H$4:$H$14,MATCH(E576,기본설정!$G$4:$G$14,0)),""))</f>
        <v/>
      </c>
    </row>
    <row r="577" customFormat="false" ht="15" hidden="false" customHeight="false" outlineLevel="0" collapsed="false">
      <c r="A577" s="73"/>
      <c r="B577" s="10"/>
      <c r="C577" s="80"/>
      <c r="D577" s="80"/>
      <c r="E577" s="81" t="str">
        <f aca="false">IF(D577="","",IFERROR(INDEX(식자재단가!$B$4:$B$203,MATCH(D577,식자재단가!$C$4:$C$203,0)),""))</f>
        <v/>
      </c>
      <c r="F577" s="76"/>
      <c r="G577" s="59" t="str">
        <f aca="false">IF(D577="","",IFERROR(INDEX(식자재단가!$F$4:$F$203,MATCH(D577,식자재단가!$C$4:$C$203,0)),""))</f>
        <v/>
      </c>
      <c r="H577" s="50"/>
      <c r="I577" s="82" t="str">
        <f aca="false">IF(OR(F577="",H577=""),"",F577*H577)</f>
        <v/>
      </c>
      <c r="J577" s="83" t="str">
        <f aca="false">IF(D577="","",IFERROR(INDEX(식자재단가!$M$4:$M$203,MATCH(D577,식자재단가!$C$4:$C$203,0)),"과세"))</f>
        <v/>
      </c>
      <c r="K577" s="28" t="str">
        <f aca="false">IF(I577="","",IF(J577="과세",ROUND(I577*0.1,0),0))</f>
        <v/>
      </c>
      <c r="L577" s="28" t="str">
        <f aca="false">IF(I577="","",I577+K577)</f>
        <v/>
      </c>
      <c r="M577" s="10"/>
      <c r="N577" s="80"/>
      <c r="O577" s="80"/>
      <c r="P577" s="59" t="str">
        <f aca="false">IF(E577="","",IFERROR(INDEX(기본설정!$H$4:$H$14,MATCH(E577,기본설정!$G$4:$G$14,0)),""))</f>
        <v/>
      </c>
    </row>
    <row r="578" customFormat="false" ht="15" hidden="false" customHeight="false" outlineLevel="0" collapsed="false">
      <c r="A578" s="73"/>
      <c r="B578" s="10"/>
      <c r="C578" s="80"/>
      <c r="D578" s="80"/>
      <c r="E578" s="81" t="str">
        <f aca="false">IF(D578="","",IFERROR(INDEX(식자재단가!$B$4:$B$203,MATCH(D578,식자재단가!$C$4:$C$203,0)),""))</f>
        <v/>
      </c>
      <c r="F578" s="76"/>
      <c r="G578" s="59" t="str">
        <f aca="false">IF(D578="","",IFERROR(INDEX(식자재단가!$F$4:$F$203,MATCH(D578,식자재단가!$C$4:$C$203,0)),""))</f>
        <v/>
      </c>
      <c r="H578" s="50"/>
      <c r="I578" s="82" t="str">
        <f aca="false">IF(OR(F578="",H578=""),"",F578*H578)</f>
        <v/>
      </c>
      <c r="J578" s="83" t="str">
        <f aca="false">IF(D578="","",IFERROR(INDEX(식자재단가!$M$4:$M$203,MATCH(D578,식자재단가!$C$4:$C$203,0)),"과세"))</f>
        <v/>
      </c>
      <c r="K578" s="28" t="str">
        <f aca="false">IF(I578="","",IF(J578="과세",ROUND(I578*0.1,0),0))</f>
        <v/>
      </c>
      <c r="L578" s="28" t="str">
        <f aca="false">IF(I578="","",I578+K578)</f>
        <v/>
      </c>
      <c r="M578" s="10"/>
      <c r="N578" s="80"/>
      <c r="O578" s="80"/>
      <c r="P578" s="59" t="str">
        <f aca="false">IF(E578="","",IFERROR(INDEX(기본설정!$H$4:$H$14,MATCH(E578,기본설정!$G$4:$G$14,0)),""))</f>
        <v/>
      </c>
    </row>
    <row r="579" customFormat="false" ht="15" hidden="false" customHeight="false" outlineLevel="0" collapsed="false">
      <c r="A579" s="73"/>
      <c r="B579" s="10"/>
      <c r="C579" s="80"/>
      <c r="D579" s="80"/>
      <c r="E579" s="81" t="str">
        <f aca="false">IF(D579="","",IFERROR(INDEX(식자재단가!$B$4:$B$203,MATCH(D579,식자재단가!$C$4:$C$203,0)),""))</f>
        <v/>
      </c>
      <c r="F579" s="76"/>
      <c r="G579" s="59" t="str">
        <f aca="false">IF(D579="","",IFERROR(INDEX(식자재단가!$F$4:$F$203,MATCH(D579,식자재단가!$C$4:$C$203,0)),""))</f>
        <v/>
      </c>
      <c r="H579" s="50"/>
      <c r="I579" s="82" t="str">
        <f aca="false">IF(OR(F579="",H579=""),"",F579*H579)</f>
        <v/>
      </c>
      <c r="J579" s="83" t="str">
        <f aca="false">IF(D579="","",IFERROR(INDEX(식자재단가!$M$4:$M$203,MATCH(D579,식자재단가!$C$4:$C$203,0)),"과세"))</f>
        <v/>
      </c>
      <c r="K579" s="28" t="str">
        <f aca="false">IF(I579="","",IF(J579="과세",ROUND(I579*0.1,0),0))</f>
        <v/>
      </c>
      <c r="L579" s="28" t="str">
        <f aca="false">IF(I579="","",I579+K579)</f>
        <v/>
      </c>
      <c r="M579" s="10"/>
      <c r="N579" s="80"/>
      <c r="O579" s="80"/>
      <c r="P579" s="59" t="str">
        <f aca="false">IF(E579="","",IFERROR(INDEX(기본설정!$H$4:$H$14,MATCH(E579,기본설정!$G$4:$G$14,0)),""))</f>
        <v/>
      </c>
    </row>
    <row r="580" customFormat="false" ht="15" hidden="false" customHeight="false" outlineLevel="0" collapsed="false">
      <c r="A580" s="73"/>
      <c r="B580" s="10"/>
      <c r="C580" s="80"/>
      <c r="D580" s="80"/>
      <c r="E580" s="81" t="str">
        <f aca="false">IF(D580="","",IFERROR(INDEX(식자재단가!$B$4:$B$203,MATCH(D580,식자재단가!$C$4:$C$203,0)),""))</f>
        <v/>
      </c>
      <c r="F580" s="76"/>
      <c r="G580" s="59" t="str">
        <f aca="false">IF(D580="","",IFERROR(INDEX(식자재단가!$F$4:$F$203,MATCH(D580,식자재단가!$C$4:$C$203,0)),""))</f>
        <v/>
      </c>
      <c r="H580" s="50"/>
      <c r="I580" s="82" t="str">
        <f aca="false">IF(OR(F580="",H580=""),"",F580*H580)</f>
        <v/>
      </c>
      <c r="J580" s="83" t="str">
        <f aca="false">IF(D580="","",IFERROR(INDEX(식자재단가!$M$4:$M$203,MATCH(D580,식자재단가!$C$4:$C$203,0)),"과세"))</f>
        <v/>
      </c>
      <c r="K580" s="28" t="str">
        <f aca="false">IF(I580="","",IF(J580="과세",ROUND(I580*0.1,0),0))</f>
        <v/>
      </c>
      <c r="L580" s="28" t="str">
        <f aca="false">IF(I580="","",I580+K580)</f>
        <v/>
      </c>
      <c r="M580" s="10"/>
      <c r="N580" s="80"/>
      <c r="O580" s="80"/>
      <c r="P580" s="59" t="str">
        <f aca="false">IF(E580="","",IFERROR(INDEX(기본설정!$H$4:$H$14,MATCH(E580,기본설정!$G$4:$G$14,0)),""))</f>
        <v/>
      </c>
    </row>
    <row r="581" customFormat="false" ht="15" hidden="false" customHeight="false" outlineLevel="0" collapsed="false">
      <c r="A581" s="73"/>
      <c r="B581" s="10"/>
      <c r="C581" s="80"/>
      <c r="D581" s="80"/>
      <c r="E581" s="81" t="str">
        <f aca="false">IF(D581="","",IFERROR(INDEX(식자재단가!$B$4:$B$203,MATCH(D581,식자재단가!$C$4:$C$203,0)),""))</f>
        <v/>
      </c>
      <c r="F581" s="76"/>
      <c r="G581" s="59" t="str">
        <f aca="false">IF(D581="","",IFERROR(INDEX(식자재단가!$F$4:$F$203,MATCH(D581,식자재단가!$C$4:$C$203,0)),""))</f>
        <v/>
      </c>
      <c r="H581" s="50"/>
      <c r="I581" s="82" t="str">
        <f aca="false">IF(OR(F581="",H581=""),"",F581*H581)</f>
        <v/>
      </c>
      <c r="J581" s="83" t="str">
        <f aca="false">IF(D581="","",IFERROR(INDEX(식자재단가!$M$4:$M$203,MATCH(D581,식자재단가!$C$4:$C$203,0)),"과세"))</f>
        <v/>
      </c>
      <c r="K581" s="28" t="str">
        <f aca="false">IF(I581="","",IF(J581="과세",ROUND(I581*0.1,0),0))</f>
        <v/>
      </c>
      <c r="L581" s="28" t="str">
        <f aca="false">IF(I581="","",I581+K581)</f>
        <v/>
      </c>
      <c r="M581" s="10"/>
      <c r="N581" s="80"/>
      <c r="O581" s="80"/>
      <c r="P581" s="59" t="str">
        <f aca="false">IF(E581="","",IFERROR(INDEX(기본설정!$H$4:$H$14,MATCH(E581,기본설정!$G$4:$G$14,0)),""))</f>
        <v/>
      </c>
    </row>
    <row r="582" customFormat="false" ht="15" hidden="false" customHeight="false" outlineLevel="0" collapsed="false">
      <c r="A582" s="73"/>
      <c r="B582" s="10"/>
      <c r="C582" s="80"/>
      <c r="D582" s="80"/>
      <c r="E582" s="81" t="str">
        <f aca="false">IF(D582="","",IFERROR(INDEX(식자재단가!$B$4:$B$203,MATCH(D582,식자재단가!$C$4:$C$203,0)),""))</f>
        <v/>
      </c>
      <c r="F582" s="76"/>
      <c r="G582" s="59" t="str">
        <f aca="false">IF(D582="","",IFERROR(INDEX(식자재단가!$F$4:$F$203,MATCH(D582,식자재단가!$C$4:$C$203,0)),""))</f>
        <v/>
      </c>
      <c r="H582" s="50"/>
      <c r="I582" s="82" t="str">
        <f aca="false">IF(OR(F582="",H582=""),"",F582*H582)</f>
        <v/>
      </c>
      <c r="J582" s="83" t="str">
        <f aca="false">IF(D582="","",IFERROR(INDEX(식자재단가!$M$4:$M$203,MATCH(D582,식자재단가!$C$4:$C$203,0)),"과세"))</f>
        <v/>
      </c>
      <c r="K582" s="28" t="str">
        <f aca="false">IF(I582="","",IF(J582="과세",ROUND(I582*0.1,0),0))</f>
        <v/>
      </c>
      <c r="L582" s="28" t="str">
        <f aca="false">IF(I582="","",I582+K582)</f>
        <v/>
      </c>
      <c r="M582" s="10"/>
      <c r="N582" s="80"/>
      <c r="O582" s="80"/>
      <c r="P582" s="59" t="str">
        <f aca="false">IF(E582="","",IFERROR(INDEX(기본설정!$H$4:$H$14,MATCH(E582,기본설정!$G$4:$G$14,0)),""))</f>
        <v/>
      </c>
    </row>
    <row r="583" customFormat="false" ht="15" hidden="false" customHeight="false" outlineLevel="0" collapsed="false">
      <c r="A583" s="73"/>
      <c r="B583" s="10"/>
      <c r="C583" s="80"/>
      <c r="D583" s="80"/>
      <c r="E583" s="81" t="str">
        <f aca="false">IF(D583="","",IFERROR(INDEX(식자재단가!$B$4:$B$203,MATCH(D583,식자재단가!$C$4:$C$203,0)),""))</f>
        <v/>
      </c>
      <c r="F583" s="76"/>
      <c r="G583" s="59" t="str">
        <f aca="false">IF(D583="","",IFERROR(INDEX(식자재단가!$F$4:$F$203,MATCH(D583,식자재단가!$C$4:$C$203,0)),""))</f>
        <v/>
      </c>
      <c r="H583" s="50"/>
      <c r="I583" s="82" t="str">
        <f aca="false">IF(OR(F583="",H583=""),"",F583*H583)</f>
        <v/>
      </c>
      <c r="J583" s="83" t="str">
        <f aca="false">IF(D583="","",IFERROR(INDEX(식자재단가!$M$4:$M$203,MATCH(D583,식자재단가!$C$4:$C$203,0)),"과세"))</f>
        <v/>
      </c>
      <c r="K583" s="28" t="str">
        <f aca="false">IF(I583="","",IF(J583="과세",ROUND(I583*0.1,0),0))</f>
        <v/>
      </c>
      <c r="L583" s="28" t="str">
        <f aca="false">IF(I583="","",I583+K583)</f>
        <v/>
      </c>
      <c r="M583" s="10"/>
      <c r="N583" s="80"/>
      <c r="O583" s="80"/>
      <c r="P583" s="59" t="str">
        <f aca="false">IF(E583="","",IFERROR(INDEX(기본설정!$H$4:$H$14,MATCH(E583,기본설정!$G$4:$G$14,0)),""))</f>
        <v/>
      </c>
    </row>
    <row r="584" customFormat="false" ht="15" hidden="false" customHeight="false" outlineLevel="0" collapsed="false">
      <c r="A584" s="73"/>
      <c r="B584" s="10"/>
      <c r="C584" s="80"/>
      <c r="D584" s="80"/>
      <c r="E584" s="81" t="str">
        <f aca="false">IF(D584="","",IFERROR(INDEX(식자재단가!$B$4:$B$203,MATCH(D584,식자재단가!$C$4:$C$203,0)),""))</f>
        <v/>
      </c>
      <c r="F584" s="76"/>
      <c r="G584" s="59" t="str">
        <f aca="false">IF(D584="","",IFERROR(INDEX(식자재단가!$F$4:$F$203,MATCH(D584,식자재단가!$C$4:$C$203,0)),""))</f>
        <v/>
      </c>
      <c r="H584" s="50"/>
      <c r="I584" s="82" t="str">
        <f aca="false">IF(OR(F584="",H584=""),"",F584*H584)</f>
        <v/>
      </c>
      <c r="J584" s="83" t="str">
        <f aca="false">IF(D584="","",IFERROR(INDEX(식자재단가!$M$4:$M$203,MATCH(D584,식자재단가!$C$4:$C$203,0)),"과세"))</f>
        <v/>
      </c>
      <c r="K584" s="28" t="str">
        <f aca="false">IF(I584="","",IF(J584="과세",ROUND(I584*0.1,0),0))</f>
        <v/>
      </c>
      <c r="L584" s="28" t="str">
        <f aca="false">IF(I584="","",I584+K584)</f>
        <v/>
      </c>
      <c r="M584" s="10"/>
      <c r="N584" s="80"/>
      <c r="O584" s="80"/>
      <c r="P584" s="59" t="str">
        <f aca="false">IF(E584="","",IFERROR(INDEX(기본설정!$H$4:$H$14,MATCH(E584,기본설정!$G$4:$G$14,0)),""))</f>
        <v/>
      </c>
    </row>
    <row r="585" customFormat="false" ht="15" hidden="false" customHeight="false" outlineLevel="0" collapsed="false">
      <c r="A585" s="73"/>
      <c r="B585" s="10"/>
      <c r="C585" s="80"/>
      <c r="D585" s="80"/>
      <c r="E585" s="81" t="str">
        <f aca="false">IF(D585="","",IFERROR(INDEX(식자재단가!$B$4:$B$203,MATCH(D585,식자재단가!$C$4:$C$203,0)),""))</f>
        <v/>
      </c>
      <c r="F585" s="76"/>
      <c r="G585" s="59" t="str">
        <f aca="false">IF(D585="","",IFERROR(INDEX(식자재단가!$F$4:$F$203,MATCH(D585,식자재단가!$C$4:$C$203,0)),""))</f>
        <v/>
      </c>
      <c r="H585" s="50"/>
      <c r="I585" s="82" t="str">
        <f aca="false">IF(OR(F585="",H585=""),"",F585*H585)</f>
        <v/>
      </c>
      <c r="J585" s="83" t="str">
        <f aca="false">IF(D585="","",IFERROR(INDEX(식자재단가!$M$4:$M$203,MATCH(D585,식자재단가!$C$4:$C$203,0)),"과세"))</f>
        <v/>
      </c>
      <c r="K585" s="28" t="str">
        <f aca="false">IF(I585="","",IF(J585="과세",ROUND(I585*0.1,0),0))</f>
        <v/>
      </c>
      <c r="L585" s="28" t="str">
        <f aca="false">IF(I585="","",I585+K585)</f>
        <v/>
      </c>
      <c r="M585" s="10"/>
      <c r="N585" s="80"/>
      <c r="O585" s="80"/>
      <c r="P585" s="59" t="str">
        <f aca="false">IF(E585="","",IFERROR(INDEX(기본설정!$H$4:$H$14,MATCH(E585,기본설정!$G$4:$G$14,0)),""))</f>
        <v/>
      </c>
    </row>
    <row r="586" customFormat="false" ht="15" hidden="false" customHeight="false" outlineLevel="0" collapsed="false">
      <c r="A586" s="73"/>
      <c r="B586" s="10"/>
      <c r="C586" s="80"/>
      <c r="D586" s="80"/>
      <c r="E586" s="81" t="str">
        <f aca="false">IF(D586="","",IFERROR(INDEX(식자재단가!$B$4:$B$203,MATCH(D586,식자재단가!$C$4:$C$203,0)),""))</f>
        <v/>
      </c>
      <c r="F586" s="76"/>
      <c r="G586" s="59" t="str">
        <f aca="false">IF(D586="","",IFERROR(INDEX(식자재단가!$F$4:$F$203,MATCH(D586,식자재단가!$C$4:$C$203,0)),""))</f>
        <v/>
      </c>
      <c r="H586" s="50"/>
      <c r="I586" s="82" t="str">
        <f aca="false">IF(OR(F586="",H586=""),"",F586*H586)</f>
        <v/>
      </c>
      <c r="J586" s="83" t="str">
        <f aca="false">IF(D586="","",IFERROR(INDEX(식자재단가!$M$4:$M$203,MATCH(D586,식자재단가!$C$4:$C$203,0)),"과세"))</f>
        <v/>
      </c>
      <c r="K586" s="28" t="str">
        <f aca="false">IF(I586="","",IF(J586="과세",ROUND(I586*0.1,0),0))</f>
        <v/>
      </c>
      <c r="L586" s="28" t="str">
        <f aca="false">IF(I586="","",I586+K586)</f>
        <v/>
      </c>
      <c r="M586" s="10"/>
      <c r="N586" s="80"/>
      <c r="O586" s="80"/>
      <c r="P586" s="59" t="str">
        <f aca="false">IF(E586="","",IFERROR(INDEX(기본설정!$H$4:$H$14,MATCH(E586,기본설정!$G$4:$G$14,0)),""))</f>
        <v/>
      </c>
    </row>
    <row r="587" customFormat="false" ht="15" hidden="false" customHeight="false" outlineLevel="0" collapsed="false">
      <c r="A587" s="73"/>
      <c r="B587" s="10"/>
      <c r="C587" s="80"/>
      <c r="D587" s="80"/>
      <c r="E587" s="81" t="str">
        <f aca="false">IF(D587="","",IFERROR(INDEX(식자재단가!$B$4:$B$203,MATCH(D587,식자재단가!$C$4:$C$203,0)),""))</f>
        <v/>
      </c>
      <c r="F587" s="76"/>
      <c r="G587" s="59" t="str">
        <f aca="false">IF(D587="","",IFERROR(INDEX(식자재단가!$F$4:$F$203,MATCH(D587,식자재단가!$C$4:$C$203,0)),""))</f>
        <v/>
      </c>
      <c r="H587" s="50"/>
      <c r="I587" s="82" t="str">
        <f aca="false">IF(OR(F587="",H587=""),"",F587*H587)</f>
        <v/>
      </c>
      <c r="J587" s="83" t="str">
        <f aca="false">IF(D587="","",IFERROR(INDEX(식자재단가!$M$4:$M$203,MATCH(D587,식자재단가!$C$4:$C$203,0)),"과세"))</f>
        <v/>
      </c>
      <c r="K587" s="28" t="str">
        <f aca="false">IF(I587="","",IF(J587="과세",ROUND(I587*0.1,0),0))</f>
        <v/>
      </c>
      <c r="L587" s="28" t="str">
        <f aca="false">IF(I587="","",I587+K587)</f>
        <v/>
      </c>
      <c r="M587" s="10"/>
      <c r="N587" s="80"/>
      <c r="O587" s="80"/>
      <c r="P587" s="59" t="str">
        <f aca="false">IF(E587="","",IFERROR(INDEX(기본설정!$H$4:$H$14,MATCH(E587,기본설정!$G$4:$G$14,0)),""))</f>
        <v/>
      </c>
    </row>
    <row r="588" customFormat="false" ht="15" hidden="false" customHeight="false" outlineLevel="0" collapsed="false">
      <c r="A588" s="73"/>
      <c r="B588" s="10"/>
      <c r="C588" s="80"/>
      <c r="D588" s="80"/>
      <c r="E588" s="81" t="str">
        <f aca="false">IF(D588="","",IFERROR(INDEX(식자재단가!$B$4:$B$203,MATCH(D588,식자재단가!$C$4:$C$203,0)),""))</f>
        <v/>
      </c>
      <c r="F588" s="76"/>
      <c r="G588" s="59" t="str">
        <f aca="false">IF(D588="","",IFERROR(INDEX(식자재단가!$F$4:$F$203,MATCH(D588,식자재단가!$C$4:$C$203,0)),""))</f>
        <v/>
      </c>
      <c r="H588" s="50"/>
      <c r="I588" s="82" t="str">
        <f aca="false">IF(OR(F588="",H588=""),"",F588*H588)</f>
        <v/>
      </c>
      <c r="J588" s="83" t="str">
        <f aca="false">IF(D588="","",IFERROR(INDEX(식자재단가!$M$4:$M$203,MATCH(D588,식자재단가!$C$4:$C$203,0)),"과세"))</f>
        <v/>
      </c>
      <c r="K588" s="28" t="str">
        <f aca="false">IF(I588="","",IF(J588="과세",ROUND(I588*0.1,0),0))</f>
        <v/>
      </c>
      <c r="L588" s="28" t="str">
        <f aca="false">IF(I588="","",I588+K588)</f>
        <v/>
      </c>
      <c r="M588" s="10"/>
      <c r="N588" s="80"/>
      <c r="O588" s="80"/>
      <c r="P588" s="59" t="str">
        <f aca="false">IF(E588="","",IFERROR(INDEX(기본설정!$H$4:$H$14,MATCH(E588,기본설정!$G$4:$G$14,0)),""))</f>
        <v/>
      </c>
    </row>
    <row r="589" customFormat="false" ht="15" hidden="false" customHeight="false" outlineLevel="0" collapsed="false">
      <c r="A589" s="73"/>
      <c r="B589" s="10"/>
      <c r="C589" s="80"/>
      <c r="D589" s="80"/>
      <c r="E589" s="81" t="str">
        <f aca="false">IF(D589="","",IFERROR(INDEX(식자재단가!$B$4:$B$203,MATCH(D589,식자재단가!$C$4:$C$203,0)),""))</f>
        <v/>
      </c>
      <c r="F589" s="76"/>
      <c r="G589" s="59" t="str">
        <f aca="false">IF(D589="","",IFERROR(INDEX(식자재단가!$F$4:$F$203,MATCH(D589,식자재단가!$C$4:$C$203,0)),""))</f>
        <v/>
      </c>
      <c r="H589" s="50"/>
      <c r="I589" s="82" t="str">
        <f aca="false">IF(OR(F589="",H589=""),"",F589*H589)</f>
        <v/>
      </c>
      <c r="J589" s="83" t="str">
        <f aca="false">IF(D589="","",IFERROR(INDEX(식자재단가!$M$4:$M$203,MATCH(D589,식자재단가!$C$4:$C$203,0)),"과세"))</f>
        <v/>
      </c>
      <c r="K589" s="28" t="str">
        <f aca="false">IF(I589="","",IF(J589="과세",ROUND(I589*0.1,0),0))</f>
        <v/>
      </c>
      <c r="L589" s="28" t="str">
        <f aca="false">IF(I589="","",I589+K589)</f>
        <v/>
      </c>
      <c r="M589" s="10"/>
      <c r="N589" s="80"/>
      <c r="O589" s="80"/>
      <c r="P589" s="59" t="str">
        <f aca="false">IF(E589="","",IFERROR(INDEX(기본설정!$H$4:$H$14,MATCH(E589,기본설정!$G$4:$G$14,0)),""))</f>
        <v/>
      </c>
    </row>
    <row r="590" customFormat="false" ht="15" hidden="false" customHeight="false" outlineLevel="0" collapsed="false">
      <c r="A590" s="73"/>
      <c r="B590" s="10"/>
      <c r="C590" s="80"/>
      <c r="D590" s="80"/>
      <c r="E590" s="81" t="str">
        <f aca="false">IF(D590="","",IFERROR(INDEX(식자재단가!$B$4:$B$203,MATCH(D590,식자재단가!$C$4:$C$203,0)),""))</f>
        <v/>
      </c>
      <c r="F590" s="76"/>
      <c r="G590" s="59" t="str">
        <f aca="false">IF(D590="","",IFERROR(INDEX(식자재단가!$F$4:$F$203,MATCH(D590,식자재단가!$C$4:$C$203,0)),""))</f>
        <v/>
      </c>
      <c r="H590" s="50"/>
      <c r="I590" s="82" t="str">
        <f aca="false">IF(OR(F590="",H590=""),"",F590*H590)</f>
        <v/>
      </c>
      <c r="J590" s="83" t="str">
        <f aca="false">IF(D590="","",IFERROR(INDEX(식자재단가!$M$4:$M$203,MATCH(D590,식자재단가!$C$4:$C$203,0)),"과세"))</f>
        <v/>
      </c>
      <c r="K590" s="28" t="str">
        <f aca="false">IF(I590="","",IF(J590="과세",ROUND(I590*0.1,0),0))</f>
        <v/>
      </c>
      <c r="L590" s="28" t="str">
        <f aca="false">IF(I590="","",I590+K590)</f>
        <v/>
      </c>
      <c r="M590" s="10"/>
      <c r="N590" s="80"/>
      <c r="O590" s="80"/>
      <c r="P590" s="59" t="str">
        <f aca="false">IF(E590="","",IFERROR(INDEX(기본설정!$H$4:$H$14,MATCH(E590,기본설정!$G$4:$G$14,0)),""))</f>
        <v/>
      </c>
    </row>
    <row r="591" customFormat="false" ht="15" hidden="false" customHeight="false" outlineLevel="0" collapsed="false">
      <c r="A591" s="73"/>
      <c r="B591" s="10"/>
      <c r="C591" s="80"/>
      <c r="D591" s="80"/>
      <c r="E591" s="81" t="str">
        <f aca="false">IF(D591="","",IFERROR(INDEX(식자재단가!$B$4:$B$203,MATCH(D591,식자재단가!$C$4:$C$203,0)),""))</f>
        <v/>
      </c>
      <c r="F591" s="76"/>
      <c r="G591" s="59" t="str">
        <f aca="false">IF(D591="","",IFERROR(INDEX(식자재단가!$F$4:$F$203,MATCH(D591,식자재단가!$C$4:$C$203,0)),""))</f>
        <v/>
      </c>
      <c r="H591" s="50"/>
      <c r="I591" s="82" t="str">
        <f aca="false">IF(OR(F591="",H591=""),"",F591*H591)</f>
        <v/>
      </c>
      <c r="J591" s="83" t="str">
        <f aca="false">IF(D591="","",IFERROR(INDEX(식자재단가!$M$4:$M$203,MATCH(D591,식자재단가!$C$4:$C$203,0)),"과세"))</f>
        <v/>
      </c>
      <c r="K591" s="28" t="str">
        <f aca="false">IF(I591="","",IF(J591="과세",ROUND(I591*0.1,0),0))</f>
        <v/>
      </c>
      <c r="L591" s="28" t="str">
        <f aca="false">IF(I591="","",I591+K591)</f>
        <v/>
      </c>
      <c r="M591" s="10"/>
      <c r="N591" s="80"/>
      <c r="O591" s="80"/>
      <c r="P591" s="59" t="str">
        <f aca="false">IF(E591="","",IFERROR(INDEX(기본설정!$H$4:$H$14,MATCH(E591,기본설정!$G$4:$G$14,0)),""))</f>
        <v/>
      </c>
    </row>
    <row r="592" customFormat="false" ht="15" hidden="false" customHeight="false" outlineLevel="0" collapsed="false">
      <c r="A592" s="73"/>
      <c r="B592" s="10"/>
      <c r="C592" s="80"/>
      <c r="D592" s="80"/>
      <c r="E592" s="81" t="str">
        <f aca="false">IF(D592="","",IFERROR(INDEX(식자재단가!$B$4:$B$203,MATCH(D592,식자재단가!$C$4:$C$203,0)),""))</f>
        <v/>
      </c>
      <c r="F592" s="76"/>
      <c r="G592" s="59" t="str">
        <f aca="false">IF(D592="","",IFERROR(INDEX(식자재단가!$F$4:$F$203,MATCH(D592,식자재단가!$C$4:$C$203,0)),""))</f>
        <v/>
      </c>
      <c r="H592" s="50"/>
      <c r="I592" s="82" t="str">
        <f aca="false">IF(OR(F592="",H592=""),"",F592*H592)</f>
        <v/>
      </c>
      <c r="J592" s="83" t="str">
        <f aca="false">IF(D592="","",IFERROR(INDEX(식자재단가!$M$4:$M$203,MATCH(D592,식자재단가!$C$4:$C$203,0)),"과세"))</f>
        <v/>
      </c>
      <c r="K592" s="28" t="str">
        <f aca="false">IF(I592="","",IF(J592="과세",ROUND(I592*0.1,0),0))</f>
        <v/>
      </c>
      <c r="L592" s="28" t="str">
        <f aca="false">IF(I592="","",I592+K592)</f>
        <v/>
      </c>
      <c r="M592" s="10"/>
      <c r="N592" s="80"/>
      <c r="O592" s="80"/>
      <c r="P592" s="59" t="str">
        <f aca="false">IF(E592="","",IFERROR(INDEX(기본설정!$H$4:$H$14,MATCH(E592,기본설정!$G$4:$G$14,0)),""))</f>
        <v/>
      </c>
    </row>
    <row r="593" customFormat="false" ht="15" hidden="false" customHeight="false" outlineLevel="0" collapsed="false">
      <c r="A593" s="73"/>
      <c r="B593" s="10"/>
      <c r="C593" s="80"/>
      <c r="D593" s="80"/>
      <c r="E593" s="81" t="str">
        <f aca="false">IF(D593="","",IFERROR(INDEX(식자재단가!$B$4:$B$203,MATCH(D593,식자재단가!$C$4:$C$203,0)),""))</f>
        <v/>
      </c>
      <c r="F593" s="76"/>
      <c r="G593" s="59" t="str">
        <f aca="false">IF(D593="","",IFERROR(INDEX(식자재단가!$F$4:$F$203,MATCH(D593,식자재단가!$C$4:$C$203,0)),""))</f>
        <v/>
      </c>
      <c r="H593" s="50"/>
      <c r="I593" s="82" t="str">
        <f aca="false">IF(OR(F593="",H593=""),"",F593*H593)</f>
        <v/>
      </c>
      <c r="J593" s="83" t="str">
        <f aca="false">IF(D593="","",IFERROR(INDEX(식자재단가!$M$4:$M$203,MATCH(D593,식자재단가!$C$4:$C$203,0)),"과세"))</f>
        <v/>
      </c>
      <c r="K593" s="28" t="str">
        <f aca="false">IF(I593="","",IF(J593="과세",ROUND(I593*0.1,0),0))</f>
        <v/>
      </c>
      <c r="L593" s="28" t="str">
        <f aca="false">IF(I593="","",I593+K593)</f>
        <v/>
      </c>
      <c r="M593" s="10"/>
      <c r="N593" s="80"/>
      <c r="O593" s="80"/>
      <c r="P593" s="59" t="str">
        <f aca="false">IF(E593="","",IFERROR(INDEX(기본설정!$H$4:$H$14,MATCH(E593,기본설정!$G$4:$G$14,0)),""))</f>
        <v/>
      </c>
    </row>
    <row r="594" customFormat="false" ht="15" hidden="false" customHeight="false" outlineLevel="0" collapsed="false">
      <c r="A594" s="73"/>
      <c r="B594" s="10"/>
      <c r="C594" s="80"/>
      <c r="D594" s="80"/>
      <c r="E594" s="81" t="str">
        <f aca="false">IF(D594="","",IFERROR(INDEX(식자재단가!$B$4:$B$203,MATCH(D594,식자재단가!$C$4:$C$203,0)),""))</f>
        <v/>
      </c>
      <c r="F594" s="76"/>
      <c r="G594" s="59" t="str">
        <f aca="false">IF(D594="","",IFERROR(INDEX(식자재단가!$F$4:$F$203,MATCH(D594,식자재단가!$C$4:$C$203,0)),""))</f>
        <v/>
      </c>
      <c r="H594" s="50"/>
      <c r="I594" s="82" t="str">
        <f aca="false">IF(OR(F594="",H594=""),"",F594*H594)</f>
        <v/>
      </c>
      <c r="J594" s="83" t="str">
        <f aca="false">IF(D594="","",IFERROR(INDEX(식자재단가!$M$4:$M$203,MATCH(D594,식자재단가!$C$4:$C$203,0)),"과세"))</f>
        <v/>
      </c>
      <c r="K594" s="28" t="str">
        <f aca="false">IF(I594="","",IF(J594="과세",ROUND(I594*0.1,0),0))</f>
        <v/>
      </c>
      <c r="L594" s="28" t="str">
        <f aca="false">IF(I594="","",I594+K594)</f>
        <v/>
      </c>
      <c r="M594" s="10"/>
      <c r="N594" s="80"/>
      <c r="O594" s="80"/>
      <c r="P594" s="59" t="str">
        <f aca="false">IF(E594="","",IFERROR(INDEX(기본설정!$H$4:$H$14,MATCH(E594,기본설정!$G$4:$G$14,0)),""))</f>
        <v/>
      </c>
    </row>
    <row r="595" customFormat="false" ht="15" hidden="false" customHeight="false" outlineLevel="0" collapsed="false">
      <c r="A595" s="73"/>
      <c r="B595" s="10"/>
      <c r="C595" s="80"/>
      <c r="D595" s="80"/>
      <c r="E595" s="81" t="str">
        <f aca="false">IF(D595="","",IFERROR(INDEX(식자재단가!$B$4:$B$203,MATCH(D595,식자재단가!$C$4:$C$203,0)),""))</f>
        <v/>
      </c>
      <c r="F595" s="76"/>
      <c r="G595" s="59" t="str">
        <f aca="false">IF(D595="","",IFERROR(INDEX(식자재단가!$F$4:$F$203,MATCH(D595,식자재단가!$C$4:$C$203,0)),""))</f>
        <v/>
      </c>
      <c r="H595" s="50"/>
      <c r="I595" s="82" t="str">
        <f aca="false">IF(OR(F595="",H595=""),"",F595*H595)</f>
        <v/>
      </c>
      <c r="J595" s="83" t="str">
        <f aca="false">IF(D595="","",IFERROR(INDEX(식자재단가!$M$4:$M$203,MATCH(D595,식자재단가!$C$4:$C$203,0)),"과세"))</f>
        <v/>
      </c>
      <c r="K595" s="28" t="str">
        <f aca="false">IF(I595="","",IF(J595="과세",ROUND(I595*0.1,0),0))</f>
        <v/>
      </c>
      <c r="L595" s="28" t="str">
        <f aca="false">IF(I595="","",I595+K595)</f>
        <v/>
      </c>
      <c r="M595" s="10"/>
      <c r="N595" s="80"/>
      <c r="O595" s="80"/>
      <c r="P595" s="59" t="str">
        <f aca="false">IF(E595="","",IFERROR(INDEX(기본설정!$H$4:$H$14,MATCH(E595,기본설정!$G$4:$G$14,0)),""))</f>
        <v/>
      </c>
    </row>
    <row r="596" customFormat="false" ht="15" hidden="false" customHeight="false" outlineLevel="0" collapsed="false">
      <c r="A596" s="73"/>
      <c r="B596" s="10"/>
      <c r="C596" s="80"/>
      <c r="D596" s="80"/>
      <c r="E596" s="81" t="str">
        <f aca="false">IF(D596="","",IFERROR(INDEX(식자재단가!$B$4:$B$203,MATCH(D596,식자재단가!$C$4:$C$203,0)),""))</f>
        <v/>
      </c>
      <c r="F596" s="76"/>
      <c r="G596" s="59" t="str">
        <f aca="false">IF(D596="","",IFERROR(INDEX(식자재단가!$F$4:$F$203,MATCH(D596,식자재단가!$C$4:$C$203,0)),""))</f>
        <v/>
      </c>
      <c r="H596" s="50"/>
      <c r="I596" s="82" t="str">
        <f aca="false">IF(OR(F596="",H596=""),"",F596*H596)</f>
        <v/>
      </c>
      <c r="J596" s="83" t="str">
        <f aca="false">IF(D596="","",IFERROR(INDEX(식자재단가!$M$4:$M$203,MATCH(D596,식자재단가!$C$4:$C$203,0)),"과세"))</f>
        <v/>
      </c>
      <c r="K596" s="28" t="str">
        <f aca="false">IF(I596="","",IF(J596="과세",ROUND(I596*0.1,0),0))</f>
        <v/>
      </c>
      <c r="L596" s="28" t="str">
        <f aca="false">IF(I596="","",I596+K596)</f>
        <v/>
      </c>
      <c r="M596" s="10"/>
      <c r="N596" s="80"/>
      <c r="O596" s="80"/>
      <c r="P596" s="59" t="str">
        <f aca="false">IF(E596="","",IFERROR(INDEX(기본설정!$H$4:$H$14,MATCH(E596,기본설정!$G$4:$G$14,0)),""))</f>
        <v/>
      </c>
    </row>
    <row r="597" customFormat="false" ht="15" hidden="false" customHeight="false" outlineLevel="0" collapsed="false">
      <c r="A597" s="73"/>
      <c r="B597" s="10"/>
      <c r="C597" s="80"/>
      <c r="D597" s="80"/>
      <c r="E597" s="81" t="str">
        <f aca="false">IF(D597="","",IFERROR(INDEX(식자재단가!$B$4:$B$203,MATCH(D597,식자재단가!$C$4:$C$203,0)),""))</f>
        <v/>
      </c>
      <c r="F597" s="76"/>
      <c r="G597" s="59" t="str">
        <f aca="false">IF(D597="","",IFERROR(INDEX(식자재단가!$F$4:$F$203,MATCH(D597,식자재단가!$C$4:$C$203,0)),""))</f>
        <v/>
      </c>
      <c r="H597" s="50"/>
      <c r="I597" s="82" t="str">
        <f aca="false">IF(OR(F597="",H597=""),"",F597*H597)</f>
        <v/>
      </c>
      <c r="J597" s="83" t="str">
        <f aca="false">IF(D597="","",IFERROR(INDEX(식자재단가!$M$4:$M$203,MATCH(D597,식자재단가!$C$4:$C$203,0)),"과세"))</f>
        <v/>
      </c>
      <c r="K597" s="28" t="str">
        <f aca="false">IF(I597="","",IF(J597="과세",ROUND(I597*0.1,0),0))</f>
        <v/>
      </c>
      <c r="L597" s="28" t="str">
        <f aca="false">IF(I597="","",I597+K597)</f>
        <v/>
      </c>
      <c r="M597" s="10"/>
      <c r="N597" s="80"/>
      <c r="O597" s="80"/>
      <c r="P597" s="59" t="str">
        <f aca="false">IF(E597="","",IFERROR(INDEX(기본설정!$H$4:$H$14,MATCH(E597,기본설정!$G$4:$G$14,0)),""))</f>
        <v/>
      </c>
    </row>
    <row r="598" customFormat="false" ht="15" hidden="false" customHeight="false" outlineLevel="0" collapsed="false">
      <c r="A598" s="73"/>
      <c r="B598" s="10"/>
      <c r="C598" s="80"/>
      <c r="D598" s="80"/>
      <c r="E598" s="81" t="str">
        <f aca="false">IF(D598="","",IFERROR(INDEX(식자재단가!$B$4:$B$203,MATCH(D598,식자재단가!$C$4:$C$203,0)),""))</f>
        <v/>
      </c>
      <c r="F598" s="76"/>
      <c r="G598" s="59" t="str">
        <f aca="false">IF(D598="","",IFERROR(INDEX(식자재단가!$F$4:$F$203,MATCH(D598,식자재단가!$C$4:$C$203,0)),""))</f>
        <v/>
      </c>
      <c r="H598" s="50"/>
      <c r="I598" s="82" t="str">
        <f aca="false">IF(OR(F598="",H598=""),"",F598*H598)</f>
        <v/>
      </c>
      <c r="J598" s="83" t="str">
        <f aca="false">IF(D598="","",IFERROR(INDEX(식자재단가!$M$4:$M$203,MATCH(D598,식자재단가!$C$4:$C$203,0)),"과세"))</f>
        <v/>
      </c>
      <c r="K598" s="28" t="str">
        <f aca="false">IF(I598="","",IF(J598="과세",ROUND(I598*0.1,0),0))</f>
        <v/>
      </c>
      <c r="L598" s="28" t="str">
        <f aca="false">IF(I598="","",I598+K598)</f>
        <v/>
      </c>
      <c r="M598" s="10"/>
      <c r="N598" s="80"/>
      <c r="O598" s="80"/>
      <c r="P598" s="59" t="str">
        <f aca="false">IF(E598="","",IFERROR(INDEX(기본설정!$H$4:$H$14,MATCH(E598,기본설정!$G$4:$G$14,0)),""))</f>
        <v/>
      </c>
    </row>
    <row r="599" customFormat="false" ht="15" hidden="false" customHeight="false" outlineLevel="0" collapsed="false">
      <c r="A599" s="73"/>
      <c r="B599" s="10"/>
      <c r="C599" s="80"/>
      <c r="D599" s="80"/>
      <c r="E599" s="81" t="str">
        <f aca="false">IF(D599="","",IFERROR(INDEX(식자재단가!$B$4:$B$203,MATCH(D599,식자재단가!$C$4:$C$203,0)),""))</f>
        <v/>
      </c>
      <c r="F599" s="76"/>
      <c r="G599" s="59" t="str">
        <f aca="false">IF(D599="","",IFERROR(INDEX(식자재단가!$F$4:$F$203,MATCH(D599,식자재단가!$C$4:$C$203,0)),""))</f>
        <v/>
      </c>
      <c r="H599" s="50"/>
      <c r="I599" s="82" t="str">
        <f aca="false">IF(OR(F599="",H599=""),"",F599*H599)</f>
        <v/>
      </c>
      <c r="J599" s="83" t="str">
        <f aca="false">IF(D599="","",IFERROR(INDEX(식자재단가!$M$4:$M$203,MATCH(D599,식자재단가!$C$4:$C$203,0)),"과세"))</f>
        <v/>
      </c>
      <c r="K599" s="28" t="str">
        <f aca="false">IF(I599="","",IF(J599="과세",ROUND(I599*0.1,0),0))</f>
        <v/>
      </c>
      <c r="L599" s="28" t="str">
        <f aca="false">IF(I599="","",I599+K599)</f>
        <v/>
      </c>
      <c r="M599" s="10"/>
      <c r="N599" s="80"/>
      <c r="O599" s="80"/>
      <c r="P599" s="59" t="str">
        <f aca="false">IF(E599="","",IFERROR(INDEX(기본설정!$H$4:$H$14,MATCH(E599,기본설정!$G$4:$G$14,0)),""))</f>
        <v/>
      </c>
    </row>
    <row r="600" customFormat="false" ht="15" hidden="false" customHeight="false" outlineLevel="0" collapsed="false">
      <c r="A600" s="73"/>
      <c r="B600" s="10"/>
      <c r="C600" s="80"/>
      <c r="D600" s="80"/>
      <c r="E600" s="81" t="str">
        <f aca="false">IF(D600="","",IFERROR(INDEX(식자재단가!$B$4:$B$203,MATCH(D600,식자재단가!$C$4:$C$203,0)),""))</f>
        <v/>
      </c>
      <c r="F600" s="76"/>
      <c r="G600" s="59" t="str">
        <f aca="false">IF(D600="","",IFERROR(INDEX(식자재단가!$F$4:$F$203,MATCH(D600,식자재단가!$C$4:$C$203,0)),""))</f>
        <v/>
      </c>
      <c r="H600" s="50"/>
      <c r="I600" s="82" t="str">
        <f aca="false">IF(OR(F600="",H600=""),"",F600*H600)</f>
        <v/>
      </c>
      <c r="J600" s="83" t="str">
        <f aca="false">IF(D600="","",IFERROR(INDEX(식자재단가!$M$4:$M$203,MATCH(D600,식자재단가!$C$4:$C$203,0)),"과세"))</f>
        <v/>
      </c>
      <c r="K600" s="28" t="str">
        <f aca="false">IF(I600="","",IF(J600="과세",ROUND(I600*0.1,0),0))</f>
        <v/>
      </c>
      <c r="L600" s="28" t="str">
        <f aca="false">IF(I600="","",I600+K600)</f>
        <v/>
      </c>
      <c r="M600" s="10"/>
      <c r="N600" s="80"/>
      <c r="O600" s="80"/>
      <c r="P600" s="59" t="str">
        <f aca="false">IF(E600="","",IFERROR(INDEX(기본설정!$H$4:$H$14,MATCH(E600,기본설정!$G$4:$G$14,0)),""))</f>
        <v/>
      </c>
    </row>
    <row r="601" customFormat="false" ht="15" hidden="false" customHeight="false" outlineLevel="0" collapsed="false">
      <c r="A601" s="73"/>
      <c r="B601" s="10"/>
      <c r="C601" s="80"/>
      <c r="D601" s="80"/>
      <c r="E601" s="81" t="str">
        <f aca="false">IF(D601="","",IFERROR(INDEX(식자재단가!$B$4:$B$203,MATCH(D601,식자재단가!$C$4:$C$203,0)),""))</f>
        <v/>
      </c>
      <c r="F601" s="76"/>
      <c r="G601" s="59" t="str">
        <f aca="false">IF(D601="","",IFERROR(INDEX(식자재단가!$F$4:$F$203,MATCH(D601,식자재단가!$C$4:$C$203,0)),""))</f>
        <v/>
      </c>
      <c r="H601" s="50"/>
      <c r="I601" s="82" t="str">
        <f aca="false">IF(OR(F601="",H601=""),"",F601*H601)</f>
        <v/>
      </c>
      <c r="J601" s="83" t="str">
        <f aca="false">IF(D601="","",IFERROR(INDEX(식자재단가!$M$4:$M$203,MATCH(D601,식자재단가!$C$4:$C$203,0)),"과세"))</f>
        <v/>
      </c>
      <c r="K601" s="28" t="str">
        <f aca="false">IF(I601="","",IF(J601="과세",ROUND(I601*0.1,0),0))</f>
        <v/>
      </c>
      <c r="L601" s="28" t="str">
        <f aca="false">IF(I601="","",I601+K601)</f>
        <v/>
      </c>
      <c r="M601" s="10"/>
      <c r="N601" s="80"/>
      <c r="O601" s="80"/>
      <c r="P601" s="59" t="str">
        <f aca="false">IF(E601="","",IFERROR(INDEX(기본설정!$H$4:$H$14,MATCH(E601,기본설정!$G$4:$G$14,0)),""))</f>
        <v/>
      </c>
    </row>
    <row r="602" customFormat="false" ht="15" hidden="false" customHeight="false" outlineLevel="0" collapsed="false">
      <c r="A602" s="73"/>
      <c r="B602" s="10"/>
      <c r="C602" s="80"/>
      <c r="D602" s="80"/>
      <c r="E602" s="81" t="str">
        <f aca="false">IF(D602="","",IFERROR(INDEX(식자재단가!$B$4:$B$203,MATCH(D602,식자재단가!$C$4:$C$203,0)),""))</f>
        <v/>
      </c>
      <c r="F602" s="76"/>
      <c r="G602" s="59" t="str">
        <f aca="false">IF(D602="","",IFERROR(INDEX(식자재단가!$F$4:$F$203,MATCH(D602,식자재단가!$C$4:$C$203,0)),""))</f>
        <v/>
      </c>
      <c r="H602" s="50"/>
      <c r="I602" s="82" t="str">
        <f aca="false">IF(OR(F602="",H602=""),"",F602*H602)</f>
        <v/>
      </c>
      <c r="J602" s="83" t="str">
        <f aca="false">IF(D602="","",IFERROR(INDEX(식자재단가!$M$4:$M$203,MATCH(D602,식자재단가!$C$4:$C$203,0)),"과세"))</f>
        <v/>
      </c>
      <c r="K602" s="28" t="str">
        <f aca="false">IF(I602="","",IF(J602="과세",ROUND(I602*0.1,0),0))</f>
        <v/>
      </c>
      <c r="L602" s="28" t="str">
        <f aca="false">IF(I602="","",I602+K602)</f>
        <v/>
      </c>
      <c r="M602" s="10"/>
      <c r="N602" s="80"/>
      <c r="O602" s="80"/>
      <c r="P602" s="59" t="str">
        <f aca="false">IF(E602="","",IFERROR(INDEX(기본설정!$H$4:$H$14,MATCH(E602,기본설정!$G$4:$G$14,0)),""))</f>
        <v/>
      </c>
    </row>
    <row r="603" customFormat="false" ht="15" hidden="false" customHeight="false" outlineLevel="0" collapsed="false">
      <c r="A603" s="73"/>
      <c r="B603" s="10"/>
      <c r="C603" s="80"/>
      <c r="D603" s="80"/>
      <c r="E603" s="81" t="str">
        <f aca="false">IF(D603="","",IFERROR(INDEX(식자재단가!$B$4:$B$203,MATCH(D603,식자재단가!$C$4:$C$203,0)),""))</f>
        <v/>
      </c>
      <c r="F603" s="76"/>
      <c r="G603" s="59" t="str">
        <f aca="false">IF(D603="","",IFERROR(INDEX(식자재단가!$F$4:$F$203,MATCH(D603,식자재단가!$C$4:$C$203,0)),""))</f>
        <v/>
      </c>
      <c r="H603" s="50"/>
      <c r="I603" s="82" t="str">
        <f aca="false">IF(OR(F603="",H603=""),"",F603*H603)</f>
        <v/>
      </c>
      <c r="J603" s="83" t="str">
        <f aca="false">IF(D603="","",IFERROR(INDEX(식자재단가!$M$4:$M$203,MATCH(D603,식자재단가!$C$4:$C$203,0)),"과세"))</f>
        <v/>
      </c>
      <c r="K603" s="28" t="str">
        <f aca="false">IF(I603="","",IF(J603="과세",ROUND(I603*0.1,0),0))</f>
        <v/>
      </c>
      <c r="L603" s="28" t="str">
        <f aca="false">IF(I603="","",I603+K603)</f>
        <v/>
      </c>
      <c r="M603" s="10"/>
      <c r="N603" s="80"/>
      <c r="O603" s="80"/>
      <c r="P603" s="59" t="str">
        <f aca="false">IF(E603="","",IFERROR(INDEX(기본설정!$H$4:$H$14,MATCH(E603,기본설정!$G$4:$G$14,0)),""))</f>
        <v/>
      </c>
    </row>
    <row r="604" customFormat="false" ht="15" hidden="false" customHeight="false" outlineLevel="0" collapsed="false">
      <c r="A604" s="73"/>
      <c r="B604" s="10"/>
      <c r="C604" s="80"/>
      <c r="D604" s="80"/>
      <c r="E604" s="81" t="str">
        <f aca="false">IF(D604="","",IFERROR(INDEX(식자재단가!$B$4:$B$203,MATCH(D604,식자재단가!$C$4:$C$203,0)),""))</f>
        <v/>
      </c>
      <c r="F604" s="76"/>
      <c r="G604" s="59" t="str">
        <f aca="false">IF(D604="","",IFERROR(INDEX(식자재단가!$F$4:$F$203,MATCH(D604,식자재단가!$C$4:$C$203,0)),""))</f>
        <v/>
      </c>
      <c r="H604" s="50"/>
      <c r="I604" s="82" t="str">
        <f aca="false">IF(OR(F604="",H604=""),"",F604*H604)</f>
        <v/>
      </c>
      <c r="J604" s="83" t="str">
        <f aca="false">IF(D604="","",IFERROR(INDEX(식자재단가!$M$4:$M$203,MATCH(D604,식자재단가!$C$4:$C$203,0)),"과세"))</f>
        <v/>
      </c>
      <c r="K604" s="28" t="str">
        <f aca="false">IF(I604="","",IF(J604="과세",ROUND(I604*0.1,0),0))</f>
        <v/>
      </c>
      <c r="L604" s="28" t="str">
        <f aca="false">IF(I604="","",I604+K604)</f>
        <v/>
      </c>
      <c r="M604" s="10"/>
      <c r="N604" s="80"/>
      <c r="O604" s="80"/>
      <c r="P604" s="59" t="str">
        <f aca="false">IF(E604="","",IFERROR(INDEX(기본설정!$H$4:$H$14,MATCH(E604,기본설정!$G$4:$G$14,0)),""))</f>
        <v/>
      </c>
    </row>
    <row r="605" customFormat="false" ht="15" hidden="false" customHeight="false" outlineLevel="0" collapsed="false">
      <c r="A605" s="73"/>
      <c r="B605" s="10"/>
      <c r="C605" s="80"/>
      <c r="D605" s="80"/>
      <c r="E605" s="81" t="str">
        <f aca="false">IF(D605="","",IFERROR(INDEX(식자재단가!$B$4:$B$203,MATCH(D605,식자재단가!$C$4:$C$203,0)),""))</f>
        <v/>
      </c>
      <c r="F605" s="76"/>
      <c r="G605" s="59" t="str">
        <f aca="false">IF(D605="","",IFERROR(INDEX(식자재단가!$F$4:$F$203,MATCH(D605,식자재단가!$C$4:$C$203,0)),""))</f>
        <v/>
      </c>
      <c r="H605" s="50"/>
      <c r="I605" s="82" t="str">
        <f aca="false">IF(OR(F605="",H605=""),"",F605*H605)</f>
        <v/>
      </c>
      <c r="J605" s="83" t="str">
        <f aca="false">IF(D605="","",IFERROR(INDEX(식자재단가!$M$4:$M$203,MATCH(D605,식자재단가!$C$4:$C$203,0)),"과세"))</f>
        <v/>
      </c>
      <c r="K605" s="28" t="str">
        <f aca="false">IF(I605="","",IF(J605="과세",ROUND(I605*0.1,0),0))</f>
        <v/>
      </c>
      <c r="L605" s="28" t="str">
        <f aca="false">IF(I605="","",I605+K605)</f>
        <v/>
      </c>
      <c r="M605" s="10"/>
      <c r="N605" s="80"/>
      <c r="O605" s="80"/>
      <c r="P605" s="59" t="str">
        <f aca="false">IF(E605="","",IFERROR(INDEX(기본설정!$H$4:$H$14,MATCH(E605,기본설정!$G$4:$G$14,0)),""))</f>
        <v/>
      </c>
    </row>
    <row r="606" customFormat="false" ht="15" hidden="false" customHeight="false" outlineLevel="0" collapsed="false">
      <c r="A606" s="73"/>
      <c r="B606" s="10"/>
      <c r="C606" s="80"/>
      <c r="D606" s="80"/>
      <c r="E606" s="81" t="str">
        <f aca="false">IF(D606="","",IFERROR(INDEX(식자재단가!$B$4:$B$203,MATCH(D606,식자재단가!$C$4:$C$203,0)),""))</f>
        <v/>
      </c>
      <c r="F606" s="76"/>
      <c r="G606" s="59" t="str">
        <f aca="false">IF(D606="","",IFERROR(INDEX(식자재단가!$F$4:$F$203,MATCH(D606,식자재단가!$C$4:$C$203,0)),""))</f>
        <v/>
      </c>
      <c r="H606" s="50"/>
      <c r="I606" s="82" t="str">
        <f aca="false">IF(OR(F606="",H606=""),"",F606*H606)</f>
        <v/>
      </c>
      <c r="J606" s="83" t="str">
        <f aca="false">IF(D606="","",IFERROR(INDEX(식자재단가!$M$4:$M$203,MATCH(D606,식자재단가!$C$4:$C$203,0)),"과세"))</f>
        <v/>
      </c>
      <c r="K606" s="28" t="str">
        <f aca="false">IF(I606="","",IF(J606="과세",ROUND(I606*0.1,0),0))</f>
        <v/>
      </c>
      <c r="L606" s="28" t="str">
        <f aca="false">IF(I606="","",I606+K606)</f>
        <v/>
      </c>
      <c r="M606" s="10"/>
      <c r="N606" s="80"/>
      <c r="O606" s="80"/>
      <c r="P606" s="59" t="str">
        <f aca="false">IF(E606="","",IFERROR(INDEX(기본설정!$H$4:$H$14,MATCH(E606,기본설정!$G$4:$G$14,0)),""))</f>
        <v/>
      </c>
    </row>
    <row r="607" customFormat="false" ht="15" hidden="false" customHeight="false" outlineLevel="0" collapsed="false">
      <c r="A607" s="73"/>
      <c r="B607" s="10"/>
      <c r="C607" s="80"/>
      <c r="D607" s="80"/>
      <c r="E607" s="81" t="str">
        <f aca="false">IF(D607="","",IFERROR(INDEX(식자재단가!$B$4:$B$203,MATCH(D607,식자재단가!$C$4:$C$203,0)),""))</f>
        <v/>
      </c>
      <c r="F607" s="76"/>
      <c r="G607" s="59" t="str">
        <f aca="false">IF(D607="","",IFERROR(INDEX(식자재단가!$F$4:$F$203,MATCH(D607,식자재단가!$C$4:$C$203,0)),""))</f>
        <v/>
      </c>
      <c r="H607" s="50"/>
      <c r="I607" s="82" t="str">
        <f aca="false">IF(OR(F607="",H607=""),"",F607*H607)</f>
        <v/>
      </c>
      <c r="J607" s="83" t="str">
        <f aca="false">IF(D607="","",IFERROR(INDEX(식자재단가!$M$4:$M$203,MATCH(D607,식자재단가!$C$4:$C$203,0)),"과세"))</f>
        <v/>
      </c>
      <c r="K607" s="28" t="str">
        <f aca="false">IF(I607="","",IF(J607="과세",ROUND(I607*0.1,0),0))</f>
        <v/>
      </c>
      <c r="L607" s="28" t="str">
        <f aca="false">IF(I607="","",I607+K607)</f>
        <v/>
      </c>
      <c r="M607" s="10"/>
      <c r="N607" s="80"/>
      <c r="O607" s="80"/>
      <c r="P607" s="59" t="str">
        <f aca="false">IF(E607="","",IFERROR(INDEX(기본설정!$H$4:$H$14,MATCH(E607,기본설정!$G$4:$G$14,0)),""))</f>
        <v/>
      </c>
    </row>
    <row r="608" customFormat="false" ht="15" hidden="false" customHeight="false" outlineLevel="0" collapsed="false">
      <c r="A608" s="73"/>
      <c r="B608" s="10"/>
      <c r="C608" s="80"/>
      <c r="D608" s="80"/>
      <c r="E608" s="81" t="str">
        <f aca="false">IF(D608="","",IFERROR(INDEX(식자재단가!$B$4:$B$203,MATCH(D608,식자재단가!$C$4:$C$203,0)),""))</f>
        <v/>
      </c>
      <c r="F608" s="76"/>
      <c r="G608" s="59" t="str">
        <f aca="false">IF(D608="","",IFERROR(INDEX(식자재단가!$F$4:$F$203,MATCH(D608,식자재단가!$C$4:$C$203,0)),""))</f>
        <v/>
      </c>
      <c r="H608" s="50"/>
      <c r="I608" s="82" t="str">
        <f aca="false">IF(OR(F608="",H608=""),"",F608*H608)</f>
        <v/>
      </c>
      <c r="J608" s="83" t="str">
        <f aca="false">IF(D608="","",IFERROR(INDEX(식자재단가!$M$4:$M$203,MATCH(D608,식자재단가!$C$4:$C$203,0)),"과세"))</f>
        <v/>
      </c>
      <c r="K608" s="28" t="str">
        <f aca="false">IF(I608="","",IF(J608="과세",ROUND(I608*0.1,0),0))</f>
        <v/>
      </c>
      <c r="L608" s="28" t="str">
        <f aca="false">IF(I608="","",I608+K608)</f>
        <v/>
      </c>
      <c r="M608" s="10"/>
      <c r="N608" s="80"/>
      <c r="O608" s="80"/>
      <c r="P608" s="59" t="str">
        <f aca="false">IF(E608="","",IFERROR(INDEX(기본설정!$H$4:$H$14,MATCH(E608,기본설정!$G$4:$G$14,0)),""))</f>
        <v/>
      </c>
    </row>
    <row r="609" customFormat="false" ht="15" hidden="false" customHeight="false" outlineLevel="0" collapsed="false">
      <c r="A609" s="73"/>
      <c r="B609" s="10"/>
      <c r="C609" s="80"/>
      <c r="D609" s="80"/>
      <c r="E609" s="81" t="str">
        <f aca="false">IF(D609="","",IFERROR(INDEX(식자재단가!$B$4:$B$203,MATCH(D609,식자재단가!$C$4:$C$203,0)),""))</f>
        <v/>
      </c>
      <c r="F609" s="76"/>
      <c r="G609" s="59" t="str">
        <f aca="false">IF(D609="","",IFERROR(INDEX(식자재단가!$F$4:$F$203,MATCH(D609,식자재단가!$C$4:$C$203,0)),""))</f>
        <v/>
      </c>
      <c r="H609" s="50"/>
      <c r="I609" s="82" t="str">
        <f aca="false">IF(OR(F609="",H609=""),"",F609*H609)</f>
        <v/>
      </c>
      <c r="J609" s="83" t="str">
        <f aca="false">IF(D609="","",IFERROR(INDEX(식자재단가!$M$4:$M$203,MATCH(D609,식자재단가!$C$4:$C$203,0)),"과세"))</f>
        <v/>
      </c>
      <c r="K609" s="28" t="str">
        <f aca="false">IF(I609="","",IF(J609="과세",ROUND(I609*0.1,0),0))</f>
        <v/>
      </c>
      <c r="L609" s="28" t="str">
        <f aca="false">IF(I609="","",I609+K609)</f>
        <v/>
      </c>
      <c r="M609" s="10"/>
      <c r="N609" s="80"/>
      <c r="O609" s="80"/>
      <c r="P609" s="59" t="str">
        <f aca="false">IF(E609="","",IFERROR(INDEX(기본설정!$H$4:$H$14,MATCH(E609,기본설정!$G$4:$G$14,0)),""))</f>
        <v/>
      </c>
    </row>
    <row r="610" customFormat="false" ht="15" hidden="false" customHeight="false" outlineLevel="0" collapsed="false">
      <c r="A610" s="73"/>
      <c r="B610" s="10"/>
      <c r="C610" s="80"/>
      <c r="D610" s="80"/>
      <c r="E610" s="81" t="str">
        <f aca="false">IF(D610="","",IFERROR(INDEX(식자재단가!$B$4:$B$203,MATCH(D610,식자재단가!$C$4:$C$203,0)),""))</f>
        <v/>
      </c>
      <c r="F610" s="76"/>
      <c r="G610" s="59" t="str">
        <f aca="false">IF(D610="","",IFERROR(INDEX(식자재단가!$F$4:$F$203,MATCH(D610,식자재단가!$C$4:$C$203,0)),""))</f>
        <v/>
      </c>
      <c r="H610" s="50"/>
      <c r="I610" s="82" t="str">
        <f aca="false">IF(OR(F610="",H610=""),"",F610*H610)</f>
        <v/>
      </c>
      <c r="J610" s="83" t="str">
        <f aca="false">IF(D610="","",IFERROR(INDEX(식자재단가!$M$4:$M$203,MATCH(D610,식자재단가!$C$4:$C$203,0)),"과세"))</f>
        <v/>
      </c>
      <c r="K610" s="28" t="str">
        <f aca="false">IF(I610="","",IF(J610="과세",ROUND(I610*0.1,0),0))</f>
        <v/>
      </c>
      <c r="L610" s="28" t="str">
        <f aca="false">IF(I610="","",I610+K610)</f>
        <v/>
      </c>
      <c r="M610" s="10"/>
      <c r="N610" s="80"/>
      <c r="O610" s="80"/>
      <c r="P610" s="59" t="str">
        <f aca="false">IF(E610="","",IFERROR(INDEX(기본설정!$H$4:$H$14,MATCH(E610,기본설정!$G$4:$G$14,0)),""))</f>
        <v/>
      </c>
    </row>
    <row r="611" customFormat="false" ht="15" hidden="false" customHeight="false" outlineLevel="0" collapsed="false">
      <c r="A611" s="73"/>
      <c r="B611" s="10"/>
      <c r="C611" s="80"/>
      <c r="D611" s="80"/>
      <c r="E611" s="81" t="str">
        <f aca="false">IF(D611="","",IFERROR(INDEX(식자재단가!$B$4:$B$203,MATCH(D611,식자재단가!$C$4:$C$203,0)),""))</f>
        <v/>
      </c>
      <c r="F611" s="76"/>
      <c r="G611" s="59" t="str">
        <f aca="false">IF(D611="","",IFERROR(INDEX(식자재단가!$F$4:$F$203,MATCH(D611,식자재단가!$C$4:$C$203,0)),""))</f>
        <v/>
      </c>
      <c r="H611" s="50"/>
      <c r="I611" s="82" t="str">
        <f aca="false">IF(OR(F611="",H611=""),"",F611*H611)</f>
        <v/>
      </c>
      <c r="J611" s="83" t="str">
        <f aca="false">IF(D611="","",IFERROR(INDEX(식자재단가!$M$4:$M$203,MATCH(D611,식자재단가!$C$4:$C$203,0)),"과세"))</f>
        <v/>
      </c>
      <c r="K611" s="28" t="str">
        <f aca="false">IF(I611="","",IF(J611="과세",ROUND(I611*0.1,0),0))</f>
        <v/>
      </c>
      <c r="L611" s="28" t="str">
        <f aca="false">IF(I611="","",I611+K611)</f>
        <v/>
      </c>
      <c r="M611" s="10"/>
      <c r="N611" s="80"/>
      <c r="O611" s="80"/>
      <c r="P611" s="59" t="str">
        <f aca="false">IF(E611="","",IFERROR(INDEX(기본설정!$H$4:$H$14,MATCH(E611,기본설정!$G$4:$G$14,0)),""))</f>
        <v/>
      </c>
    </row>
    <row r="612" customFormat="false" ht="15" hidden="false" customHeight="false" outlineLevel="0" collapsed="false">
      <c r="A612" s="73"/>
      <c r="B612" s="10"/>
      <c r="C612" s="80"/>
      <c r="D612" s="80"/>
      <c r="E612" s="81" t="str">
        <f aca="false">IF(D612="","",IFERROR(INDEX(식자재단가!$B$4:$B$203,MATCH(D612,식자재단가!$C$4:$C$203,0)),""))</f>
        <v/>
      </c>
      <c r="F612" s="76"/>
      <c r="G612" s="59" t="str">
        <f aca="false">IF(D612="","",IFERROR(INDEX(식자재단가!$F$4:$F$203,MATCH(D612,식자재단가!$C$4:$C$203,0)),""))</f>
        <v/>
      </c>
      <c r="H612" s="50"/>
      <c r="I612" s="82" t="str">
        <f aca="false">IF(OR(F612="",H612=""),"",F612*H612)</f>
        <v/>
      </c>
      <c r="J612" s="83" t="str">
        <f aca="false">IF(D612="","",IFERROR(INDEX(식자재단가!$M$4:$M$203,MATCH(D612,식자재단가!$C$4:$C$203,0)),"과세"))</f>
        <v/>
      </c>
      <c r="K612" s="28" t="str">
        <f aca="false">IF(I612="","",IF(J612="과세",ROUND(I612*0.1,0),0))</f>
        <v/>
      </c>
      <c r="L612" s="28" t="str">
        <f aca="false">IF(I612="","",I612+K612)</f>
        <v/>
      </c>
      <c r="M612" s="10"/>
      <c r="N612" s="80"/>
      <c r="O612" s="80"/>
      <c r="P612" s="59" t="str">
        <f aca="false">IF(E612="","",IFERROR(INDEX(기본설정!$H$4:$H$14,MATCH(E612,기본설정!$G$4:$G$14,0)),""))</f>
        <v/>
      </c>
    </row>
    <row r="613" customFormat="false" ht="15" hidden="false" customHeight="false" outlineLevel="0" collapsed="false">
      <c r="A613" s="73"/>
      <c r="B613" s="10"/>
      <c r="C613" s="80"/>
      <c r="D613" s="80"/>
      <c r="E613" s="81" t="str">
        <f aca="false">IF(D613="","",IFERROR(INDEX(식자재단가!$B$4:$B$203,MATCH(D613,식자재단가!$C$4:$C$203,0)),""))</f>
        <v/>
      </c>
      <c r="F613" s="76"/>
      <c r="G613" s="59" t="str">
        <f aca="false">IF(D613="","",IFERROR(INDEX(식자재단가!$F$4:$F$203,MATCH(D613,식자재단가!$C$4:$C$203,0)),""))</f>
        <v/>
      </c>
      <c r="H613" s="50"/>
      <c r="I613" s="82" t="str">
        <f aca="false">IF(OR(F613="",H613=""),"",F613*H613)</f>
        <v/>
      </c>
      <c r="J613" s="83" t="str">
        <f aca="false">IF(D613="","",IFERROR(INDEX(식자재단가!$M$4:$M$203,MATCH(D613,식자재단가!$C$4:$C$203,0)),"과세"))</f>
        <v/>
      </c>
      <c r="K613" s="28" t="str">
        <f aca="false">IF(I613="","",IF(J613="과세",ROUND(I613*0.1,0),0))</f>
        <v/>
      </c>
      <c r="L613" s="28" t="str">
        <f aca="false">IF(I613="","",I613+K613)</f>
        <v/>
      </c>
      <c r="M613" s="10"/>
      <c r="N613" s="80"/>
      <c r="O613" s="80"/>
      <c r="P613" s="59" t="str">
        <f aca="false">IF(E613="","",IFERROR(INDEX(기본설정!$H$4:$H$14,MATCH(E613,기본설정!$G$4:$G$14,0)),""))</f>
        <v/>
      </c>
    </row>
    <row r="614" customFormat="false" ht="15" hidden="false" customHeight="false" outlineLevel="0" collapsed="false">
      <c r="A614" s="73"/>
      <c r="B614" s="10"/>
      <c r="C614" s="80"/>
      <c r="D614" s="80"/>
      <c r="E614" s="81" t="str">
        <f aca="false">IF(D614="","",IFERROR(INDEX(식자재단가!$B$4:$B$203,MATCH(D614,식자재단가!$C$4:$C$203,0)),""))</f>
        <v/>
      </c>
      <c r="F614" s="76"/>
      <c r="G614" s="59" t="str">
        <f aca="false">IF(D614="","",IFERROR(INDEX(식자재단가!$F$4:$F$203,MATCH(D614,식자재단가!$C$4:$C$203,0)),""))</f>
        <v/>
      </c>
      <c r="H614" s="50"/>
      <c r="I614" s="82" t="str">
        <f aca="false">IF(OR(F614="",H614=""),"",F614*H614)</f>
        <v/>
      </c>
      <c r="J614" s="83" t="str">
        <f aca="false">IF(D614="","",IFERROR(INDEX(식자재단가!$M$4:$M$203,MATCH(D614,식자재단가!$C$4:$C$203,0)),"과세"))</f>
        <v/>
      </c>
      <c r="K614" s="28" t="str">
        <f aca="false">IF(I614="","",IF(J614="과세",ROUND(I614*0.1,0),0))</f>
        <v/>
      </c>
      <c r="L614" s="28" t="str">
        <f aca="false">IF(I614="","",I614+K614)</f>
        <v/>
      </c>
      <c r="M614" s="10"/>
      <c r="N614" s="80"/>
      <c r="O614" s="80"/>
      <c r="P614" s="59" t="str">
        <f aca="false">IF(E614="","",IFERROR(INDEX(기본설정!$H$4:$H$14,MATCH(E614,기본설정!$G$4:$G$14,0)),""))</f>
        <v/>
      </c>
    </row>
    <row r="615" customFormat="false" ht="15" hidden="false" customHeight="false" outlineLevel="0" collapsed="false">
      <c r="A615" s="73"/>
      <c r="B615" s="10"/>
      <c r="C615" s="80"/>
      <c r="D615" s="80"/>
      <c r="E615" s="81" t="str">
        <f aca="false">IF(D615="","",IFERROR(INDEX(식자재단가!$B$4:$B$203,MATCH(D615,식자재단가!$C$4:$C$203,0)),""))</f>
        <v/>
      </c>
      <c r="F615" s="76"/>
      <c r="G615" s="59" t="str">
        <f aca="false">IF(D615="","",IFERROR(INDEX(식자재단가!$F$4:$F$203,MATCH(D615,식자재단가!$C$4:$C$203,0)),""))</f>
        <v/>
      </c>
      <c r="H615" s="50"/>
      <c r="I615" s="82" t="str">
        <f aca="false">IF(OR(F615="",H615=""),"",F615*H615)</f>
        <v/>
      </c>
      <c r="J615" s="83" t="str">
        <f aca="false">IF(D615="","",IFERROR(INDEX(식자재단가!$M$4:$M$203,MATCH(D615,식자재단가!$C$4:$C$203,0)),"과세"))</f>
        <v/>
      </c>
      <c r="K615" s="28" t="str">
        <f aca="false">IF(I615="","",IF(J615="과세",ROUND(I615*0.1,0),0))</f>
        <v/>
      </c>
      <c r="L615" s="28" t="str">
        <f aca="false">IF(I615="","",I615+K615)</f>
        <v/>
      </c>
      <c r="M615" s="10"/>
      <c r="N615" s="80"/>
      <c r="O615" s="80"/>
      <c r="P615" s="59" t="str">
        <f aca="false">IF(E615="","",IFERROR(INDEX(기본설정!$H$4:$H$14,MATCH(E615,기본설정!$G$4:$G$14,0)),""))</f>
        <v/>
      </c>
    </row>
    <row r="616" customFormat="false" ht="15" hidden="false" customHeight="false" outlineLevel="0" collapsed="false">
      <c r="A616" s="73"/>
      <c r="B616" s="10"/>
      <c r="C616" s="80"/>
      <c r="D616" s="80"/>
      <c r="E616" s="81" t="str">
        <f aca="false">IF(D616="","",IFERROR(INDEX(식자재단가!$B$4:$B$203,MATCH(D616,식자재단가!$C$4:$C$203,0)),""))</f>
        <v/>
      </c>
      <c r="F616" s="76"/>
      <c r="G616" s="59" t="str">
        <f aca="false">IF(D616="","",IFERROR(INDEX(식자재단가!$F$4:$F$203,MATCH(D616,식자재단가!$C$4:$C$203,0)),""))</f>
        <v/>
      </c>
      <c r="H616" s="50"/>
      <c r="I616" s="82" t="str">
        <f aca="false">IF(OR(F616="",H616=""),"",F616*H616)</f>
        <v/>
      </c>
      <c r="J616" s="83" t="str">
        <f aca="false">IF(D616="","",IFERROR(INDEX(식자재단가!$M$4:$M$203,MATCH(D616,식자재단가!$C$4:$C$203,0)),"과세"))</f>
        <v/>
      </c>
      <c r="K616" s="28" t="str">
        <f aca="false">IF(I616="","",IF(J616="과세",ROUND(I616*0.1,0),0))</f>
        <v/>
      </c>
      <c r="L616" s="28" t="str">
        <f aca="false">IF(I616="","",I616+K616)</f>
        <v/>
      </c>
      <c r="M616" s="10"/>
      <c r="N616" s="80"/>
      <c r="O616" s="80"/>
      <c r="P616" s="59" t="str">
        <f aca="false">IF(E616="","",IFERROR(INDEX(기본설정!$H$4:$H$14,MATCH(E616,기본설정!$G$4:$G$14,0)),""))</f>
        <v/>
      </c>
    </row>
    <row r="617" customFormat="false" ht="15" hidden="false" customHeight="false" outlineLevel="0" collapsed="false">
      <c r="A617" s="73"/>
      <c r="B617" s="10"/>
      <c r="C617" s="80"/>
      <c r="D617" s="80"/>
      <c r="E617" s="81" t="str">
        <f aca="false">IF(D617="","",IFERROR(INDEX(식자재단가!$B$4:$B$203,MATCH(D617,식자재단가!$C$4:$C$203,0)),""))</f>
        <v/>
      </c>
      <c r="F617" s="76"/>
      <c r="G617" s="59" t="str">
        <f aca="false">IF(D617="","",IFERROR(INDEX(식자재단가!$F$4:$F$203,MATCH(D617,식자재단가!$C$4:$C$203,0)),""))</f>
        <v/>
      </c>
      <c r="H617" s="50"/>
      <c r="I617" s="82" t="str">
        <f aca="false">IF(OR(F617="",H617=""),"",F617*H617)</f>
        <v/>
      </c>
      <c r="J617" s="83" t="str">
        <f aca="false">IF(D617="","",IFERROR(INDEX(식자재단가!$M$4:$M$203,MATCH(D617,식자재단가!$C$4:$C$203,0)),"과세"))</f>
        <v/>
      </c>
      <c r="K617" s="28" t="str">
        <f aca="false">IF(I617="","",IF(J617="과세",ROUND(I617*0.1,0),0))</f>
        <v/>
      </c>
      <c r="L617" s="28" t="str">
        <f aca="false">IF(I617="","",I617+K617)</f>
        <v/>
      </c>
      <c r="M617" s="10"/>
      <c r="N617" s="80"/>
      <c r="O617" s="80"/>
      <c r="P617" s="59" t="str">
        <f aca="false">IF(E617="","",IFERROR(INDEX(기본설정!$H$4:$H$14,MATCH(E617,기본설정!$G$4:$G$14,0)),""))</f>
        <v/>
      </c>
    </row>
    <row r="618" customFormat="false" ht="15" hidden="false" customHeight="false" outlineLevel="0" collapsed="false">
      <c r="A618" s="73"/>
      <c r="B618" s="10"/>
      <c r="C618" s="80"/>
      <c r="D618" s="80"/>
      <c r="E618" s="81" t="str">
        <f aca="false">IF(D618="","",IFERROR(INDEX(식자재단가!$B$4:$B$203,MATCH(D618,식자재단가!$C$4:$C$203,0)),""))</f>
        <v/>
      </c>
      <c r="F618" s="76"/>
      <c r="G618" s="59" t="str">
        <f aca="false">IF(D618="","",IFERROR(INDEX(식자재단가!$F$4:$F$203,MATCH(D618,식자재단가!$C$4:$C$203,0)),""))</f>
        <v/>
      </c>
      <c r="H618" s="50"/>
      <c r="I618" s="82" t="str">
        <f aca="false">IF(OR(F618="",H618=""),"",F618*H618)</f>
        <v/>
      </c>
      <c r="J618" s="83" t="str">
        <f aca="false">IF(D618="","",IFERROR(INDEX(식자재단가!$M$4:$M$203,MATCH(D618,식자재단가!$C$4:$C$203,0)),"과세"))</f>
        <v/>
      </c>
      <c r="K618" s="28" t="str">
        <f aca="false">IF(I618="","",IF(J618="과세",ROUND(I618*0.1,0),0))</f>
        <v/>
      </c>
      <c r="L618" s="28" t="str">
        <f aca="false">IF(I618="","",I618+K618)</f>
        <v/>
      </c>
      <c r="M618" s="10"/>
      <c r="N618" s="80"/>
      <c r="O618" s="80"/>
      <c r="P618" s="59" t="str">
        <f aca="false">IF(E618="","",IFERROR(INDEX(기본설정!$H$4:$H$14,MATCH(E618,기본설정!$G$4:$G$14,0)),""))</f>
        <v/>
      </c>
    </row>
    <row r="619" customFormat="false" ht="15" hidden="false" customHeight="false" outlineLevel="0" collapsed="false">
      <c r="A619" s="73"/>
      <c r="B619" s="10"/>
      <c r="C619" s="80"/>
      <c r="D619" s="80"/>
      <c r="E619" s="81" t="str">
        <f aca="false">IF(D619="","",IFERROR(INDEX(식자재단가!$B$4:$B$203,MATCH(D619,식자재단가!$C$4:$C$203,0)),""))</f>
        <v/>
      </c>
      <c r="F619" s="76"/>
      <c r="G619" s="59" t="str">
        <f aca="false">IF(D619="","",IFERROR(INDEX(식자재단가!$F$4:$F$203,MATCH(D619,식자재단가!$C$4:$C$203,0)),""))</f>
        <v/>
      </c>
      <c r="H619" s="50"/>
      <c r="I619" s="82" t="str">
        <f aca="false">IF(OR(F619="",H619=""),"",F619*H619)</f>
        <v/>
      </c>
      <c r="J619" s="83" t="str">
        <f aca="false">IF(D619="","",IFERROR(INDEX(식자재단가!$M$4:$M$203,MATCH(D619,식자재단가!$C$4:$C$203,0)),"과세"))</f>
        <v/>
      </c>
      <c r="K619" s="28" t="str">
        <f aca="false">IF(I619="","",IF(J619="과세",ROUND(I619*0.1,0),0))</f>
        <v/>
      </c>
      <c r="L619" s="28" t="str">
        <f aca="false">IF(I619="","",I619+K619)</f>
        <v/>
      </c>
      <c r="M619" s="10"/>
      <c r="N619" s="80"/>
      <c r="O619" s="80"/>
      <c r="P619" s="59" t="str">
        <f aca="false">IF(E619="","",IFERROR(INDEX(기본설정!$H$4:$H$14,MATCH(E619,기본설정!$G$4:$G$14,0)),""))</f>
        <v/>
      </c>
    </row>
    <row r="620" customFormat="false" ht="15" hidden="false" customHeight="false" outlineLevel="0" collapsed="false">
      <c r="A620" s="73"/>
      <c r="B620" s="10"/>
      <c r="C620" s="80"/>
      <c r="D620" s="80"/>
      <c r="E620" s="81" t="str">
        <f aca="false">IF(D620="","",IFERROR(INDEX(식자재단가!$B$4:$B$203,MATCH(D620,식자재단가!$C$4:$C$203,0)),""))</f>
        <v/>
      </c>
      <c r="F620" s="76"/>
      <c r="G620" s="59" t="str">
        <f aca="false">IF(D620="","",IFERROR(INDEX(식자재단가!$F$4:$F$203,MATCH(D620,식자재단가!$C$4:$C$203,0)),""))</f>
        <v/>
      </c>
      <c r="H620" s="50"/>
      <c r="I620" s="82" t="str">
        <f aca="false">IF(OR(F620="",H620=""),"",F620*H620)</f>
        <v/>
      </c>
      <c r="J620" s="83" t="str">
        <f aca="false">IF(D620="","",IFERROR(INDEX(식자재단가!$M$4:$M$203,MATCH(D620,식자재단가!$C$4:$C$203,0)),"과세"))</f>
        <v/>
      </c>
      <c r="K620" s="28" t="str">
        <f aca="false">IF(I620="","",IF(J620="과세",ROUND(I620*0.1,0),0))</f>
        <v/>
      </c>
      <c r="L620" s="28" t="str">
        <f aca="false">IF(I620="","",I620+K620)</f>
        <v/>
      </c>
      <c r="M620" s="10"/>
      <c r="N620" s="80"/>
      <c r="O620" s="80"/>
      <c r="P620" s="59" t="str">
        <f aca="false">IF(E620="","",IFERROR(INDEX(기본설정!$H$4:$H$14,MATCH(E620,기본설정!$G$4:$G$14,0)),""))</f>
        <v/>
      </c>
    </row>
    <row r="621" customFormat="false" ht="15" hidden="false" customHeight="false" outlineLevel="0" collapsed="false">
      <c r="A621" s="73"/>
      <c r="B621" s="10"/>
      <c r="C621" s="80"/>
      <c r="D621" s="80"/>
      <c r="E621" s="81" t="str">
        <f aca="false">IF(D621="","",IFERROR(INDEX(식자재단가!$B$4:$B$203,MATCH(D621,식자재단가!$C$4:$C$203,0)),""))</f>
        <v/>
      </c>
      <c r="F621" s="76"/>
      <c r="G621" s="59" t="str">
        <f aca="false">IF(D621="","",IFERROR(INDEX(식자재단가!$F$4:$F$203,MATCH(D621,식자재단가!$C$4:$C$203,0)),""))</f>
        <v/>
      </c>
      <c r="H621" s="50"/>
      <c r="I621" s="82" t="str">
        <f aca="false">IF(OR(F621="",H621=""),"",F621*H621)</f>
        <v/>
      </c>
      <c r="J621" s="83" t="str">
        <f aca="false">IF(D621="","",IFERROR(INDEX(식자재단가!$M$4:$M$203,MATCH(D621,식자재단가!$C$4:$C$203,0)),"과세"))</f>
        <v/>
      </c>
      <c r="K621" s="28" t="str">
        <f aca="false">IF(I621="","",IF(J621="과세",ROUND(I621*0.1,0),0))</f>
        <v/>
      </c>
      <c r="L621" s="28" t="str">
        <f aca="false">IF(I621="","",I621+K621)</f>
        <v/>
      </c>
      <c r="M621" s="10"/>
      <c r="N621" s="80"/>
      <c r="O621" s="80"/>
      <c r="P621" s="59" t="str">
        <f aca="false">IF(E621="","",IFERROR(INDEX(기본설정!$H$4:$H$14,MATCH(E621,기본설정!$G$4:$G$14,0)),""))</f>
        <v/>
      </c>
    </row>
    <row r="622" customFormat="false" ht="15" hidden="false" customHeight="false" outlineLevel="0" collapsed="false">
      <c r="A622" s="73"/>
      <c r="B622" s="10"/>
      <c r="C622" s="80"/>
      <c r="D622" s="80"/>
      <c r="E622" s="81" t="str">
        <f aca="false">IF(D622="","",IFERROR(INDEX(식자재단가!$B$4:$B$203,MATCH(D622,식자재단가!$C$4:$C$203,0)),""))</f>
        <v/>
      </c>
      <c r="F622" s="76"/>
      <c r="G622" s="59" t="str">
        <f aca="false">IF(D622="","",IFERROR(INDEX(식자재단가!$F$4:$F$203,MATCH(D622,식자재단가!$C$4:$C$203,0)),""))</f>
        <v/>
      </c>
      <c r="H622" s="50"/>
      <c r="I622" s="82" t="str">
        <f aca="false">IF(OR(F622="",H622=""),"",F622*H622)</f>
        <v/>
      </c>
      <c r="J622" s="83" t="str">
        <f aca="false">IF(D622="","",IFERROR(INDEX(식자재단가!$M$4:$M$203,MATCH(D622,식자재단가!$C$4:$C$203,0)),"과세"))</f>
        <v/>
      </c>
      <c r="K622" s="28" t="str">
        <f aca="false">IF(I622="","",IF(J622="과세",ROUND(I622*0.1,0),0))</f>
        <v/>
      </c>
      <c r="L622" s="28" t="str">
        <f aca="false">IF(I622="","",I622+K622)</f>
        <v/>
      </c>
      <c r="M622" s="10"/>
      <c r="N622" s="80"/>
      <c r="O622" s="80"/>
      <c r="P622" s="59" t="str">
        <f aca="false">IF(E622="","",IFERROR(INDEX(기본설정!$H$4:$H$14,MATCH(E622,기본설정!$G$4:$G$14,0)),""))</f>
        <v/>
      </c>
    </row>
    <row r="623" customFormat="false" ht="15" hidden="false" customHeight="false" outlineLevel="0" collapsed="false">
      <c r="A623" s="73"/>
      <c r="B623" s="10"/>
      <c r="C623" s="80"/>
      <c r="D623" s="80"/>
      <c r="E623" s="81" t="str">
        <f aca="false">IF(D623="","",IFERROR(INDEX(식자재단가!$B$4:$B$203,MATCH(D623,식자재단가!$C$4:$C$203,0)),""))</f>
        <v/>
      </c>
      <c r="F623" s="76"/>
      <c r="G623" s="59" t="str">
        <f aca="false">IF(D623="","",IFERROR(INDEX(식자재단가!$F$4:$F$203,MATCH(D623,식자재단가!$C$4:$C$203,0)),""))</f>
        <v/>
      </c>
      <c r="H623" s="50"/>
      <c r="I623" s="82" t="str">
        <f aca="false">IF(OR(F623="",H623=""),"",F623*H623)</f>
        <v/>
      </c>
      <c r="J623" s="83" t="str">
        <f aca="false">IF(D623="","",IFERROR(INDEX(식자재단가!$M$4:$M$203,MATCH(D623,식자재단가!$C$4:$C$203,0)),"과세"))</f>
        <v/>
      </c>
      <c r="K623" s="28" t="str">
        <f aca="false">IF(I623="","",IF(J623="과세",ROUND(I623*0.1,0),0))</f>
        <v/>
      </c>
      <c r="L623" s="28" t="str">
        <f aca="false">IF(I623="","",I623+K623)</f>
        <v/>
      </c>
      <c r="M623" s="10"/>
      <c r="N623" s="80"/>
      <c r="O623" s="80"/>
      <c r="P623" s="59" t="str">
        <f aca="false">IF(E623="","",IFERROR(INDEX(기본설정!$H$4:$H$14,MATCH(E623,기본설정!$G$4:$G$14,0)),""))</f>
        <v/>
      </c>
    </row>
    <row r="624" customFormat="false" ht="15" hidden="false" customHeight="false" outlineLevel="0" collapsed="false">
      <c r="A624" s="73"/>
      <c r="B624" s="10"/>
      <c r="C624" s="80"/>
      <c r="D624" s="80"/>
      <c r="E624" s="81" t="str">
        <f aca="false">IF(D624="","",IFERROR(INDEX(식자재단가!$B$4:$B$203,MATCH(D624,식자재단가!$C$4:$C$203,0)),""))</f>
        <v/>
      </c>
      <c r="F624" s="76"/>
      <c r="G624" s="59" t="str">
        <f aca="false">IF(D624="","",IFERROR(INDEX(식자재단가!$F$4:$F$203,MATCH(D624,식자재단가!$C$4:$C$203,0)),""))</f>
        <v/>
      </c>
      <c r="H624" s="50"/>
      <c r="I624" s="82" t="str">
        <f aca="false">IF(OR(F624="",H624=""),"",F624*H624)</f>
        <v/>
      </c>
      <c r="J624" s="83" t="str">
        <f aca="false">IF(D624="","",IFERROR(INDEX(식자재단가!$M$4:$M$203,MATCH(D624,식자재단가!$C$4:$C$203,0)),"과세"))</f>
        <v/>
      </c>
      <c r="K624" s="28" t="str">
        <f aca="false">IF(I624="","",IF(J624="과세",ROUND(I624*0.1,0),0))</f>
        <v/>
      </c>
      <c r="L624" s="28" t="str">
        <f aca="false">IF(I624="","",I624+K624)</f>
        <v/>
      </c>
      <c r="M624" s="10"/>
      <c r="N624" s="80"/>
      <c r="O624" s="80"/>
      <c r="P624" s="59" t="str">
        <f aca="false">IF(E624="","",IFERROR(INDEX(기본설정!$H$4:$H$14,MATCH(E624,기본설정!$G$4:$G$14,0)),""))</f>
        <v/>
      </c>
    </row>
    <row r="625" customFormat="false" ht="15" hidden="false" customHeight="false" outlineLevel="0" collapsed="false">
      <c r="A625" s="73"/>
      <c r="B625" s="10"/>
      <c r="C625" s="80"/>
      <c r="D625" s="80"/>
      <c r="E625" s="81" t="str">
        <f aca="false">IF(D625="","",IFERROR(INDEX(식자재단가!$B$4:$B$203,MATCH(D625,식자재단가!$C$4:$C$203,0)),""))</f>
        <v/>
      </c>
      <c r="F625" s="76"/>
      <c r="G625" s="59" t="str">
        <f aca="false">IF(D625="","",IFERROR(INDEX(식자재단가!$F$4:$F$203,MATCH(D625,식자재단가!$C$4:$C$203,0)),""))</f>
        <v/>
      </c>
      <c r="H625" s="50"/>
      <c r="I625" s="82" t="str">
        <f aca="false">IF(OR(F625="",H625=""),"",F625*H625)</f>
        <v/>
      </c>
      <c r="J625" s="83" t="str">
        <f aca="false">IF(D625="","",IFERROR(INDEX(식자재단가!$M$4:$M$203,MATCH(D625,식자재단가!$C$4:$C$203,0)),"과세"))</f>
        <v/>
      </c>
      <c r="K625" s="28" t="str">
        <f aca="false">IF(I625="","",IF(J625="과세",ROUND(I625*0.1,0),0))</f>
        <v/>
      </c>
      <c r="L625" s="28" t="str">
        <f aca="false">IF(I625="","",I625+K625)</f>
        <v/>
      </c>
      <c r="M625" s="10"/>
      <c r="N625" s="80"/>
      <c r="O625" s="80"/>
      <c r="P625" s="59" t="str">
        <f aca="false">IF(E625="","",IFERROR(INDEX(기본설정!$H$4:$H$14,MATCH(E625,기본설정!$G$4:$G$14,0)),""))</f>
        <v/>
      </c>
    </row>
    <row r="626" customFormat="false" ht="15" hidden="false" customHeight="false" outlineLevel="0" collapsed="false">
      <c r="A626" s="73"/>
      <c r="B626" s="10"/>
      <c r="C626" s="80"/>
      <c r="D626" s="80"/>
      <c r="E626" s="81" t="str">
        <f aca="false">IF(D626="","",IFERROR(INDEX(식자재단가!$B$4:$B$203,MATCH(D626,식자재단가!$C$4:$C$203,0)),""))</f>
        <v/>
      </c>
      <c r="F626" s="76"/>
      <c r="G626" s="59" t="str">
        <f aca="false">IF(D626="","",IFERROR(INDEX(식자재단가!$F$4:$F$203,MATCH(D626,식자재단가!$C$4:$C$203,0)),""))</f>
        <v/>
      </c>
      <c r="H626" s="50"/>
      <c r="I626" s="82" t="str">
        <f aca="false">IF(OR(F626="",H626=""),"",F626*H626)</f>
        <v/>
      </c>
      <c r="J626" s="83" t="str">
        <f aca="false">IF(D626="","",IFERROR(INDEX(식자재단가!$M$4:$M$203,MATCH(D626,식자재단가!$C$4:$C$203,0)),"과세"))</f>
        <v/>
      </c>
      <c r="K626" s="28" t="str">
        <f aca="false">IF(I626="","",IF(J626="과세",ROUND(I626*0.1,0),0))</f>
        <v/>
      </c>
      <c r="L626" s="28" t="str">
        <f aca="false">IF(I626="","",I626+K626)</f>
        <v/>
      </c>
      <c r="M626" s="10"/>
      <c r="N626" s="80"/>
      <c r="O626" s="80"/>
      <c r="P626" s="59" t="str">
        <f aca="false">IF(E626="","",IFERROR(INDEX(기본설정!$H$4:$H$14,MATCH(E626,기본설정!$G$4:$G$14,0)),""))</f>
        <v/>
      </c>
    </row>
    <row r="627" customFormat="false" ht="15" hidden="false" customHeight="false" outlineLevel="0" collapsed="false">
      <c r="A627" s="73"/>
      <c r="B627" s="10"/>
      <c r="C627" s="80"/>
      <c r="D627" s="80"/>
      <c r="E627" s="81" t="str">
        <f aca="false">IF(D627="","",IFERROR(INDEX(식자재단가!$B$4:$B$203,MATCH(D627,식자재단가!$C$4:$C$203,0)),""))</f>
        <v/>
      </c>
      <c r="F627" s="76"/>
      <c r="G627" s="59" t="str">
        <f aca="false">IF(D627="","",IFERROR(INDEX(식자재단가!$F$4:$F$203,MATCH(D627,식자재단가!$C$4:$C$203,0)),""))</f>
        <v/>
      </c>
      <c r="H627" s="50"/>
      <c r="I627" s="82" t="str">
        <f aca="false">IF(OR(F627="",H627=""),"",F627*H627)</f>
        <v/>
      </c>
      <c r="J627" s="83" t="str">
        <f aca="false">IF(D627="","",IFERROR(INDEX(식자재단가!$M$4:$M$203,MATCH(D627,식자재단가!$C$4:$C$203,0)),"과세"))</f>
        <v/>
      </c>
      <c r="K627" s="28" t="str">
        <f aca="false">IF(I627="","",IF(J627="과세",ROUND(I627*0.1,0),0))</f>
        <v/>
      </c>
      <c r="L627" s="28" t="str">
        <f aca="false">IF(I627="","",I627+K627)</f>
        <v/>
      </c>
      <c r="M627" s="10"/>
      <c r="N627" s="80"/>
      <c r="O627" s="80"/>
      <c r="P627" s="59" t="str">
        <f aca="false">IF(E627="","",IFERROR(INDEX(기본설정!$H$4:$H$14,MATCH(E627,기본설정!$G$4:$G$14,0)),""))</f>
        <v/>
      </c>
    </row>
    <row r="628" customFormat="false" ht="15" hidden="false" customHeight="false" outlineLevel="0" collapsed="false">
      <c r="A628" s="73"/>
      <c r="B628" s="10"/>
      <c r="C628" s="80"/>
      <c r="D628" s="80"/>
      <c r="E628" s="81" t="str">
        <f aca="false">IF(D628="","",IFERROR(INDEX(식자재단가!$B$4:$B$203,MATCH(D628,식자재단가!$C$4:$C$203,0)),""))</f>
        <v/>
      </c>
      <c r="F628" s="76"/>
      <c r="G628" s="59" t="str">
        <f aca="false">IF(D628="","",IFERROR(INDEX(식자재단가!$F$4:$F$203,MATCH(D628,식자재단가!$C$4:$C$203,0)),""))</f>
        <v/>
      </c>
      <c r="H628" s="50"/>
      <c r="I628" s="82" t="str">
        <f aca="false">IF(OR(F628="",H628=""),"",F628*H628)</f>
        <v/>
      </c>
      <c r="J628" s="83" t="str">
        <f aca="false">IF(D628="","",IFERROR(INDEX(식자재단가!$M$4:$M$203,MATCH(D628,식자재단가!$C$4:$C$203,0)),"과세"))</f>
        <v/>
      </c>
      <c r="K628" s="28" t="str">
        <f aca="false">IF(I628="","",IF(J628="과세",ROUND(I628*0.1,0),0))</f>
        <v/>
      </c>
      <c r="L628" s="28" t="str">
        <f aca="false">IF(I628="","",I628+K628)</f>
        <v/>
      </c>
      <c r="M628" s="10"/>
      <c r="N628" s="80"/>
      <c r="O628" s="80"/>
      <c r="P628" s="59" t="str">
        <f aca="false">IF(E628="","",IFERROR(INDEX(기본설정!$H$4:$H$14,MATCH(E628,기본설정!$G$4:$G$14,0)),""))</f>
        <v/>
      </c>
    </row>
    <row r="629" customFormat="false" ht="15" hidden="false" customHeight="false" outlineLevel="0" collapsed="false">
      <c r="A629" s="73"/>
      <c r="B629" s="10"/>
      <c r="C629" s="80"/>
      <c r="D629" s="80"/>
      <c r="E629" s="81" t="str">
        <f aca="false">IF(D629="","",IFERROR(INDEX(식자재단가!$B$4:$B$203,MATCH(D629,식자재단가!$C$4:$C$203,0)),""))</f>
        <v/>
      </c>
      <c r="F629" s="76"/>
      <c r="G629" s="59" t="str">
        <f aca="false">IF(D629="","",IFERROR(INDEX(식자재단가!$F$4:$F$203,MATCH(D629,식자재단가!$C$4:$C$203,0)),""))</f>
        <v/>
      </c>
      <c r="H629" s="50"/>
      <c r="I629" s="82" t="str">
        <f aca="false">IF(OR(F629="",H629=""),"",F629*H629)</f>
        <v/>
      </c>
      <c r="J629" s="83" t="str">
        <f aca="false">IF(D629="","",IFERROR(INDEX(식자재단가!$M$4:$M$203,MATCH(D629,식자재단가!$C$4:$C$203,0)),"과세"))</f>
        <v/>
      </c>
      <c r="K629" s="28" t="str">
        <f aca="false">IF(I629="","",IF(J629="과세",ROUND(I629*0.1,0),0))</f>
        <v/>
      </c>
      <c r="L629" s="28" t="str">
        <f aca="false">IF(I629="","",I629+K629)</f>
        <v/>
      </c>
      <c r="M629" s="10"/>
      <c r="N629" s="80"/>
      <c r="O629" s="80"/>
      <c r="P629" s="59" t="str">
        <f aca="false">IF(E629="","",IFERROR(INDEX(기본설정!$H$4:$H$14,MATCH(E629,기본설정!$G$4:$G$14,0)),""))</f>
        <v/>
      </c>
    </row>
    <row r="630" customFormat="false" ht="15" hidden="false" customHeight="false" outlineLevel="0" collapsed="false">
      <c r="A630" s="73"/>
      <c r="B630" s="10"/>
      <c r="C630" s="80"/>
      <c r="D630" s="80"/>
      <c r="E630" s="81" t="str">
        <f aca="false">IF(D630="","",IFERROR(INDEX(식자재단가!$B$4:$B$203,MATCH(D630,식자재단가!$C$4:$C$203,0)),""))</f>
        <v/>
      </c>
      <c r="F630" s="76"/>
      <c r="G630" s="59" t="str">
        <f aca="false">IF(D630="","",IFERROR(INDEX(식자재단가!$F$4:$F$203,MATCH(D630,식자재단가!$C$4:$C$203,0)),""))</f>
        <v/>
      </c>
      <c r="H630" s="50"/>
      <c r="I630" s="82" t="str">
        <f aca="false">IF(OR(F630="",H630=""),"",F630*H630)</f>
        <v/>
      </c>
      <c r="J630" s="83" t="str">
        <f aca="false">IF(D630="","",IFERROR(INDEX(식자재단가!$M$4:$M$203,MATCH(D630,식자재단가!$C$4:$C$203,0)),"과세"))</f>
        <v/>
      </c>
      <c r="K630" s="28" t="str">
        <f aca="false">IF(I630="","",IF(J630="과세",ROUND(I630*0.1,0),0))</f>
        <v/>
      </c>
      <c r="L630" s="28" t="str">
        <f aca="false">IF(I630="","",I630+K630)</f>
        <v/>
      </c>
      <c r="M630" s="10"/>
      <c r="N630" s="80"/>
      <c r="O630" s="80"/>
      <c r="P630" s="59" t="str">
        <f aca="false">IF(E630="","",IFERROR(INDEX(기본설정!$H$4:$H$14,MATCH(E630,기본설정!$G$4:$G$14,0)),""))</f>
        <v/>
      </c>
    </row>
    <row r="631" customFormat="false" ht="15" hidden="false" customHeight="false" outlineLevel="0" collapsed="false">
      <c r="A631" s="73"/>
      <c r="B631" s="10"/>
      <c r="C631" s="80"/>
      <c r="D631" s="80"/>
      <c r="E631" s="81" t="str">
        <f aca="false">IF(D631="","",IFERROR(INDEX(식자재단가!$B$4:$B$203,MATCH(D631,식자재단가!$C$4:$C$203,0)),""))</f>
        <v/>
      </c>
      <c r="F631" s="76"/>
      <c r="G631" s="59" t="str">
        <f aca="false">IF(D631="","",IFERROR(INDEX(식자재단가!$F$4:$F$203,MATCH(D631,식자재단가!$C$4:$C$203,0)),""))</f>
        <v/>
      </c>
      <c r="H631" s="50"/>
      <c r="I631" s="82" t="str">
        <f aca="false">IF(OR(F631="",H631=""),"",F631*H631)</f>
        <v/>
      </c>
      <c r="J631" s="83" t="str">
        <f aca="false">IF(D631="","",IFERROR(INDEX(식자재단가!$M$4:$M$203,MATCH(D631,식자재단가!$C$4:$C$203,0)),"과세"))</f>
        <v/>
      </c>
      <c r="K631" s="28" t="str">
        <f aca="false">IF(I631="","",IF(J631="과세",ROUND(I631*0.1,0),0))</f>
        <v/>
      </c>
      <c r="L631" s="28" t="str">
        <f aca="false">IF(I631="","",I631+K631)</f>
        <v/>
      </c>
      <c r="M631" s="10"/>
      <c r="N631" s="80"/>
      <c r="O631" s="80"/>
      <c r="P631" s="59" t="str">
        <f aca="false">IF(E631="","",IFERROR(INDEX(기본설정!$H$4:$H$14,MATCH(E631,기본설정!$G$4:$G$14,0)),""))</f>
        <v/>
      </c>
    </row>
    <row r="632" customFormat="false" ht="15" hidden="false" customHeight="false" outlineLevel="0" collapsed="false">
      <c r="A632" s="73"/>
      <c r="B632" s="10"/>
      <c r="C632" s="80"/>
      <c r="D632" s="80"/>
      <c r="E632" s="81" t="str">
        <f aca="false">IF(D632="","",IFERROR(INDEX(식자재단가!$B$4:$B$203,MATCH(D632,식자재단가!$C$4:$C$203,0)),""))</f>
        <v/>
      </c>
      <c r="F632" s="76"/>
      <c r="G632" s="59" t="str">
        <f aca="false">IF(D632="","",IFERROR(INDEX(식자재단가!$F$4:$F$203,MATCH(D632,식자재단가!$C$4:$C$203,0)),""))</f>
        <v/>
      </c>
      <c r="H632" s="50"/>
      <c r="I632" s="82" t="str">
        <f aca="false">IF(OR(F632="",H632=""),"",F632*H632)</f>
        <v/>
      </c>
      <c r="J632" s="83" t="str">
        <f aca="false">IF(D632="","",IFERROR(INDEX(식자재단가!$M$4:$M$203,MATCH(D632,식자재단가!$C$4:$C$203,0)),"과세"))</f>
        <v/>
      </c>
      <c r="K632" s="28" t="str">
        <f aca="false">IF(I632="","",IF(J632="과세",ROUND(I632*0.1,0),0))</f>
        <v/>
      </c>
      <c r="L632" s="28" t="str">
        <f aca="false">IF(I632="","",I632+K632)</f>
        <v/>
      </c>
      <c r="M632" s="10"/>
      <c r="N632" s="80"/>
      <c r="O632" s="80"/>
      <c r="P632" s="59" t="str">
        <f aca="false">IF(E632="","",IFERROR(INDEX(기본설정!$H$4:$H$14,MATCH(E632,기본설정!$G$4:$G$14,0)),""))</f>
        <v/>
      </c>
    </row>
    <row r="633" customFormat="false" ht="15" hidden="false" customHeight="false" outlineLevel="0" collapsed="false">
      <c r="A633" s="73"/>
      <c r="B633" s="10"/>
      <c r="C633" s="80"/>
      <c r="D633" s="80"/>
      <c r="E633" s="81" t="str">
        <f aca="false">IF(D633="","",IFERROR(INDEX(식자재단가!$B$4:$B$203,MATCH(D633,식자재단가!$C$4:$C$203,0)),""))</f>
        <v/>
      </c>
      <c r="F633" s="76"/>
      <c r="G633" s="59" t="str">
        <f aca="false">IF(D633="","",IFERROR(INDEX(식자재단가!$F$4:$F$203,MATCH(D633,식자재단가!$C$4:$C$203,0)),""))</f>
        <v/>
      </c>
      <c r="H633" s="50"/>
      <c r="I633" s="82" t="str">
        <f aca="false">IF(OR(F633="",H633=""),"",F633*H633)</f>
        <v/>
      </c>
      <c r="J633" s="83" t="str">
        <f aca="false">IF(D633="","",IFERROR(INDEX(식자재단가!$M$4:$M$203,MATCH(D633,식자재단가!$C$4:$C$203,0)),"과세"))</f>
        <v/>
      </c>
      <c r="K633" s="28" t="str">
        <f aca="false">IF(I633="","",IF(J633="과세",ROUND(I633*0.1,0),0))</f>
        <v/>
      </c>
      <c r="L633" s="28" t="str">
        <f aca="false">IF(I633="","",I633+K633)</f>
        <v/>
      </c>
      <c r="M633" s="10"/>
      <c r="N633" s="80"/>
      <c r="O633" s="80"/>
      <c r="P633" s="59" t="str">
        <f aca="false">IF(E633="","",IFERROR(INDEX(기본설정!$H$4:$H$14,MATCH(E633,기본설정!$G$4:$G$14,0)),""))</f>
        <v/>
      </c>
    </row>
    <row r="634" customFormat="false" ht="15" hidden="false" customHeight="false" outlineLevel="0" collapsed="false">
      <c r="A634" s="73"/>
      <c r="B634" s="10"/>
      <c r="C634" s="80"/>
      <c r="D634" s="80"/>
      <c r="E634" s="81" t="str">
        <f aca="false">IF(D634="","",IFERROR(INDEX(식자재단가!$B$4:$B$203,MATCH(D634,식자재단가!$C$4:$C$203,0)),""))</f>
        <v/>
      </c>
      <c r="F634" s="76"/>
      <c r="G634" s="59" t="str">
        <f aca="false">IF(D634="","",IFERROR(INDEX(식자재단가!$F$4:$F$203,MATCH(D634,식자재단가!$C$4:$C$203,0)),""))</f>
        <v/>
      </c>
      <c r="H634" s="50"/>
      <c r="I634" s="82" t="str">
        <f aca="false">IF(OR(F634="",H634=""),"",F634*H634)</f>
        <v/>
      </c>
      <c r="J634" s="83" t="str">
        <f aca="false">IF(D634="","",IFERROR(INDEX(식자재단가!$M$4:$M$203,MATCH(D634,식자재단가!$C$4:$C$203,0)),"과세"))</f>
        <v/>
      </c>
      <c r="K634" s="28" t="str">
        <f aca="false">IF(I634="","",IF(J634="과세",ROUND(I634*0.1,0),0))</f>
        <v/>
      </c>
      <c r="L634" s="28" t="str">
        <f aca="false">IF(I634="","",I634+K634)</f>
        <v/>
      </c>
      <c r="M634" s="10"/>
      <c r="N634" s="80"/>
      <c r="O634" s="80"/>
      <c r="P634" s="59" t="str">
        <f aca="false">IF(E634="","",IFERROR(INDEX(기본설정!$H$4:$H$14,MATCH(E634,기본설정!$G$4:$G$14,0)),""))</f>
        <v/>
      </c>
    </row>
    <row r="635" customFormat="false" ht="15" hidden="false" customHeight="false" outlineLevel="0" collapsed="false">
      <c r="A635" s="73"/>
      <c r="B635" s="10"/>
      <c r="C635" s="80"/>
      <c r="D635" s="80"/>
      <c r="E635" s="81" t="str">
        <f aca="false">IF(D635="","",IFERROR(INDEX(식자재단가!$B$4:$B$203,MATCH(D635,식자재단가!$C$4:$C$203,0)),""))</f>
        <v/>
      </c>
      <c r="F635" s="76"/>
      <c r="G635" s="59" t="str">
        <f aca="false">IF(D635="","",IFERROR(INDEX(식자재단가!$F$4:$F$203,MATCH(D635,식자재단가!$C$4:$C$203,0)),""))</f>
        <v/>
      </c>
      <c r="H635" s="50"/>
      <c r="I635" s="82" t="str">
        <f aca="false">IF(OR(F635="",H635=""),"",F635*H635)</f>
        <v/>
      </c>
      <c r="J635" s="83" t="str">
        <f aca="false">IF(D635="","",IFERROR(INDEX(식자재단가!$M$4:$M$203,MATCH(D635,식자재단가!$C$4:$C$203,0)),"과세"))</f>
        <v/>
      </c>
      <c r="K635" s="28" t="str">
        <f aca="false">IF(I635="","",IF(J635="과세",ROUND(I635*0.1,0),0))</f>
        <v/>
      </c>
      <c r="L635" s="28" t="str">
        <f aca="false">IF(I635="","",I635+K635)</f>
        <v/>
      </c>
      <c r="M635" s="10"/>
      <c r="N635" s="80"/>
      <c r="O635" s="80"/>
      <c r="P635" s="59" t="str">
        <f aca="false">IF(E635="","",IFERROR(INDEX(기본설정!$H$4:$H$14,MATCH(E635,기본설정!$G$4:$G$14,0)),""))</f>
        <v/>
      </c>
    </row>
    <row r="636" customFormat="false" ht="15" hidden="false" customHeight="false" outlineLevel="0" collapsed="false">
      <c r="A636" s="73"/>
      <c r="B636" s="10"/>
      <c r="C636" s="80"/>
      <c r="D636" s="80"/>
      <c r="E636" s="81" t="str">
        <f aca="false">IF(D636="","",IFERROR(INDEX(식자재단가!$B$4:$B$203,MATCH(D636,식자재단가!$C$4:$C$203,0)),""))</f>
        <v/>
      </c>
      <c r="F636" s="76"/>
      <c r="G636" s="59" t="str">
        <f aca="false">IF(D636="","",IFERROR(INDEX(식자재단가!$F$4:$F$203,MATCH(D636,식자재단가!$C$4:$C$203,0)),""))</f>
        <v/>
      </c>
      <c r="H636" s="50"/>
      <c r="I636" s="82" t="str">
        <f aca="false">IF(OR(F636="",H636=""),"",F636*H636)</f>
        <v/>
      </c>
      <c r="J636" s="83" t="str">
        <f aca="false">IF(D636="","",IFERROR(INDEX(식자재단가!$M$4:$M$203,MATCH(D636,식자재단가!$C$4:$C$203,0)),"과세"))</f>
        <v/>
      </c>
      <c r="K636" s="28" t="str">
        <f aca="false">IF(I636="","",IF(J636="과세",ROUND(I636*0.1,0),0))</f>
        <v/>
      </c>
      <c r="L636" s="28" t="str">
        <f aca="false">IF(I636="","",I636+K636)</f>
        <v/>
      </c>
      <c r="M636" s="10"/>
      <c r="N636" s="80"/>
      <c r="O636" s="80"/>
      <c r="P636" s="59" t="str">
        <f aca="false">IF(E636="","",IFERROR(INDEX(기본설정!$H$4:$H$14,MATCH(E636,기본설정!$G$4:$G$14,0)),""))</f>
        <v/>
      </c>
    </row>
    <row r="637" customFormat="false" ht="15" hidden="false" customHeight="false" outlineLevel="0" collapsed="false">
      <c r="A637" s="73"/>
      <c r="B637" s="10"/>
      <c r="C637" s="80"/>
      <c r="D637" s="80"/>
      <c r="E637" s="81" t="str">
        <f aca="false">IF(D637="","",IFERROR(INDEX(식자재단가!$B$4:$B$203,MATCH(D637,식자재단가!$C$4:$C$203,0)),""))</f>
        <v/>
      </c>
      <c r="F637" s="76"/>
      <c r="G637" s="59" t="str">
        <f aca="false">IF(D637="","",IFERROR(INDEX(식자재단가!$F$4:$F$203,MATCH(D637,식자재단가!$C$4:$C$203,0)),""))</f>
        <v/>
      </c>
      <c r="H637" s="50"/>
      <c r="I637" s="82" t="str">
        <f aca="false">IF(OR(F637="",H637=""),"",F637*H637)</f>
        <v/>
      </c>
      <c r="J637" s="83" t="str">
        <f aca="false">IF(D637="","",IFERROR(INDEX(식자재단가!$M$4:$M$203,MATCH(D637,식자재단가!$C$4:$C$203,0)),"과세"))</f>
        <v/>
      </c>
      <c r="K637" s="28" t="str">
        <f aca="false">IF(I637="","",IF(J637="과세",ROUND(I637*0.1,0),0))</f>
        <v/>
      </c>
      <c r="L637" s="28" t="str">
        <f aca="false">IF(I637="","",I637+K637)</f>
        <v/>
      </c>
      <c r="M637" s="10"/>
      <c r="N637" s="80"/>
      <c r="O637" s="80"/>
      <c r="P637" s="59" t="str">
        <f aca="false">IF(E637="","",IFERROR(INDEX(기본설정!$H$4:$H$14,MATCH(E637,기본설정!$G$4:$G$14,0)),""))</f>
        <v/>
      </c>
    </row>
    <row r="638" customFormat="false" ht="15" hidden="false" customHeight="false" outlineLevel="0" collapsed="false">
      <c r="A638" s="73"/>
      <c r="B638" s="10"/>
      <c r="C638" s="80"/>
      <c r="D638" s="80"/>
      <c r="E638" s="81" t="str">
        <f aca="false">IF(D638="","",IFERROR(INDEX(식자재단가!$B$4:$B$203,MATCH(D638,식자재단가!$C$4:$C$203,0)),""))</f>
        <v/>
      </c>
      <c r="F638" s="76"/>
      <c r="G638" s="59" t="str">
        <f aca="false">IF(D638="","",IFERROR(INDEX(식자재단가!$F$4:$F$203,MATCH(D638,식자재단가!$C$4:$C$203,0)),""))</f>
        <v/>
      </c>
      <c r="H638" s="50"/>
      <c r="I638" s="82" t="str">
        <f aca="false">IF(OR(F638="",H638=""),"",F638*H638)</f>
        <v/>
      </c>
      <c r="J638" s="83" t="str">
        <f aca="false">IF(D638="","",IFERROR(INDEX(식자재단가!$M$4:$M$203,MATCH(D638,식자재단가!$C$4:$C$203,0)),"과세"))</f>
        <v/>
      </c>
      <c r="K638" s="28" t="str">
        <f aca="false">IF(I638="","",IF(J638="과세",ROUND(I638*0.1,0),0))</f>
        <v/>
      </c>
      <c r="L638" s="28" t="str">
        <f aca="false">IF(I638="","",I638+K638)</f>
        <v/>
      </c>
      <c r="M638" s="10"/>
      <c r="N638" s="80"/>
      <c r="O638" s="80"/>
      <c r="P638" s="59" t="str">
        <f aca="false">IF(E638="","",IFERROR(INDEX(기본설정!$H$4:$H$14,MATCH(E638,기본설정!$G$4:$G$14,0)),""))</f>
        <v/>
      </c>
    </row>
    <row r="639" customFormat="false" ht="15" hidden="false" customHeight="false" outlineLevel="0" collapsed="false">
      <c r="A639" s="73"/>
      <c r="B639" s="10"/>
      <c r="C639" s="80"/>
      <c r="D639" s="80"/>
      <c r="E639" s="81" t="str">
        <f aca="false">IF(D639="","",IFERROR(INDEX(식자재단가!$B$4:$B$203,MATCH(D639,식자재단가!$C$4:$C$203,0)),""))</f>
        <v/>
      </c>
      <c r="F639" s="76"/>
      <c r="G639" s="59" t="str">
        <f aca="false">IF(D639="","",IFERROR(INDEX(식자재단가!$F$4:$F$203,MATCH(D639,식자재단가!$C$4:$C$203,0)),""))</f>
        <v/>
      </c>
      <c r="H639" s="50"/>
      <c r="I639" s="82" t="str">
        <f aca="false">IF(OR(F639="",H639=""),"",F639*H639)</f>
        <v/>
      </c>
      <c r="J639" s="83" t="str">
        <f aca="false">IF(D639="","",IFERROR(INDEX(식자재단가!$M$4:$M$203,MATCH(D639,식자재단가!$C$4:$C$203,0)),"과세"))</f>
        <v/>
      </c>
      <c r="K639" s="28" t="str">
        <f aca="false">IF(I639="","",IF(J639="과세",ROUND(I639*0.1,0),0))</f>
        <v/>
      </c>
      <c r="L639" s="28" t="str">
        <f aca="false">IF(I639="","",I639+K639)</f>
        <v/>
      </c>
      <c r="M639" s="10"/>
      <c r="N639" s="80"/>
      <c r="O639" s="80"/>
      <c r="P639" s="59" t="str">
        <f aca="false">IF(E639="","",IFERROR(INDEX(기본설정!$H$4:$H$14,MATCH(E639,기본설정!$G$4:$G$14,0)),""))</f>
        <v/>
      </c>
    </row>
    <row r="640" customFormat="false" ht="15" hidden="false" customHeight="false" outlineLevel="0" collapsed="false">
      <c r="A640" s="73"/>
      <c r="B640" s="10"/>
      <c r="C640" s="80"/>
      <c r="D640" s="80"/>
      <c r="E640" s="81" t="str">
        <f aca="false">IF(D640="","",IFERROR(INDEX(식자재단가!$B$4:$B$203,MATCH(D640,식자재단가!$C$4:$C$203,0)),""))</f>
        <v/>
      </c>
      <c r="F640" s="76"/>
      <c r="G640" s="59" t="str">
        <f aca="false">IF(D640="","",IFERROR(INDEX(식자재단가!$F$4:$F$203,MATCH(D640,식자재단가!$C$4:$C$203,0)),""))</f>
        <v/>
      </c>
      <c r="H640" s="50"/>
      <c r="I640" s="82" t="str">
        <f aca="false">IF(OR(F640="",H640=""),"",F640*H640)</f>
        <v/>
      </c>
      <c r="J640" s="83" t="str">
        <f aca="false">IF(D640="","",IFERROR(INDEX(식자재단가!$M$4:$M$203,MATCH(D640,식자재단가!$C$4:$C$203,0)),"과세"))</f>
        <v/>
      </c>
      <c r="K640" s="28" t="str">
        <f aca="false">IF(I640="","",IF(J640="과세",ROUND(I640*0.1,0),0))</f>
        <v/>
      </c>
      <c r="L640" s="28" t="str">
        <f aca="false">IF(I640="","",I640+K640)</f>
        <v/>
      </c>
      <c r="M640" s="10"/>
      <c r="N640" s="80"/>
      <c r="O640" s="80"/>
      <c r="P640" s="59" t="str">
        <f aca="false">IF(E640="","",IFERROR(INDEX(기본설정!$H$4:$H$14,MATCH(E640,기본설정!$G$4:$G$14,0)),""))</f>
        <v/>
      </c>
    </row>
    <row r="641" customFormat="false" ht="15" hidden="false" customHeight="false" outlineLevel="0" collapsed="false">
      <c r="A641" s="73"/>
      <c r="B641" s="10"/>
      <c r="C641" s="80"/>
      <c r="D641" s="80"/>
      <c r="E641" s="81" t="str">
        <f aca="false">IF(D641="","",IFERROR(INDEX(식자재단가!$B$4:$B$203,MATCH(D641,식자재단가!$C$4:$C$203,0)),""))</f>
        <v/>
      </c>
      <c r="F641" s="76"/>
      <c r="G641" s="59" t="str">
        <f aca="false">IF(D641="","",IFERROR(INDEX(식자재단가!$F$4:$F$203,MATCH(D641,식자재단가!$C$4:$C$203,0)),""))</f>
        <v/>
      </c>
      <c r="H641" s="50"/>
      <c r="I641" s="82" t="str">
        <f aca="false">IF(OR(F641="",H641=""),"",F641*H641)</f>
        <v/>
      </c>
      <c r="J641" s="83" t="str">
        <f aca="false">IF(D641="","",IFERROR(INDEX(식자재단가!$M$4:$M$203,MATCH(D641,식자재단가!$C$4:$C$203,0)),"과세"))</f>
        <v/>
      </c>
      <c r="K641" s="28" t="str">
        <f aca="false">IF(I641="","",IF(J641="과세",ROUND(I641*0.1,0),0))</f>
        <v/>
      </c>
      <c r="L641" s="28" t="str">
        <f aca="false">IF(I641="","",I641+K641)</f>
        <v/>
      </c>
      <c r="M641" s="10"/>
      <c r="N641" s="80"/>
      <c r="O641" s="80"/>
      <c r="P641" s="59" t="str">
        <f aca="false">IF(E641="","",IFERROR(INDEX(기본설정!$H$4:$H$14,MATCH(E641,기본설정!$G$4:$G$14,0)),""))</f>
        <v/>
      </c>
    </row>
    <row r="642" customFormat="false" ht="15" hidden="false" customHeight="false" outlineLevel="0" collapsed="false">
      <c r="A642" s="73"/>
      <c r="B642" s="10"/>
      <c r="C642" s="80"/>
      <c r="D642" s="80"/>
      <c r="E642" s="81" t="str">
        <f aca="false">IF(D642="","",IFERROR(INDEX(식자재단가!$B$4:$B$203,MATCH(D642,식자재단가!$C$4:$C$203,0)),""))</f>
        <v/>
      </c>
      <c r="F642" s="76"/>
      <c r="G642" s="59" t="str">
        <f aca="false">IF(D642="","",IFERROR(INDEX(식자재단가!$F$4:$F$203,MATCH(D642,식자재단가!$C$4:$C$203,0)),""))</f>
        <v/>
      </c>
      <c r="H642" s="50"/>
      <c r="I642" s="82" t="str">
        <f aca="false">IF(OR(F642="",H642=""),"",F642*H642)</f>
        <v/>
      </c>
      <c r="J642" s="83" t="str">
        <f aca="false">IF(D642="","",IFERROR(INDEX(식자재단가!$M$4:$M$203,MATCH(D642,식자재단가!$C$4:$C$203,0)),"과세"))</f>
        <v/>
      </c>
      <c r="K642" s="28" t="str">
        <f aca="false">IF(I642="","",IF(J642="과세",ROUND(I642*0.1,0),0))</f>
        <v/>
      </c>
      <c r="L642" s="28" t="str">
        <f aca="false">IF(I642="","",I642+K642)</f>
        <v/>
      </c>
      <c r="M642" s="10"/>
      <c r="N642" s="80"/>
      <c r="O642" s="80"/>
      <c r="P642" s="59" t="str">
        <f aca="false">IF(E642="","",IFERROR(INDEX(기본설정!$H$4:$H$14,MATCH(E642,기본설정!$G$4:$G$14,0)),""))</f>
        <v/>
      </c>
    </row>
    <row r="643" customFormat="false" ht="15" hidden="false" customHeight="false" outlineLevel="0" collapsed="false">
      <c r="A643" s="73"/>
      <c r="B643" s="10"/>
      <c r="C643" s="80"/>
      <c r="D643" s="80"/>
      <c r="E643" s="81" t="str">
        <f aca="false">IF(D643="","",IFERROR(INDEX(식자재단가!$B$4:$B$203,MATCH(D643,식자재단가!$C$4:$C$203,0)),""))</f>
        <v/>
      </c>
      <c r="F643" s="76"/>
      <c r="G643" s="59" t="str">
        <f aca="false">IF(D643="","",IFERROR(INDEX(식자재단가!$F$4:$F$203,MATCH(D643,식자재단가!$C$4:$C$203,0)),""))</f>
        <v/>
      </c>
      <c r="H643" s="50"/>
      <c r="I643" s="82" t="str">
        <f aca="false">IF(OR(F643="",H643=""),"",F643*H643)</f>
        <v/>
      </c>
      <c r="J643" s="83" t="str">
        <f aca="false">IF(D643="","",IFERROR(INDEX(식자재단가!$M$4:$M$203,MATCH(D643,식자재단가!$C$4:$C$203,0)),"과세"))</f>
        <v/>
      </c>
      <c r="K643" s="28" t="str">
        <f aca="false">IF(I643="","",IF(J643="과세",ROUND(I643*0.1,0),0))</f>
        <v/>
      </c>
      <c r="L643" s="28" t="str">
        <f aca="false">IF(I643="","",I643+K643)</f>
        <v/>
      </c>
      <c r="M643" s="10"/>
      <c r="N643" s="80"/>
      <c r="O643" s="80"/>
      <c r="P643" s="59" t="str">
        <f aca="false">IF(E643="","",IFERROR(INDEX(기본설정!$H$4:$H$14,MATCH(E643,기본설정!$G$4:$G$14,0)),""))</f>
        <v/>
      </c>
    </row>
    <row r="644" customFormat="false" ht="15" hidden="false" customHeight="false" outlineLevel="0" collapsed="false">
      <c r="A644" s="73"/>
      <c r="B644" s="10"/>
      <c r="C644" s="80"/>
      <c r="D644" s="80"/>
      <c r="E644" s="81" t="str">
        <f aca="false">IF(D644="","",IFERROR(INDEX(식자재단가!$B$4:$B$203,MATCH(D644,식자재단가!$C$4:$C$203,0)),""))</f>
        <v/>
      </c>
      <c r="F644" s="76"/>
      <c r="G644" s="59" t="str">
        <f aca="false">IF(D644="","",IFERROR(INDEX(식자재단가!$F$4:$F$203,MATCH(D644,식자재단가!$C$4:$C$203,0)),""))</f>
        <v/>
      </c>
      <c r="H644" s="50"/>
      <c r="I644" s="82" t="str">
        <f aca="false">IF(OR(F644="",H644=""),"",F644*H644)</f>
        <v/>
      </c>
      <c r="J644" s="83" t="str">
        <f aca="false">IF(D644="","",IFERROR(INDEX(식자재단가!$M$4:$M$203,MATCH(D644,식자재단가!$C$4:$C$203,0)),"과세"))</f>
        <v/>
      </c>
      <c r="K644" s="28" t="str">
        <f aca="false">IF(I644="","",IF(J644="과세",ROUND(I644*0.1,0),0))</f>
        <v/>
      </c>
      <c r="L644" s="28" t="str">
        <f aca="false">IF(I644="","",I644+K644)</f>
        <v/>
      </c>
      <c r="M644" s="10"/>
      <c r="N644" s="80"/>
      <c r="O644" s="80"/>
      <c r="P644" s="59" t="str">
        <f aca="false">IF(E644="","",IFERROR(INDEX(기본설정!$H$4:$H$14,MATCH(E644,기본설정!$G$4:$G$14,0)),""))</f>
        <v/>
      </c>
    </row>
    <row r="645" customFormat="false" ht="15" hidden="false" customHeight="false" outlineLevel="0" collapsed="false">
      <c r="A645" s="73"/>
      <c r="B645" s="10"/>
      <c r="C645" s="80"/>
      <c r="D645" s="80"/>
      <c r="E645" s="81" t="str">
        <f aca="false">IF(D645="","",IFERROR(INDEX(식자재단가!$B$4:$B$203,MATCH(D645,식자재단가!$C$4:$C$203,0)),""))</f>
        <v/>
      </c>
      <c r="F645" s="76"/>
      <c r="G645" s="59" t="str">
        <f aca="false">IF(D645="","",IFERROR(INDEX(식자재단가!$F$4:$F$203,MATCH(D645,식자재단가!$C$4:$C$203,0)),""))</f>
        <v/>
      </c>
      <c r="H645" s="50"/>
      <c r="I645" s="82" t="str">
        <f aca="false">IF(OR(F645="",H645=""),"",F645*H645)</f>
        <v/>
      </c>
      <c r="J645" s="83" t="str">
        <f aca="false">IF(D645="","",IFERROR(INDEX(식자재단가!$M$4:$M$203,MATCH(D645,식자재단가!$C$4:$C$203,0)),"과세"))</f>
        <v/>
      </c>
      <c r="K645" s="28" t="str">
        <f aca="false">IF(I645="","",IF(J645="과세",ROUND(I645*0.1,0),0))</f>
        <v/>
      </c>
      <c r="L645" s="28" t="str">
        <f aca="false">IF(I645="","",I645+K645)</f>
        <v/>
      </c>
      <c r="M645" s="10"/>
      <c r="N645" s="80"/>
      <c r="O645" s="80"/>
      <c r="P645" s="59" t="str">
        <f aca="false">IF(E645="","",IFERROR(INDEX(기본설정!$H$4:$H$14,MATCH(E645,기본설정!$G$4:$G$14,0)),""))</f>
        <v/>
      </c>
    </row>
    <row r="646" customFormat="false" ht="15" hidden="false" customHeight="false" outlineLevel="0" collapsed="false">
      <c r="A646" s="73"/>
      <c r="B646" s="10"/>
      <c r="C646" s="80"/>
      <c r="D646" s="80"/>
      <c r="E646" s="81" t="str">
        <f aca="false">IF(D646="","",IFERROR(INDEX(식자재단가!$B$4:$B$203,MATCH(D646,식자재단가!$C$4:$C$203,0)),""))</f>
        <v/>
      </c>
      <c r="F646" s="76"/>
      <c r="G646" s="59" t="str">
        <f aca="false">IF(D646="","",IFERROR(INDEX(식자재단가!$F$4:$F$203,MATCH(D646,식자재단가!$C$4:$C$203,0)),""))</f>
        <v/>
      </c>
      <c r="H646" s="50"/>
      <c r="I646" s="82" t="str">
        <f aca="false">IF(OR(F646="",H646=""),"",F646*H646)</f>
        <v/>
      </c>
      <c r="J646" s="83" t="str">
        <f aca="false">IF(D646="","",IFERROR(INDEX(식자재단가!$M$4:$M$203,MATCH(D646,식자재단가!$C$4:$C$203,0)),"과세"))</f>
        <v/>
      </c>
      <c r="K646" s="28" t="str">
        <f aca="false">IF(I646="","",IF(J646="과세",ROUND(I646*0.1,0),0))</f>
        <v/>
      </c>
      <c r="L646" s="28" t="str">
        <f aca="false">IF(I646="","",I646+K646)</f>
        <v/>
      </c>
      <c r="M646" s="10"/>
      <c r="N646" s="80"/>
      <c r="O646" s="80"/>
      <c r="P646" s="59" t="str">
        <f aca="false">IF(E646="","",IFERROR(INDEX(기본설정!$H$4:$H$14,MATCH(E646,기본설정!$G$4:$G$14,0)),""))</f>
        <v/>
      </c>
    </row>
    <row r="647" customFormat="false" ht="15" hidden="false" customHeight="false" outlineLevel="0" collapsed="false">
      <c r="A647" s="73"/>
      <c r="B647" s="10"/>
      <c r="C647" s="80"/>
      <c r="D647" s="80"/>
      <c r="E647" s="81" t="str">
        <f aca="false">IF(D647="","",IFERROR(INDEX(식자재단가!$B$4:$B$203,MATCH(D647,식자재단가!$C$4:$C$203,0)),""))</f>
        <v/>
      </c>
      <c r="F647" s="76"/>
      <c r="G647" s="59" t="str">
        <f aca="false">IF(D647="","",IFERROR(INDEX(식자재단가!$F$4:$F$203,MATCH(D647,식자재단가!$C$4:$C$203,0)),""))</f>
        <v/>
      </c>
      <c r="H647" s="50"/>
      <c r="I647" s="82" t="str">
        <f aca="false">IF(OR(F647="",H647=""),"",F647*H647)</f>
        <v/>
      </c>
      <c r="J647" s="83" t="str">
        <f aca="false">IF(D647="","",IFERROR(INDEX(식자재단가!$M$4:$M$203,MATCH(D647,식자재단가!$C$4:$C$203,0)),"과세"))</f>
        <v/>
      </c>
      <c r="K647" s="28" t="str">
        <f aca="false">IF(I647="","",IF(J647="과세",ROUND(I647*0.1,0),0))</f>
        <v/>
      </c>
      <c r="L647" s="28" t="str">
        <f aca="false">IF(I647="","",I647+K647)</f>
        <v/>
      </c>
      <c r="M647" s="10"/>
      <c r="N647" s="80"/>
      <c r="O647" s="80"/>
      <c r="P647" s="59" t="str">
        <f aca="false">IF(E647="","",IFERROR(INDEX(기본설정!$H$4:$H$14,MATCH(E647,기본설정!$G$4:$G$14,0)),""))</f>
        <v/>
      </c>
    </row>
    <row r="648" customFormat="false" ht="15" hidden="false" customHeight="false" outlineLevel="0" collapsed="false">
      <c r="A648" s="73"/>
      <c r="B648" s="10"/>
      <c r="C648" s="80"/>
      <c r="D648" s="80"/>
      <c r="E648" s="81" t="str">
        <f aca="false">IF(D648="","",IFERROR(INDEX(식자재단가!$B$4:$B$203,MATCH(D648,식자재단가!$C$4:$C$203,0)),""))</f>
        <v/>
      </c>
      <c r="F648" s="76"/>
      <c r="G648" s="59" t="str">
        <f aca="false">IF(D648="","",IFERROR(INDEX(식자재단가!$F$4:$F$203,MATCH(D648,식자재단가!$C$4:$C$203,0)),""))</f>
        <v/>
      </c>
      <c r="H648" s="50"/>
      <c r="I648" s="82" t="str">
        <f aca="false">IF(OR(F648="",H648=""),"",F648*H648)</f>
        <v/>
      </c>
      <c r="J648" s="83" t="str">
        <f aca="false">IF(D648="","",IFERROR(INDEX(식자재단가!$M$4:$M$203,MATCH(D648,식자재단가!$C$4:$C$203,0)),"과세"))</f>
        <v/>
      </c>
      <c r="K648" s="28" t="str">
        <f aca="false">IF(I648="","",IF(J648="과세",ROUND(I648*0.1,0),0))</f>
        <v/>
      </c>
      <c r="L648" s="28" t="str">
        <f aca="false">IF(I648="","",I648+K648)</f>
        <v/>
      </c>
      <c r="M648" s="10"/>
      <c r="N648" s="80"/>
      <c r="O648" s="80"/>
      <c r="P648" s="59" t="str">
        <f aca="false">IF(E648="","",IFERROR(INDEX(기본설정!$H$4:$H$14,MATCH(E648,기본설정!$G$4:$G$14,0)),""))</f>
        <v/>
      </c>
    </row>
    <row r="649" customFormat="false" ht="15" hidden="false" customHeight="false" outlineLevel="0" collapsed="false">
      <c r="A649" s="73"/>
      <c r="B649" s="10"/>
      <c r="C649" s="80"/>
      <c r="D649" s="80"/>
      <c r="E649" s="81" t="str">
        <f aca="false">IF(D649="","",IFERROR(INDEX(식자재단가!$B$4:$B$203,MATCH(D649,식자재단가!$C$4:$C$203,0)),""))</f>
        <v/>
      </c>
      <c r="F649" s="76"/>
      <c r="G649" s="59" t="str">
        <f aca="false">IF(D649="","",IFERROR(INDEX(식자재단가!$F$4:$F$203,MATCH(D649,식자재단가!$C$4:$C$203,0)),""))</f>
        <v/>
      </c>
      <c r="H649" s="50"/>
      <c r="I649" s="82" t="str">
        <f aca="false">IF(OR(F649="",H649=""),"",F649*H649)</f>
        <v/>
      </c>
      <c r="J649" s="83" t="str">
        <f aca="false">IF(D649="","",IFERROR(INDEX(식자재단가!$M$4:$M$203,MATCH(D649,식자재단가!$C$4:$C$203,0)),"과세"))</f>
        <v/>
      </c>
      <c r="K649" s="28" t="str">
        <f aca="false">IF(I649="","",IF(J649="과세",ROUND(I649*0.1,0),0))</f>
        <v/>
      </c>
      <c r="L649" s="28" t="str">
        <f aca="false">IF(I649="","",I649+K649)</f>
        <v/>
      </c>
      <c r="M649" s="10"/>
      <c r="N649" s="80"/>
      <c r="O649" s="80"/>
      <c r="P649" s="59" t="str">
        <f aca="false">IF(E649="","",IFERROR(INDEX(기본설정!$H$4:$H$14,MATCH(E649,기본설정!$G$4:$G$14,0)),""))</f>
        <v/>
      </c>
    </row>
    <row r="650" customFormat="false" ht="15" hidden="false" customHeight="false" outlineLevel="0" collapsed="false">
      <c r="A650" s="73"/>
      <c r="B650" s="10"/>
      <c r="C650" s="80"/>
      <c r="D650" s="80"/>
      <c r="E650" s="81" t="str">
        <f aca="false">IF(D650="","",IFERROR(INDEX(식자재단가!$B$4:$B$203,MATCH(D650,식자재단가!$C$4:$C$203,0)),""))</f>
        <v/>
      </c>
      <c r="F650" s="76"/>
      <c r="G650" s="59" t="str">
        <f aca="false">IF(D650="","",IFERROR(INDEX(식자재단가!$F$4:$F$203,MATCH(D650,식자재단가!$C$4:$C$203,0)),""))</f>
        <v/>
      </c>
      <c r="H650" s="50"/>
      <c r="I650" s="82" t="str">
        <f aca="false">IF(OR(F650="",H650=""),"",F650*H650)</f>
        <v/>
      </c>
      <c r="J650" s="83" t="str">
        <f aca="false">IF(D650="","",IFERROR(INDEX(식자재단가!$M$4:$M$203,MATCH(D650,식자재단가!$C$4:$C$203,0)),"과세"))</f>
        <v/>
      </c>
      <c r="K650" s="28" t="str">
        <f aca="false">IF(I650="","",IF(J650="과세",ROUND(I650*0.1,0),0))</f>
        <v/>
      </c>
      <c r="L650" s="28" t="str">
        <f aca="false">IF(I650="","",I650+K650)</f>
        <v/>
      </c>
      <c r="M650" s="10"/>
      <c r="N650" s="80"/>
      <c r="O650" s="80"/>
      <c r="P650" s="59" t="str">
        <f aca="false">IF(E650="","",IFERROR(INDEX(기본설정!$H$4:$H$14,MATCH(E650,기본설정!$G$4:$G$14,0)),""))</f>
        <v/>
      </c>
    </row>
    <row r="651" customFormat="false" ht="15" hidden="false" customHeight="false" outlineLevel="0" collapsed="false">
      <c r="A651" s="73"/>
      <c r="B651" s="10"/>
      <c r="C651" s="80"/>
      <c r="D651" s="80"/>
      <c r="E651" s="81" t="str">
        <f aca="false">IF(D651="","",IFERROR(INDEX(식자재단가!$B$4:$B$203,MATCH(D651,식자재단가!$C$4:$C$203,0)),""))</f>
        <v/>
      </c>
      <c r="F651" s="76"/>
      <c r="G651" s="59" t="str">
        <f aca="false">IF(D651="","",IFERROR(INDEX(식자재단가!$F$4:$F$203,MATCH(D651,식자재단가!$C$4:$C$203,0)),""))</f>
        <v/>
      </c>
      <c r="H651" s="50"/>
      <c r="I651" s="82" t="str">
        <f aca="false">IF(OR(F651="",H651=""),"",F651*H651)</f>
        <v/>
      </c>
      <c r="J651" s="83" t="str">
        <f aca="false">IF(D651="","",IFERROR(INDEX(식자재단가!$M$4:$M$203,MATCH(D651,식자재단가!$C$4:$C$203,0)),"과세"))</f>
        <v/>
      </c>
      <c r="K651" s="28" t="str">
        <f aca="false">IF(I651="","",IF(J651="과세",ROUND(I651*0.1,0),0))</f>
        <v/>
      </c>
      <c r="L651" s="28" t="str">
        <f aca="false">IF(I651="","",I651+K651)</f>
        <v/>
      </c>
      <c r="M651" s="10"/>
      <c r="N651" s="80"/>
      <c r="O651" s="80"/>
      <c r="P651" s="59" t="str">
        <f aca="false">IF(E651="","",IFERROR(INDEX(기본설정!$H$4:$H$14,MATCH(E651,기본설정!$G$4:$G$14,0)),""))</f>
        <v/>
      </c>
    </row>
    <row r="652" customFormat="false" ht="15" hidden="false" customHeight="false" outlineLevel="0" collapsed="false">
      <c r="A652" s="73"/>
      <c r="B652" s="10"/>
      <c r="C652" s="80"/>
      <c r="D652" s="80"/>
      <c r="E652" s="81" t="str">
        <f aca="false">IF(D652="","",IFERROR(INDEX(식자재단가!$B$4:$B$203,MATCH(D652,식자재단가!$C$4:$C$203,0)),""))</f>
        <v/>
      </c>
      <c r="F652" s="76"/>
      <c r="G652" s="59" t="str">
        <f aca="false">IF(D652="","",IFERROR(INDEX(식자재단가!$F$4:$F$203,MATCH(D652,식자재단가!$C$4:$C$203,0)),""))</f>
        <v/>
      </c>
      <c r="H652" s="50"/>
      <c r="I652" s="82" t="str">
        <f aca="false">IF(OR(F652="",H652=""),"",F652*H652)</f>
        <v/>
      </c>
      <c r="J652" s="83" t="str">
        <f aca="false">IF(D652="","",IFERROR(INDEX(식자재단가!$M$4:$M$203,MATCH(D652,식자재단가!$C$4:$C$203,0)),"과세"))</f>
        <v/>
      </c>
      <c r="K652" s="28" t="str">
        <f aca="false">IF(I652="","",IF(J652="과세",ROUND(I652*0.1,0),0))</f>
        <v/>
      </c>
      <c r="L652" s="28" t="str">
        <f aca="false">IF(I652="","",I652+K652)</f>
        <v/>
      </c>
      <c r="M652" s="10"/>
      <c r="N652" s="80"/>
      <c r="O652" s="80"/>
      <c r="P652" s="59" t="str">
        <f aca="false">IF(E652="","",IFERROR(INDEX(기본설정!$H$4:$H$14,MATCH(E652,기본설정!$G$4:$G$14,0)),""))</f>
        <v/>
      </c>
    </row>
    <row r="653" customFormat="false" ht="15" hidden="false" customHeight="false" outlineLevel="0" collapsed="false">
      <c r="A653" s="73"/>
      <c r="B653" s="10"/>
      <c r="C653" s="80"/>
      <c r="D653" s="80"/>
      <c r="E653" s="81" t="str">
        <f aca="false">IF(D653="","",IFERROR(INDEX(식자재단가!$B$4:$B$203,MATCH(D653,식자재단가!$C$4:$C$203,0)),""))</f>
        <v/>
      </c>
      <c r="F653" s="76"/>
      <c r="G653" s="59" t="str">
        <f aca="false">IF(D653="","",IFERROR(INDEX(식자재단가!$F$4:$F$203,MATCH(D653,식자재단가!$C$4:$C$203,0)),""))</f>
        <v/>
      </c>
      <c r="H653" s="50"/>
      <c r="I653" s="82" t="str">
        <f aca="false">IF(OR(F653="",H653=""),"",F653*H653)</f>
        <v/>
      </c>
      <c r="J653" s="83" t="str">
        <f aca="false">IF(D653="","",IFERROR(INDEX(식자재단가!$M$4:$M$203,MATCH(D653,식자재단가!$C$4:$C$203,0)),"과세"))</f>
        <v/>
      </c>
      <c r="K653" s="28" t="str">
        <f aca="false">IF(I653="","",IF(J653="과세",ROUND(I653*0.1,0),0))</f>
        <v/>
      </c>
      <c r="L653" s="28" t="str">
        <f aca="false">IF(I653="","",I653+K653)</f>
        <v/>
      </c>
      <c r="M653" s="10"/>
      <c r="N653" s="80"/>
      <c r="O653" s="80"/>
      <c r="P653" s="59" t="str">
        <f aca="false">IF(E653="","",IFERROR(INDEX(기본설정!$H$4:$H$14,MATCH(E653,기본설정!$G$4:$G$14,0)),""))</f>
        <v/>
      </c>
    </row>
    <row r="654" customFormat="false" ht="15" hidden="false" customHeight="false" outlineLevel="0" collapsed="false">
      <c r="A654" s="73"/>
      <c r="B654" s="10"/>
      <c r="C654" s="80"/>
      <c r="D654" s="80"/>
      <c r="E654" s="81" t="str">
        <f aca="false">IF(D654="","",IFERROR(INDEX(식자재단가!$B$4:$B$203,MATCH(D654,식자재단가!$C$4:$C$203,0)),""))</f>
        <v/>
      </c>
      <c r="F654" s="76"/>
      <c r="G654" s="59" t="str">
        <f aca="false">IF(D654="","",IFERROR(INDEX(식자재단가!$F$4:$F$203,MATCH(D654,식자재단가!$C$4:$C$203,0)),""))</f>
        <v/>
      </c>
      <c r="H654" s="50"/>
      <c r="I654" s="82" t="str">
        <f aca="false">IF(OR(F654="",H654=""),"",F654*H654)</f>
        <v/>
      </c>
      <c r="J654" s="83" t="str">
        <f aca="false">IF(D654="","",IFERROR(INDEX(식자재단가!$M$4:$M$203,MATCH(D654,식자재단가!$C$4:$C$203,0)),"과세"))</f>
        <v/>
      </c>
      <c r="K654" s="28" t="str">
        <f aca="false">IF(I654="","",IF(J654="과세",ROUND(I654*0.1,0),0))</f>
        <v/>
      </c>
      <c r="L654" s="28" t="str">
        <f aca="false">IF(I654="","",I654+K654)</f>
        <v/>
      </c>
      <c r="M654" s="10"/>
      <c r="N654" s="80"/>
      <c r="O654" s="80"/>
      <c r="P654" s="59" t="str">
        <f aca="false">IF(E654="","",IFERROR(INDEX(기본설정!$H$4:$H$14,MATCH(E654,기본설정!$G$4:$G$14,0)),""))</f>
        <v/>
      </c>
    </row>
    <row r="655" customFormat="false" ht="15" hidden="false" customHeight="false" outlineLevel="0" collapsed="false">
      <c r="A655" s="73"/>
      <c r="B655" s="10"/>
      <c r="C655" s="80"/>
      <c r="D655" s="80"/>
      <c r="E655" s="81" t="str">
        <f aca="false">IF(D655="","",IFERROR(INDEX(식자재단가!$B$4:$B$203,MATCH(D655,식자재단가!$C$4:$C$203,0)),""))</f>
        <v/>
      </c>
      <c r="F655" s="76"/>
      <c r="G655" s="59" t="str">
        <f aca="false">IF(D655="","",IFERROR(INDEX(식자재단가!$F$4:$F$203,MATCH(D655,식자재단가!$C$4:$C$203,0)),""))</f>
        <v/>
      </c>
      <c r="H655" s="50"/>
      <c r="I655" s="82" t="str">
        <f aca="false">IF(OR(F655="",H655=""),"",F655*H655)</f>
        <v/>
      </c>
      <c r="J655" s="83" t="str">
        <f aca="false">IF(D655="","",IFERROR(INDEX(식자재단가!$M$4:$M$203,MATCH(D655,식자재단가!$C$4:$C$203,0)),"과세"))</f>
        <v/>
      </c>
      <c r="K655" s="28" t="str">
        <f aca="false">IF(I655="","",IF(J655="과세",ROUND(I655*0.1,0),0))</f>
        <v/>
      </c>
      <c r="L655" s="28" t="str">
        <f aca="false">IF(I655="","",I655+K655)</f>
        <v/>
      </c>
      <c r="M655" s="10"/>
      <c r="N655" s="80"/>
      <c r="O655" s="80"/>
      <c r="P655" s="59" t="str">
        <f aca="false">IF(E655="","",IFERROR(INDEX(기본설정!$H$4:$H$14,MATCH(E655,기본설정!$G$4:$G$14,0)),""))</f>
        <v/>
      </c>
    </row>
    <row r="656" customFormat="false" ht="15" hidden="false" customHeight="false" outlineLevel="0" collapsed="false">
      <c r="A656" s="73"/>
      <c r="B656" s="10"/>
      <c r="C656" s="80"/>
      <c r="D656" s="80"/>
      <c r="E656" s="81" t="str">
        <f aca="false">IF(D656="","",IFERROR(INDEX(식자재단가!$B$4:$B$203,MATCH(D656,식자재단가!$C$4:$C$203,0)),""))</f>
        <v/>
      </c>
      <c r="F656" s="76"/>
      <c r="G656" s="59" t="str">
        <f aca="false">IF(D656="","",IFERROR(INDEX(식자재단가!$F$4:$F$203,MATCH(D656,식자재단가!$C$4:$C$203,0)),""))</f>
        <v/>
      </c>
      <c r="H656" s="50"/>
      <c r="I656" s="82" t="str">
        <f aca="false">IF(OR(F656="",H656=""),"",F656*H656)</f>
        <v/>
      </c>
      <c r="J656" s="83" t="str">
        <f aca="false">IF(D656="","",IFERROR(INDEX(식자재단가!$M$4:$M$203,MATCH(D656,식자재단가!$C$4:$C$203,0)),"과세"))</f>
        <v/>
      </c>
      <c r="K656" s="28" t="str">
        <f aca="false">IF(I656="","",IF(J656="과세",ROUND(I656*0.1,0),0))</f>
        <v/>
      </c>
      <c r="L656" s="28" t="str">
        <f aca="false">IF(I656="","",I656+K656)</f>
        <v/>
      </c>
      <c r="M656" s="10"/>
      <c r="N656" s="80"/>
      <c r="O656" s="80"/>
      <c r="P656" s="59" t="str">
        <f aca="false">IF(E656="","",IFERROR(INDEX(기본설정!$H$4:$H$14,MATCH(E656,기본설정!$G$4:$G$14,0)),""))</f>
        <v/>
      </c>
    </row>
    <row r="657" customFormat="false" ht="15" hidden="false" customHeight="false" outlineLevel="0" collapsed="false">
      <c r="A657" s="73"/>
      <c r="B657" s="10"/>
      <c r="C657" s="80"/>
      <c r="D657" s="80"/>
      <c r="E657" s="81" t="str">
        <f aca="false">IF(D657="","",IFERROR(INDEX(식자재단가!$B$4:$B$203,MATCH(D657,식자재단가!$C$4:$C$203,0)),""))</f>
        <v/>
      </c>
      <c r="F657" s="76"/>
      <c r="G657" s="59" t="str">
        <f aca="false">IF(D657="","",IFERROR(INDEX(식자재단가!$F$4:$F$203,MATCH(D657,식자재단가!$C$4:$C$203,0)),""))</f>
        <v/>
      </c>
      <c r="H657" s="50"/>
      <c r="I657" s="82" t="str">
        <f aca="false">IF(OR(F657="",H657=""),"",F657*H657)</f>
        <v/>
      </c>
      <c r="J657" s="83" t="str">
        <f aca="false">IF(D657="","",IFERROR(INDEX(식자재단가!$M$4:$M$203,MATCH(D657,식자재단가!$C$4:$C$203,0)),"과세"))</f>
        <v/>
      </c>
      <c r="K657" s="28" t="str">
        <f aca="false">IF(I657="","",IF(J657="과세",ROUND(I657*0.1,0),0))</f>
        <v/>
      </c>
      <c r="L657" s="28" t="str">
        <f aca="false">IF(I657="","",I657+K657)</f>
        <v/>
      </c>
      <c r="M657" s="10"/>
      <c r="N657" s="80"/>
      <c r="O657" s="80"/>
      <c r="P657" s="59" t="str">
        <f aca="false">IF(E657="","",IFERROR(INDEX(기본설정!$H$4:$H$14,MATCH(E657,기본설정!$G$4:$G$14,0)),""))</f>
        <v/>
      </c>
    </row>
    <row r="658" customFormat="false" ht="15" hidden="false" customHeight="false" outlineLevel="0" collapsed="false">
      <c r="A658" s="73"/>
      <c r="B658" s="10"/>
      <c r="C658" s="80"/>
      <c r="D658" s="80"/>
      <c r="E658" s="81" t="str">
        <f aca="false">IF(D658="","",IFERROR(INDEX(식자재단가!$B$4:$B$203,MATCH(D658,식자재단가!$C$4:$C$203,0)),""))</f>
        <v/>
      </c>
      <c r="F658" s="76"/>
      <c r="G658" s="59" t="str">
        <f aca="false">IF(D658="","",IFERROR(INDEX(식자재단가!$F$4:$F$203,MATCH(D658,식자재단가!$C$4:$C$203,0)),""))</f>
        <v/>
      </c>
      <c r="H658" s="50"/>
      <c r="I658" s="82" t="str">
        <f aca="false">IF(OR(F658="",H658=""),"",F658*H658)</f>
        <v/>
      </c>
      <c r="J658" s="83" t="str">
        <f aca="false">IF(D658="","",IFERROR(INDEX(식자재단가!$M$4:$M$203,MATCH(D658,식자재단가!$C$4:$C$203,0)),"과세"))</f>
        <v/>
      </c>
      <c r="K658" s="28" t="str">
        <f aca="false">IF(I658="","",IF(J658="과세",ROUND(I658*0.1,0),0))</f>
        <v/>
      </c>
      <c r="L658" s="28" t="str">
        <f aca="false">IF(I658="","",I658+K658)</f>
        <v/>
      </c>
      <c r="M658" s="10"/>
      <c r="N658" s="80"/>
      <c r="O658" s="80"/>
      <c r="P658" s="59" t="str">
        <f aca="false">IF(E658="","",IFERROR(INDEX(기본설정!$H$4:$H$14,MATCH(E658,기본설정!$G$4:$G$14,0)),""))</f>
        <v/>
      </c>
    </row>
    <row r="659" customFormat="false" ht="15" hidden="false" customHeight="false" outlineLevel="0" collapsed="false">
      <c r="A659" s="73"/>
      <c r="B659" s="10"/>
      <c r="C659" s="80"/>
      <c r="D659" s="80"/>
      <c r="E659" s="81" t="str">
        <f aca="false">IF(D659="","",IFERROR(INDEX(식자재단가!$B$4:$B$203,MATCH(D659,식자재단가!$C$4:$C$203,0)),""))</f>
        <v/>
      </c>
      <c r="F659" s="76"/>
      <c r="G659" s="59" t="str">
        <f aca="false">IF(D659="","",IFERROR(INDEX(식자재단가!$F$4:$F$203,MATCH(D659,식자재단가!$C$4:$C$203,0)),""))</f>
        <v/>
      </c>
      <c r="H659" s="50"/>
      <c r="I659" s="82" t="str">
        <f aca="false">IF(OR(F659="",H659=""),"",F659*H659)</f>
        <v/>
      </c>
      <c r="J659" s="83" t="str">
        <f aca="false">IF(D659="","",IFERROR(INDEX(식자재단가!$M$4:$M$203,MATCH(D659,식자재단가!$C$4:$C$203,0)),"과세"))</f>
        <v/>
      </c>
      <c r="K659" s="28" t="str">
        <f aca="false">IF(I659="","",IF(J659="과세",ROUND(I659*0.1,0),0))</f>
        <v/>
      </c>
      <c r="L659" s="28" t="str">
        <f aca="false">IF(I659="","",I659+K659)</f>
        <v/>
      </c>
      <c r="M659" s="10"/>
      <c r="N659" s="80"/>
      <c r="O659" s="80"/>
      <c r="P659" s="59" t="str">
        <f aca="false">IF(E659="","",IFERROR(INDEX(기본설정!$H$4:$H$14,MATCH(E659,기본설정!$G$4:$G$14,0)),""))</f>
        <v/>
      </c>
    </row>
    <row r="660" customFormat="false" ht="15" hidden="false" customHeight="false" outlineLevel="0" collapsed="false">
      <c r="A660" s="73"/>
      <c r="B660" s="10"/>
      <c r="C660" s="80"/>
      <c r="D660" s="80"/>
      <c r="E660" s="81" t="str">
        <f aca="false">IF(D660="","",IFERROR(INDEX(식자재단가!$B$4:$B$203,MATCH(D660,식자재단가!$C$4:$C$203,0)),""))</f>
        <v/>
      </c>
      <c r="F660" s="76"/>
      <c r="G660" s="59" t="str">
        <f aca="false">IF(D660="","",IFERROR(INDEX(식자재단가!$F$4:$F$203,MATCH(D660,식자재단가!$C$4:$C$203,0)),""))</f>
        <v/>
      </c>
      <c r="H660" s="50"/>
      <c r="I660" s="82" t="str">
        <f aca="false">IF(OR(F660="",H660=""),"",F660*H660)</f>
        <v/>
      </c>
      <c r="J660" s="83" t="str">
        <f aca="false">IF(D660="","",IFERROR(INDEX(식자재단가!$M$4:$M$203,MATCH(D660,식자재단가!$C$4:$C$203,0)),"과세"))</f>
        <v/>
      </c>
      <c r="K660" s="28" t="str">
        <f aca="false">IF(I660="","",IF(J660="과세",ROUND(I660*0.1,0),0))</f>
        <v/>
      </c>
      <c r="L660" s="28" t="str">
        <f aca="false">IF(I660="","",I660+K660)</f>
        <v/>
      </c>
      <c r="M660" s="10"/>
      <c r="N660" s="80"/>
      <c r="O660" s="80"/>
      <c r="P660" s="59" t="str">
        <f aca="false">IF(E660="","",IFERROR(INDEX(기본설정!$H$4:$H$14,MATCH(E660,기본설정!$G$4:$G$14,0)),""))</f>
        <v/>
      </c>
    </row>
    <row r="661" customFormat="false" ht="15" hidden="false" customHeight="false" outlineLevel="0" collapsed="false">
      <c r="A661" s="73"/>
      <c r="B661" s="10"/>
      <c r="C661" s="80"/>
      <c r="D661" s="80"/>
      <c r="E661" s="81" t="str">
        <f aca="false">IF(D661="","",IFERROR(INDEX(식자재단가!$B$4:$B$203,MATCH(D661,식자재단가!$C$4:$C$203,0)),""))</f>
        <v/>
      </c>
      <c r="F661" s="76"/>
      <c r="G661" s="59" t="str">
        <f aca="false">IF(D661="","",IFERROR(INDEX(식자재단가!$F$4:$F$203,MATCH(D661,식자재단가!$C$4:$C$203,0)),""))</f>
        <v/>
      </c>
      <c r="H661" s="50"/>
      <c r="I661" s="82" t="str">
        <f aca="false">IF(OR(F661="",H661=""),"",F661*H661)</f>
        <v/>
      </c>
      <c r="J661" s="83" t="str">
        <f aca="false">IF(D661="","",IFERROR(INDEX(식자재단가!$M$4:$M$203,MATCH(D661,식자재단가!$C$4:$C$203,0)),"과세"))</f>
        <v/>
      </c>
      <c r="K661" s="28" t="str">
        <f aca="false">IF(I661="","",IF(J661="과세",ROUND(I661*0.1,0),0))</f>
        <v/>
      </c>
      <c r="L661" s="28" t="str">
        <f aca="false">IF(I661="","",I661+K661)</f>
        <v/>
      </c>
      <c r="M661" s="10"/>
      <c r="N661" s="80"/>
      <c r="O661" s="80"/>
      <c r="P661" s="59" t="str">
        <f aca="false">IF(E661="","",IFERROR(INDEX(기본설정!$H$4:$H$14,MATCH(E661,기본설정!$G$4:$G$14,0)),""))</f>
        <v/>
      </c>
    </row>
    <row r="662" customFormat="false" ht="15" hidden="false" customHeight="false" outlineLevel="0" collapsed="false">
      <c r="A662" s="73"/>
      <c r="B662" s="10"/>
      <c r="C662" s="80"/>
      <c r="D662" s="80"/>
      <c r="E662" s="81" t="str">
        <f aca="false">IF(D662="","",IFERROR(INDEX(식자재단가!$B$4:$B$203,MATCH(D662,식자재단가!$C$4:$C$203,0)),""))</f>
        <v/>
      </c>
      <c r="F662" s="76"/>
      <c r="G662" s="59" t="str">
        <f aca="false">IF(D662="","",IFERROR(INDEX(식자재단가!$F$4:$F$203,MATCH(D662,식자재단가!$C$4:$C$203,0)),""))</f>
        <v/>
      </c>
      <c r="H662" s="50"/>
      <c r="I662" s="82" t="str">
        <f aca="false">IF(OR(F662="",H662=""),"",F662*H662)</f>
        <v/>
      </c>
      <c r="J662" s="83" t="str">
        <f aca="false">IF(D662="","",IFERROR(INDEX(식자재단가!$M$4:$M$203,MATCH(D662,식자재단가!$C$4:$C$203,0)),"과세"))</f>
        <v/>
      </c>
      <c r="K662" s="28" t="str">
        <f aca="false">IF(I662="","",IF(J662="과세",ROUND(I662*0.1,0),0))</f>
        <v/>
      </c>
      <c r="L662" s="28" t="str">
        <f aca="false">IF(I662="","",I662+K662)</f>
        <v/>
      </c>
      <c r="M662" s="10"/>
      <c r="N662" s="80"/>
      <c r="O662" s="80"/>
      <c r="P662" s="59" t="str">
        <f aca="false">IF(E662="","",IFERROR(INDEX(기본설정!$H$4:$H$14,MATCH(E662,기본설정!$G$4:$G$14,0)),""))</f>
        <v/>
      </c>
    </row>
    <row r="663" customFormat="false" ht="15" hidden="false" customHeight="false" outlineLevel="0" collapsed="false">
      <c r="A663" s="73"/>
      <c r="B663" s="10"/>
      <c r="C663" s="80"/>
      <c r="D663" s="80"/>
      <c r="E663" s="81" t="str">
        <f aca="false">IF(D663="","",IFERROR(INDEX(식자재단가!$B$4:$B$203,MATCH(D663,식자재단가!$C$4:$C$203,0)),""))</f>
        <v/>
      </c>
      <c r="F663" s="76"/>
      <c r="G663" s="59" t="str">
        <f aca="false">IF(D663="","",IFERROR(INDEX(식자재단가!$F$4:$F$203,MATCH(D663,식자재단가!$C$4:$C$203,0)),""))</f>
        <v/>
      </c>
      <c r="H663" s="50"/>
      <c r="I663" s="82" t="str">
        <f aca="false">IF(OR(F663="",H663=""),"",F663*H663)</f>
        <v/>
      </c>
      <c r="J663" s="83" t="str">
        <f aca="false">IF(D663="","",IFERROR(INDEX(식자재단가!$M$4:$M$203,MATCH(D663,식자재단가!$C$4:$C$203,0)),"과세"))</f>
        <v/>
      </c>
      <c r="K663" s="28" t="str">
        <f aca="false">IF(I663="","",IF(J663="과세",ROUND(I663*0.1,0),0))</f>
        <v/>
      </c>
      <c r="L663" s="28" t="str">
        <f aca="false">IF(I663="","",I663+K663)</f>
        <v/>
      </c>
      <c r="M663" s="10"/>
      <c r="N663" s="80"/>
      <c r="O663" s="80"/>
      <c r="P663" s="59" t="str">
        <f aca="false">IF(E663="","",IFERROR(INDEX(기본설정!$H$4:$H$14,MATCH(E663,기본설정!$G$4:$G$14,0)),""))</f>
        <v/>
      </c>
    </row>
    <row r="664" customFormat="false" ht="15" hidden="false" customHeight="false" outlineLevel="0" collapsed="false">
      <c r="A664" s="73"/>
      <c r="B664" s="10"/>
      <c r="C664" s="80"/>
      <c r="D664" s="80"/>
      <c r="E664" s="81" t="str">
        <f aca="false">IF(D664="","",IFERROR(INDEX(식자재단가!$B$4:$B$203,MATCH(D664,식자재단가!$C$4:$C$203,0)),""))</f>
        <v/>
      </c>
      <c r="F664" s="76"/>
      <c r="G664" s="59" t="str">
        <f aca="false">IF(D664="","",IFERROR(INDEX(식자재단가!$F$4:$F$203,MATCH(D664,식자재단가!$C$4:$C$203,0)),""))</f>
        <v/>
      </c>
      <c r="H664" s="50"/>
      <c r="I664" s="82" t="str">
        <f aca="false">IF(OR(F664="",H664=""),"",F664*H664)</f>
        <v/>
      </c>
      <c r="J664" s="83" t="str">
        <f aca="false">IF(D664="","",IFERROR(INDEX(식자재단가!$M$4:$M$203,MATCH(D664,식자재단가!$C$4:$C$203,0)),"과세"))</f>
        <v/>
      </c>
      <c r="K664" s="28" t="str">
        <f aca="false">IF(I664="","",IF(J664="과세",ROUND(I664*0.1,0),0))</f>
        <v/>
      </c>
      <c r="L664" s="28" t="str">
        <f aca="false">IF(I664="","",I664+K664)</f>
        <v/>
      </c>
      <c r="M664" s="10"/>
      <c r="N664" s="80"/>
      <c r="O664" s="80"/>
      <c r="P664" s="59" t="str">
        <f aca="false">IF(E664="","",IFERROR(INDEX(기본설정!$H$4:$H$14,MATCH(E664,기본설정!$G$4:$G$14,0)),""))</f>
        <v/>
      </c>
    </row>
    <row r="665" customFormat="false" ht="15" hidden="false" customHeight="false" outlineLevel="0" collapsed="false">
      <c r="A665" s="73"/>
      <c r="B665" s="10"/>
      <c r="C665" s="80"/>
      <c r="D665" s="80"/>
      <c r="E665" s="81" t="str">
        <f aca="false">IF(D665="","",IFERROR(INDEX(식자재단가!$B$4:$B$203,MATCH(D665,식자재단가!$C$4:$C$203,0)),""))</f>
        <v/>
      </c>
      <c r="F665" s="76"/>
      <c r="G665" s="59" t="str">
        <f aca="false">IF(D665="","",IFERROR(INDEX(식자재단가!$F$4:$F$203,MATCH(D665,식자재단가!$C$4:$C$203,0)),""))</f>
        <v/>
      </c>
      <c r="H665" s="50"/>
      <c r="I665" s="82" t="str">
        <f aca="false">IF(OR(F665="",H665=""),"",F665*H665)</f>
        <v/>
      </c>
      <c r="J665" s="83" t="str">
        <f aca="false">IF(D665="","",IFERROR(INDEX(식자재단가!$M$4:$M$203,MATCH(D665,식자재단가!$C$4:$C$203,0)),"과세"))</f>
        <v/>
      </c>
      <c r="K665" s="28" t="str">
        <f aca="false">IF(I665="","",IF(J665="과세",ROUND(I665*0.1,0),0))</f>
        <v/>
      </c>
      <c r="L665" s="28" t="str">
        <f aca="false">IF(I665="","",I665+K665)</f>
        <v/>
      </c>
      <c r="M665" s="10"/>
      <c r="N665" s="80"/>
      <c r="O665" s="80"/>
      <c r="P665" s="59" t="str">
        <f aca="false">IF(E665="","",IFERROR(INDEX(기본설정!$H$4:$H$14,MATCH(E665,기본설정!$G$4:$G$14,0)),""))</f>
        <v/>
      </c>
    </row>
    <row r="666" customFormat="false" ht="15" hidden="false" customHeight="false" outlineLevel="0" collapsed="false">
      <c r="A666" s="73"/>
      <c r="B666" s="10"/>
      <c r="C666" s="80"/>
      <c r="D666" s="80"/>
      <c r="E666" s="81" t="str">
        <f aca="false">IF(D666="","",IFERROR(INDEX(식자재단가!$B$4:$B$203,MATCH(D666,식자재단가!$C$4:$C$203,0)),""))</f>
        <v/>
      </c>
      <c r="F666" s="76"/>
      <c r="G666" s="59" t="str">
        <f aca="false">IF(D666="","",IFERROR(INDEX(식자재단가!$F$4:$F$203,MATCH(D666,식자재단가!$C$4:$C$203,0)),""))</f>
        <v/>
      </c>
      <c r="H666" s="50"/>
      <c r="I666" s="82" t="str">
        <f aca="false">IF(OR(F666="",H666=""),"",F666*H666)</f>
        <v/>
      </c>
      <c r="J666" s="83" t="str">
        <f aca="false">IF(D666="","",IFERROR(INDEX(식자재단가!$M$4:$M$203,MATCH(D666,식자재단가!$C$4:$C$203,0)),"과세"))</f>
        <v/>
      </c>
      <c r="K666" s="28" t="str">
        <f aca="false">IF(I666="","",IF(J666="과세",ROUND(I666*0.1,0),0))</f>
        <v/>
      </c>
      <c r="L666" s="28" t="str">
        <f aca="false">IF(I666="","",I666+K666)</f>
        <v/>
      </c>
      <c r="M666" s="10"/>
      <c r="N666" s="80"/>
      <c r="O666" s="80"/>
      <c r="P666" s="59" t="str">
        <f aca="false">IF(E666="","",IFERROR(INDEX(기본설정!$H$4:$H$14,MATCH(E666,기본설정!$G$4:$G$14,0)),""))</f>
        <v/>
      </c>
    </row>
    <row r="667" customFormat="false" ht="15" hidden="false" customHeight="false" outlineLevel="0" collapsed="false">
      <c r="A667" s="73"/>
      <c r="B667" s="10"/>
      <c r="C667" s="80"/>
      <c r="D667" s="80"/>
      <c r="E667" s="81" t="str">
        <f aca="false">IF(D667="","",IFERROR(INDEX(식자재단가!$B$4:$B$203,MATCH(D667,식자재단가!$C$4:$C$203,0)),""))</f>
        <v/>
      </c>
      <c r="F667" s="76"/>
      <c r="G667" s="59" t="str">
        <f aca="false">IF(D667="","",IFERROR(INDEX(식자재단가!$F$4:$F$203,MATCH(D667,식자재단가!$C$4:$C$203,0)),""))</f>
        <v/>
      </c>
      <c r="H667" s="50"/>
      <c r="I667" s="82" t="str">
        <f aca="false">IF(OR(F667="",H667=""),"",F667*H667)</f>
        <v/>
      </c>
      <c r="J667" s="83" t="str">
        <f aca="false">IF(D667="","",IFERROR(INDEX(식자재단가!$M$4:$M$203,MATCH(D667,식자재단가!$C$4:$C$203,0)),"과세"))</f>
        <v/>
      </c>
      <c r="K667" s="28" t="str">
        <f aca="false">IF(I667="","",IF(J667="과세",ROUND(I667*0.1,0),0))</f>
        <v/>
      </c>
      <c r="L667" s="28" t="str">
        <f aca="false">IF(I667="","",I667+K667)</f>
        <v/>
      </c>
      <c r="M667" s="10"/>
      <c r="N667" s="80"/>
      <c r="O667" s="80"/>
      <c r="P667" s="59" t="str">
        <f aca="false">IF(E667="","",IFERROR(INDEX(기본설정!$H$4:$H$14,MATCH(E667,기본설정!$G$4:$G$14,0)),""))</f>
        <v/>
      </c>
    </row>
    <row r="668" customFormat="false" ht="15" hidden="false" customHeight="false" outlineLevel="0" collapsed="false">
      <c r="A668" s="73"/>
      <c r="B668" s="10"/>
      <c r="C668" s="80"/>
      <c r="D668" s="80"/>
      <c r="E668" s="81" t="str">
        <f aca="false">IF(D668="","",IFERROR(INDEX(식자재단가!$B$4:$B$203,MATCH(D668,식자재단가!$C$4:$C$203,0)),""))</f>
        <v/>
      </c>
      <c r="F668" s="76"/>
      <c r="G668" s="59" t="str">
        <f aca="false">IF(D668="","",IFERROR(INDEX(식자재단가!$F$4:$F$203,MATCH(D668,식자재단가!$C$4:$C$203,0)),""))</f>
        <v/>
      </c>
      <c r="H668" s="50"/>
      <c r="I668" s="82" t="str">
        <f aca="false">IF(OR(F668="",H668=""),"",F668*H668)</f>
        <v/>
      </c>
      <c r="J668" s="83" t="str">
        <f aca="false">IF(D668="","",IFERROR(INDEX(식자재단가!$M$4:$M$203,MATCH(D668,식자재단가!$C$4:$C$203,0)),"과세"))</f>
        <v/>
      </c>
      <c r="K668" s="28" t="str">
        <f aca="false">IF(I668="","",IF(J668="과세",ROUND(I668*0.1,0),0))</f>
        <v/>
      </c>
      <c r="L668" s="28" t="str">
        <f aca="false">IF(I668="","",I668+K668)</f>
        <v/>
      </c>
      <c r="M668" s="10"/>
      <c r="N668" s="80"/>
      <c r="O668" s="80"/>
      <c r="P668" s="59" t="str">
        <f aca="false">IF(E668="","",IFERROR(INDEX(기본설정!$H$4:$H$14,MATCH(E668,기본설정!$G$4:$G$14,0)),""))</f>
        <v/>
      </c>
    </row>
    <row r="669" customFormat="false" ht="15" hidden="false" customHeight="false" outlineLevel="0" collapsed="false">
      <c r="A669" s="73"/>
      <c r="B669" s="10"/>
      <c r="C669" s="80"/>
      <c r="D669" s="80"/>
      <c r="E669" s="81" t="str">
        <f aca="false">IF(D669="","",IFERROR(INDEX(식자재단가!$B$4:$B$203,MATCH(D669,식자재단가!$C$4:$C$203,0)),""))</f>
        <v/>
      </c>
      <c r="F669" s="76"/>
      <c r="G669" s="59" t="str">
        <f aca="false">IF(D669="","",IFERROR(INDEX(식자재단가!$F$4:$F$203,MATCH(D669,식자재단가!$C$4:$C$203,0)),""))</f>
        <v/>
      </c>
      <c r="H669" s="50"/>
      <c r="I669" s="82" t="str">
        <f aca="false">IF(OR(F669="",H669=""),"",F669*H669)</f>
        <v/>
      </c>
      <c r="J669" s="83" t="str">
        <f aca="false">IF(D669="","",IFERROR(INDEX(식자재단가!$M$4:$M$203,MATCH(D669,식자재단가!$C$4:$C$203,0)),"과세"))</f>
        <v/>
      </c>
      <c r="K669" s="28" t="str">
        <f aca="false">IF(I669="","",IF(J669="과세",ROUND(I669*0.1,0),0))</f>
        <v/>
      </c>
      <c r="L669" s="28" t="str">
        <f aca="false">IF(I669="","",I669+K669)</f>
        <v/>
      </c>
      <c r="M669" s="10"/>
      <c r="N669" s="80"/>
      <c r="O669" s="80"/>
      <c r="P669" s="59" t="str">
        <f aca="false">IF(E669="","",IFERROR(INDEX(기본설정!$H$4:$H$14,MATCH(E669,기본설정!$G$4:$G$14,0)),""))</f>
        <v/>
      </c>
    </row>
    <row r="670" customFormat="false" ht="15" hidden="false" customHeight="false" outlineLevel="0" collapsed="false">
      <c r="A670" s="73"/>
      <c r="B670" s="10"/>
      <c r="C670" s="80"/>
      <c r="D670" s="80"/>
      <c r="E670" s="81" t="str">
        <f aca="false">IF(D670="","",IFERROR(INDEX(식자재단가!$B$4:$B$203,MATCH(D670,식자재단가!$C$4:$C$203,0)),""))</f>
        <v/>
      </c>
      <c r="F670" s="76"/>
      <c r="G670" s="59" t="str">
        <f aca="false">IF(D670="","",IFERROR(INDEX(식자재단가!$F$4:$F$203,MATCH(D670,식자재단가!$C$4:$C$203,0)),""))</f>
        <v/>
      </c>
      <c r="H670" s="50"/>
      <c r="I670" s="82" t="str">
        <f aca="false">IF(OR(F670="",H670=""),"",F670*H670)</f>
        <v/>
      </c>
      <c r="J670" s="83" t="str">
        <f aca="false">IF(D670="","",IFERROR(INDEX(식자재단가!$M$4:$M$203,MATCH(D670,식자재단가!$C$4:$C$203,0)),"과세"))</f>
        <v/>
      </c>
      <c r="K670" s="28" t="str">
        <f aca="false">IF(I670="","",IF(J670="과세",ROUND(I670*0.1,0),0))</f>
        <v/>
      </c>
      <c r="L670" s="28" t="str">
        <f aca="false">IF(I670="","",I670+K670)</f>
        <v/>
      </c>
      <c r="M670" s="10"/>
      <c r="N670" s="80"/>
      <c r="O670" s="80"/>
      <c r="P670" s="59" t="str">
        <f aca="false">IF(E670="","",IFERROR(INDEX(기본설정!$H$4:$H$14,MATCH(E670,기본설정!$G$4:$G$14,0)),""))</f>
        <v/>
      </c>
    </row>
    <row r="671" customFormat="false" ht="15" hidden="false" customHeight="false" outlineLevel="0" collapsed="false">
      <c r="A671" s="73"/>
      <c r="B671" s="10"/>
      <c r="C671" s="80"/>
      <c r="D671" s="80"/>
      <c r="E671" s="81" t="str">
        <f aca="false">IF(D671="","",IFERROR(INDEX(식자재단가!$B$4:$B$203,MATCH(D671,식자재단가!$C$4:$C$203,0)),""))</f>
        <v/>
      </c>
      <c r="F671" s="76"/>
      <c r="G671" s="59" t="str">
        <f aca="false">IF(D671="","",IFERROR(INDEX(식자재단가!$F$4:$F$203,MATCH(D671,식자재단가!$C$4:$C$203,0)),""))</f>
        <v/>
      </c>
      <c r="H671" s="50"/>
      <c r="I671" s="82" t="str">
        <f aca="false">IF(OR(F671="",H671=""),"",F671*H671)</f>
        <v/>
      </c>
      <c r="J671" s="83" t="str">
        <f aca="false">IF(D671="","",IFERROR(INDEX(식자재단가!$M$4:$M$203,MATCH(D671,식자재단가!$C$4:$C$203,0)),"과세"))</f>
        <v/>
      </c>
      <c r="K671" s="28" t="str">
        <f aca="false">IF(I671="","",IF(J671="과세",ROUND(I671*0.1,0),0))</f>
        <v/>
      </c>
      <c r="L671" s="28" t="str">
        <f aca="false">IF(I671="","",I671+K671)</f>
        <v/>
      </c>
      <c r="M671" s="10"/>
      <c r="N671" s="80"/>
      <c r="O671" s="80"/>
      <c r="P671" s="59" t="str">
        <f aca="false">IF(E671="","",IFERROR(INDEX(기본설정!$H$4:$H$14,MATCH(E671,기본설정!$G$4:$G$14,0)),""))</f>
        <v/>
      </c>
    </row>
    <row r="672" customFormat="false" ht="15" hidden="false" customHeight="false" outlineLevel="0" collapsed="false">
      <c r="A672" s="73"/>
      <c r="B672" s="10"/>
      <c r="C672" s="80"/>
      <c r="D672" s="80"/>
      <c r="E672" s="81" t="str">
        <f aca="false">IF(D672="","",IFERROR(INDEX(식자재단가!$B$4:$B$203,MATCH(D672,식자재단가!$C$4:$C$203,0)),""))</f>
        <v/>
      </c>
      <c r="F672" s="76"/>
      <c r="G672" s="59" t="str">
        <f aca="false">IF(D672="","",IFERROR(INDEX(식자재단가!$F$4:$F$203,MATCH(D672,식자재단가!$C$4:$C$203,0)),""))</f>
        <v/>
      </c>
      <c r="H672" s="50"/>
      <c r="I672" s="82" t="str">
        <f aca="false">IF(OR(F672="",H672=""),"",F672*H672)</f>
        <v/>
      </c>
      <c r="J672" s="83" t="str">
        <f aca="false">IF(D672="","",IFERROR(INDEX(식자재단가!$M$4:$M$203,MATCH(D672,식자재단가!$C$4:$C$203,0)),"과세"))</f>
        <v/>
      </c>
      <c r="K672" s="28" t="str">
        <f aca="false">IF(I672="","",IF(J672="과세",ROUND(I672*0.1,0),0))</f>
        <v/>
      </c>
      <c r="L672" s="28" t="str">
        <f aca="false">IF(I672="","",I672+K672)</f>
        <v/>
      </c>
      <c r="M672" s="10"/>
      <c r="N672" s="80"/>
      <c r="O672" s="80"/>
      <c r="P672" s="59" t="str">
        <f aca="false">IF(E672="","",IFERROR(INDEX(기본설정!$H$4:$H$14,MATCH(E672,기본설정!$G$4:$G$14,0)),""))</f>
        <v/>
      </c>
    </row>
    <row r="673" customFormat="false" ht="15" hidden="false" customHeight="false" outlineLevel="0" collapsed="false">
      <c r="A673" s="73"/>
      <c r="B673" s="10"/>
      <c r="C673" s="80"/>
      <c r="D673" s="80"/>
      <c r="E673" s="81" t="str">
        <f aca="false">IF(D673="","",IFERROR(INDEX(식자재단가!$B$4:$B$203,MATCH(D673,식자재단가!$C$4:$C$203,0)),""))</f>
        <v/>
      </c>
      <c r="F673" s="76"/>
      <c r="G673" s="59" t="str">
        <f aca="false">IF(D673="","",IFERROR(INDEX(식자재단가!$F$4:$F$203,MATCH(D673,식자재단가!$C$4:$C$203,0)),""))</f>
        <v/>
      </c>
      <c r="H673" s="50"/>
      <c r="I673" s="82" t="str">
        <f aca="false">IF(OR(F673="",H673=""),"",F673*H673)</f>
        <v/>
      </c>
      <c r="J673" s="83" t="str">
        <f aca="false">IF(D673="","",IFERROR(INDEX(식자재단가!$M$4:$M$203,MATCH(D673,식자재단가!$C$4:$C$203,0)),"과세"))</f>
        <v/>
      </c>
      <c r="K673" s="28" t="str">
        <f aca="false">IF(I673="","",IF(J673="과세",ROUND(I673*0.1,0),0))</f>
        <v/>
      </c>
      <c r="L673" s="28" t="str">
        <f aca="false">IF(I673="","",I673+K673)</f>
        <v/>
      </c>
      <c r="M673" s="10"/>
      <c r="N673" s="80"/>
      <c r="O673" s="80"/>
      <c r="P673" s="59" t="str">
        <f aca="false">IF(E673="","",IFERROR(INDEX(기본설정!$H$4:$H$14,MATCH(E673,기본설정!$G$4:$G$14,0)),""))</f>
        <v/>
      </c>
    </row>
    <row r="674" customFormat="false" ht="15" hidden="false" customHeight="false" outlineLevel="0" collapsed="false">
      <c r="A674" s="73"/>
      <c r="B674" s="10"/>
      <c r="C674" s="80"/>
      <c r="D674" s="80"/>
      <c r="E674" s="81" t="str">
        <f aca="false">IF(D674="","",IFERROR(INDEX(식자재단가!$B$4:$B$203,MATCH(D674,식자재단가!$C$4:$C$203,0)),""))</f>
        <v/>
      </c>
      <c r="F674" s="76"/>
      <c r="G674" s="59" t="str">
        <f aca="false">IF(D674="","",IFERROR(INDEX(식자재단가!$F$4:$F$203,MATCH(D674,식자재단가!$C$4:$C$203,0)),""))</f>
        <v/>
      </c>
      <c r="H674" s="50"/>
      <c r="I674" s="82" t="str">
        <f aca="false">IF(OR(F674="",H674=""),"",F674*H674)</f>
        <v/>
      </c>
      <c r="J674" s="83" t="str">
        <f aca="false">IF(D674="","",IFERROR(INDEX(식자재단가!$M$4:$M$203,MATCH(D674,식자재단가!$C$4:$C$203,0)),"과세"))</f>
        <v/>
      </c>
      <c r="K674" s="28" t="str">
        <f aca="false">IF(I674="","",IF(J674="과세",ROUND(I674*0.1,0),0))</f>
        <v/>
      </c>
      <c r="L674" s="28" t="str">
        <f aca="false">IF(I674="","",I674+K674)</f>
        <v/>
      </c>
      <c r="M674" s="10"/>
      <c r="N674" s="80"/>
      <c r="O674" s="80"/>
      <c r="P674" s="59" t="str">
        <f aca="false">IF(E674="","",IFERROR(INDEX(기본설정!$H$4:$H$14,MATCH(E674,기본설정!$G$4:$G$14,0)),""))</f>
        <v/>
      </c>
    </row>
    <row r="675" customFormat="false" ht="15" hidden="false" customHeight="false" outlineLevel="0" collapsed="false">
      <c r="A675" s="73"/>
      <c r="B675" s="10"/>
      <c r="C675" s="80"/>
      <c r="D675" s="80"/>
      <c r="E675" s="81" t="str">
        <f aca="false">IF(D675="","",IFERROR(INDEX(식자재단가!$B$4:$B$203,MATCH(D675,식자재단가!$C$4:$C$203,0)),""))</f>
        <v/>
      </c>
      <c r="F675" s="76"/>
      <c r="G675" s="59" t="str">
        <f aca="false">IF(D675="","",IFERROR(INDEX(식자재단가!$F$4:$F$203,MATCH(D675,식자재단가!$C$4:$C$203,0)),""))</f>
        <v/>
      </c>
      <c r="H675" s="50"/>
      <c r="I675" s="82" t="str">
        <f aca="false">IF(OR(F675="",H675=""),"",F675*H675)</f>
        <v/>
      </c>
      <c r="J675" s="83" t="str">
        <f aca="false">IF(D675="","",IFERROR(INDEX(식자재단가!$M$4:$M$203,MATCH(D675,식자재단가!$C$4:$C$203,0)),"과세"))</f>
        <v/>
      </c>
      <c r="K675" s="28" t="str">
        <f aca="false">IF(I675="","",IF(J675="과세",ROUND(I675*0.1,0),0))</f>
        <v/>
      </c>
      <c r="L675" s="28" t="str">
        <f aca="false">IF(I675="","",I675+K675)</f>
        <v/>
      </c>
      <c r="M675" s="10"/>
      <c r="N675" s="80"/>
      <c r="O675" s="80"/>
      <c r="P675" s="59" t="str">
        <f aca="false">IF(E675="","",IFERROR(INDEX(기본설정!$H$4:$H$14,MATCH(E675,기본설정!$G$4:$G$14,0)),""))</f>
        <v/>
      </c>
    </row>
    <row r="676" customFormat="false" ht="15" hidden="false" customHeight="false" outlineLevel="0" collapsed="false">
      <c r="A676" s="73"/>
      <c r="B676" s="10"/>
      <c r="C676" s="80"/>
      <c r="D676" s="80"/>
      <c r="E676" s="81" t="str">
        <f aca="false">IF(D676="","",IFERROR(INDEX(식자재단가!$B$4:$B$203,MATCH(D676,식자재단가!$C$4:$C$203,0)),""))</f>
        <v/>
      </c>
      <c r="F676" s="76"/>
      <c r="G676" s="59" t="str">
        <f aca="false">IF(D676="","",IFERROR(INDEX(식자재단가!$F$4:$F$203,MATCH(D676,식자재단가!$C$4:$C$203,0)),""))</f>
        <v/>
      </c>
      <c r="H676" s="50"/>
      <c r="I676" s="82" t="str">
        <f aca="false">IF(OR(F676="",H676=""),"",F676*H676)</f>
        <v/>
      </c>
      <c r="J676" s="83" t="str">
        <f aca="false">IF(D676="","",IFERROR(INDEX(식자재단가!$M$4:$M$203,MATCH(D676,식자재단가!$C$4:$C$203,0)),"과세"))</f>
        <v/>
      </c>
      <c r="K676" s="28" t="str">
        <f aca="false">IF(I676="","",IF(J676="과세",ROUND(I676*0.1,0),0))</f>
        <v/>
      </c>
      <c r="L676" s="28" t="str">
        <f aca="false">IF(I676="","",I676+K676)</f>
        <v/>
      </c>
      <c r="M676" s="10"/>
      <c r="N676" s="80"/>
      <c r="O676" s="80"/>
      <c r="P676" s="59" t="str">
        <f aca="false">IF(E676="","",IFERROR(INDEX(기본설정!$H$4:$H$14,MATCH(E676,기본설정!$G$4:$G$14,0)),""))</f>
        <v/>
      </c>
    </row>
    <row r="677" customFormat="false" ht="15" hidden="false" customHeight="false" outlineLevel="0" collapsed="false">
      <c r="A677" s="73"/>
      <c r="B677" s="10"/>
      <c r="C677" s="80"/>
      <c r="D677" s="80"/>
      <c r="E677" s="81" t="str">
        <f aca="false">IF(D677="","",IFERROR(INDEX(식자재단가!$B$4:$B$203,MATCH(D677,식자재단가!$C$4:$C$203,0)),""))</f>
        <v/>
      </c>
      <c r="F677" s="76"/>
      <c r="G677" s="59" t="str">
        <f aca="false">IF(D677="","",IFERROR(INDEX(식자재단가!$F$4:$F$203,MATCH(D677,식자재단가!$C$4:$C$203,0)),""))</f>
        <v/>
      </c>
      <c r="H677" s="50"/>
      <c r="I677" s="82" t="str">
        <f aca="false">IF(OR(F677="",H677=""),"",F677*H677)</f>
        <v/>
      </c>
      <c r="J677" s="83" t="str">
        <f aca="false">IF(D677="","",IFERROR(INDEX(식자재단가!$M$4:$M$203,MATCH(D677,식자재단가!$C$4:$C$203,0)),"과세"))</f>
        <v/>
      </c>
      <c r="K677" s="28" t="str">
        <f aca="false">IF(I677="","",IF(J677="과세",ROUND(I677*0.1,0),0))</f>
        <v/>
      </c>
      <c r="L677" s="28" t="str">
        <f aca="false">IF(I677="","",I677+K677)</f>
        <v/>
      </c>
      <c r="M677" s="10"/>
      <c r="N677" s="80"/>
      <c r="O677" s="80"/>
      <c r="P677" s="59" t="str">
        <f aca="false">IF(E677="","",IFERROR(INDEX(기본설정!$H$4:$H$14,MATCH(E677,기본설정!$G$4:$G$14,0)),""))</f>
        <v/>
      </c>
    </row>
    <row r="678" customFormat="false" ht="15" hidden="false" customHeight="false" outlineLevel="0" collapsed="false">
      <c r="A678" s="73"/>
      <c r="B678" s="10"/>
      <c r="C678" s="80"/>
      <c r="D678" s="80"/>
      <c r="E678" s="81" t="str">
        <f aca="false">IF(D678="","",IFERROR(INDEX(식자재단가!$B$4:$B$203,MATCH(D678,식자재단가!$C$4:$C$203,0)),""))</f>
        <v/>
      </c>
      <c r="F678" s="76"/>
      <c r="G678" s="59" t="str">
        <f aca="false">IF(D678="","",IFERROR(INDEX(식자재단가!$F$4:$F$203,MATCH(D678,식자재단가!$C$4:$C$203,0)),""))</f>
        <v/>
      </c>
      <c r="H678" s="50"/>
      <c r="I678" s="82" t="str">
        <f aca="false">IF(OR(F678="",H678=""),"",F678*H678)</f>
        <v/>
      </c>
      <c r="J678" s="83" t="str">
        <f aca="false">IF(D678="","",IFERROR(INDEX(식자재단가!$M$4:$M$203,MATCH(D678,식자재단가!$C$4:$C$203,0)),"과세"))</f>
        <v/>
      </c>
      <c r="K678" s="28" t="str">
        <f aca="false">IF(I678="","",IF(J678="과세",ROUND(I678*0.1,0),0))</f>
        <v/>
      </c>
      <c r="L678" s="28" t="str">
        <f aca="false">IF(I678="","",I678+K678)</f>
        <v/>
      </c>
      <c r="M678" s="10"/>
      <c r="N678" s="80"/>
      <c r="O678" s="80"/>
      <c r="P678" s="59" t="str">
        <f aca="false">IF(E678="","",IFERROR(INDEX(기본설정!$H$4:$H$14,MATCH(E678,기본설정!$G$4:$G$14,0)),""))</f>
        <v/>
      </c>
    </row>
    <row r="679" customFormat="false" ht="15" hidden="false" customHeight="false" outlineLevel="0" collapsed="false">
      <c r="A679" s="73"/>
      <c r="B679" s="10"/>
      <c r="C679" s="80"/>
      <c r="D679" s="80"/>
      <c r="E679" s="81" t="str">
        <f aca="false">IF(D679="","",IFERROR(INDEX(식자재단가!$B$4:$B$203,MATCH(D679,식자재단가!$C$4:$C$203,0)),""))</f>
        <v/>
      </c>
      <c r="F679" s="76"/>
      <c r="G679" s="59" t="str">
        <f aca="false">IF(D679="","",IFERROR(INDEX(식자재단가!$F$4:$F$203,MATCH(D679,식자재단가!$C$4:$C$203,0)),""))</f>
        <v/>
      </c>
      <c r="H679" s="50"/>
      <c r="I679" s="82" t="str">
        <f aca="false">IF(OR(F679="",H679=""),"",F679*H679)</f>
        <v/>
      </c>
      <c r="J679" s="83" t="str">
        <f aca="false">IF(D679="","",IFERROR(INDEX(식자재단가!$M$4:$M$203,MATCH(D679,식자재단가!$C$4:$C$203,0)),"과세"))</f>
        <v/>
      </c>
      <c r="K679" s="28" t="str">
        <f aca="false">IF(I679="","",IF(J679="과세",ROUND(I679*0.1,0),0))</f>
        <v/>
      </c>
      <c r="L679" s="28" t="str">
        <f aca="false">IF(I679="","",I679+K679)</f>
        <v/>
      </c>
      <c r="M679" s="10"/>
      <c r="N679" s="80"/>
      <c r="O679" s="80"/>
      <c r="P679" s="59" t="str">
        <f aca="false">IF(E679="","",IFERROR(INDEX(기본설정!$H$4:$H$14,MATCH(E679,기본설정!$G$4:$G$14,0)),""))</f>
        <v/>
      </c>
    </row>
    <row r="680" customFormat="false" ht="15" hidden="false" customHeight="false" outlineLevel="0" collapsed="false">
      <c r="A680" s="73"/>
      <c r="B680" s="10"/>
      <c r="C680" s="80"/>
      <c r="D680" s="80"/>
      <c r="E680" s="81" t="str">
        <f aca="false">IF(D680="","",IFERROR(INDEX(식자재단가!$B$4:$B$203,MATCH(D680,식자재단가!$C$4:$C$203,0)),""))</f>
        <v/>
      </c>
      <c r="F680" s="76"/>
      <c r="G680" s="59" t="str">
        <f aca="false">IF(D680="","",IFERROR(INDEX(식자재단가!$F$4:$F$203,MATCH(D680,식자재단가!$C$4:$C$203,0)),""))</f>
        <v/>
      </c>
      <c r="H680" s="50"/>
      <c r="I680" s="82" t="str">
        <f aca="false">IF(OR(F680="",H680=""),"",F680*H680)</f>
        <v/>
      </c>
      <c r="J680" s="83" t="str">
        <f aca="false">IF(D680="","",IFERROR(INDEX(식자재단가!$M$4:$M$203,MATCH(D680,식자재단가!$C$4:$C$203,0)),"과세"))</f>
        <v/>
      </c>
      <c r="K680" s="28" t="str">
        <f aca="false">IF(I680="","",IF(J680="과세",ROUND(I680*0.1,0),0))</f>
        <v/>
      </c>
      <c r="L680" s="28" t="str">
        <f aca="false">IF(I680="","",I680+K680)</f>
        <v/>
      </c>
      <c r="M680" s="10"/>
      <c r="N680" s="80"/>
      <c r="O680" s="80"/>
      <c r="P680" s="59" t="str">
        <f aca="false">IF(E680="","",IFERROR(INDEX(기본설정!$H$4:$H$14,MATCH(E680,기본설정!$G$4:$G$14,0)),""))</f>
        <v/>
      </c>
    </row>
    <row r="681" customFormat="false" ht="15" hidden="false" customHeight="false" outlineLevel="0" collapsed="false">
      <c r="A681" s="73"/>
      <c r="B681" s="10"/>
      <c r="C681" s="80"/>
      <c r="D681" s="80"/>
      <c r="E681" s="81" t="str">
        <f aca="false">IF(D681="","",IFERROR(INDEX(식자재단가!$B$4:$B$203,MATCH(D681,식자재단가!$C$4:$C$203,0)),""))</f>
        <v/>
      </c>
      <c r="F681" s="76"/>
      <c r="G681" s="59" t="str">
        <f aca="false">IF(D681="","",IFERROR(INDEX(식자재단가!$F$4:$F$203,MATCH(D681,식자재단가!$C$4:$C$203,0)),""))</f>
        <v/>
      </c>
      <c r="H681" s="50"/>
      <c r="I681" s="82" t="str">
        <f aca="false">IF(OR(F681="",H681=""),"",F681*H681)</f>
        <v/>
      </c>
      <c r="J681" s="83" t="str">
        <f aca="false">IF(D681="","",IFERROR(INDEX(식자재단가!$M$4:$M$203,MATCH(D681,식자재단가!$C$4:$C$203,0)),"과세"))</f>
        <v/>
      </c>
      <c r="K681" s="28" t="str">
        <f aca="false">IF(I681="","",IF(J681="과세",ROUND(I681*0.1,0),0))</f>
        <v/>
      </c>
      <c r="L681" s="28" t="str">
        <f aca="false">IF(I681="","",I681+K681)</f>
        <v/>
      </c>
      <c r="M681" s="10"/>
      <c r="N681" s="80"/>
      <c r="O681" s="80"/>
      <c r="P681" s="59" t="str">
        <f aca="false">IF(E681="","",IFERROR(INDEX(기본설정!$H$4:$H$14,MATCH(E681,기본설정!$G$4:$G$14,0)),""))</f>
        <v/>
      </c>
    </row>
    <row r="682" customFormat="false" ht="15" hidden="false" customHeight="false" outlineLevel="0" collapsed="false">
      <c r="A682" s="73"/>
      <c r="B682" s="10"/>
      <c r="C682" s="80"/>
      <c r="D682" s="80"/>
      <c r="E682" s="81" t="str">
        <f aca="false">IF(D682="","",IFERROR(INDEX(식자재단가!$B$4:$B$203,MATCH(D682,식자재단가!$C$4:$C$203,0)),""))</f>
        <v/>
      </c>
      <c r="F682" s="76"/>
      <c r="G682" s="59" t="str">
        <f aca="false">IF(D682="","",IFERROR(INDEX(식자재단가!$F$4:$F$203,MATCH(D682,식자재단가!$C$4:$C$203,0)),""))</f>
        <v/>
      </c>
      <c r="H682" s="50"/>
      <c r="I682" s="82" t="str">
        <f aca="false">IF(OR(F682="",H682=""),"",F682*H682)</f>
        <v/>
      </c>
      <c r="J682" s="83" t="str">
        <f aca="false">IF(D682="","",IFERROR(INDEX(식자재단가!$M$4:$M$203,MATCH(D682,식자재단가!$C$4:$C$203,0)),"과세"))</f>
        <v/>
      </c>
      <c r="K682" s="28" t="str">
        <f aca="false">IF(I682="","",IF(J682="과세",ROUND(I682*0.1,0),0))</f>
        <v/>
      </c>
      <c r="L682" s="28" t="str">
        <f aca="false">IF(I682="","",I682+K682)</f>
        <v/>
      </c>
      <c r="M682" s="10"/>
      <c r="N682" s="80"/>
      <c r="O682" s="80"/>
      <c r="P682" s="59" t="str">
        <f aca="false">IF(E682="","",IFERROR(INDEX(기본설정!$H$4:$H$14,MATCH(E682,기본설정!$G$4:$G$14,0)),""))</f>
        <v/>
      </c>
    </row>
    <row r="683" customFormat="false" ht="15" hidden="false" customHeight="false" outlineLevel="0" collapsed="false">
      <c r="A683" s="73"/>
      <c r="B683" s="10"/>
      <c r="C683" s="80"/>
      <c r="D683" s="80"/>
      <c r="E683" s="81" t="str">
        <f aca="false">IF(D683="","",IFERROR(INDEX(식자재단가!$B$4:$B$203,MATCH(D683,식자재단가!$C$4:$C$203,0)),""))</f>
        <v/>
      </c>
      <c r="F683" s="76"/>
      <c r="G683" s="59" t="str">
        <f aca="false">IF(D683="","",IFERROR(INDEX(식자재단가!$F$4:$F$203,MATCH(D683,식자재단가!$C$4:$C$203,0)),""))</f>
        <v/>
      </c>
      <c r="H683" s="50"/>
      <c r="I683" s="82" t="str">
        <f aca="false">IF(OR(F683="",H683=""),"",F683*H683)</f>
        <v/>
      </c>
      <c r="J683" s="83" t="str">
        <f aca="false">IF(D683="","",IFERROR(INDEX(식자재단가!$M$4:$M$203,MATCH(D683,식자재단가!$C$4:$C$203,0)),"과세"))</f>
        <v/>
      </c>
      <c r="K683" s="28" t="str">
        <f aca="false">IF(I683="","",IF(J683="과세",ROUND(I683*0.1,0),0))</f>
        <v/>
      </c>
      <c r="L683" s="28" t="str">
        <f aca="false">IF(I683="","",I683+K683)</f>
        <v/>
      </c>
      <c r="M683" s="10"/>
      <c r="N683" s="80"/>
      <c r="O683" s="80"/>
      <c r="P683" s="59" t="str">
        <f aca="false">IF(E683="","",IFERROR(INDEX(기본설정!$H$4:$H$14,MATCH(E683,기본설정!$G$4:$G$14,0)),""))</f>
        <v/>
      </c>
    </row>
    <row r="684" customFormat="false" ht="15" hidden="false" customHeight="false" outlineLevel="0" collapsed="false">
      <c r="A684" s="73"/>
      <c r="B684" s="10"/>
      <c r="C684" s="80"/>
      <c r="D684" s="80"/>
      <c r="E684" s="81" t="str">
        <f aca="false">IF(D684="","",IFERROR(INDEX(식자재단가!$B$4:$B$203,MATCH(D684,식자재단가!$C$4:$C$203,0)),""))</f>
        <v/>
      </c>
      <c r="F684" s="76"/>
      <c r="G684" s="59" t="str">
        <f aca="false">IF(D684="","",IFERROR(INDEX(식자재단가!$F$4:$F$203,MATCH(D684,식자재단가!$C$4:$C$203,0)),""))</f>
        <v/>
      </c>
      <c r="H684" s="50"/>
      <c r="I684" s="82" t="str">
        <f aca="false">IF(OR(F684="",H684=""),"",F684*H684)</f>
        <v/>
      </c>
      <c r="J684" s="83" t="str">
        <f aca="false">IF(D684="","",IFERROR(INDEX(식자재단가!$M$4:$M$203,MATCH(D684,식자재단가!$C$4:$C$203,0)),"과세"))</f>
        <v/>
      </c>
      <c r="K684" s="28" t="str">
        <f aca="false">IF(I684="","",IF(J684="과세",ROUND(I684*0.1,0),0))</f>
        <v/>
      </c>
      <c r="L684" s="28" t="str">
        <f aca="false">IF(I684="","",I684+K684)</f>
        <v/>
      </c>
      <c r="M684" s="10"/>
      <c r="N684" s="80"/>
      <c r="O684" s="80"/>
      <c r="P684" s="59" t="str">
        <f aca="false">IF(E684="","",IFERROR(INDEX(기본설정!$H$4:$H$14,MATCH(E684,기본설정!$G$4:$G$14,0)),""))</f>
        <v/>
      </c>
    </row>
    <row r="685" customFormat="false" ht="15" hidden="false" customHeight="false" outlineLevel="0" collapsed="false">
      <c r="A685" s="73"/>
      <c r="B685" s="10"/>
      <c r="C685" s="80"/>
      <c r="D685" s="80"/>
      <c r="E685" s="81" t="str">
        <f aca="false">IF(D685="","",IFERROR(INDEX(식자재단가!$B$4:$B$203,MATCH(D685,식자재단가!$C$4:$C$203,0)),""))</f>
        <v/>
      </c>
      <c r="F685" s="76"/>
      <c r="G685" s="59" t="str">
        <f aca="false">IF(D685="","",IFERROR(INDEX(식자재단가!$F$4:$F$203,MATCH(D685,식자재단가!$C$4:$C$203,0)),""))</f>
        <v/>
      </c>
      <c r="H685" s="50"/>
      <c r="I685" s="82" t="str">
        <f aca="false">IF(OR(F685="",H685=""),"",F685*H685)</f>
        <v/>
      </c>
      <c r="J685" s="83" t="str">
        <f aca="false">IF(D685="","",IFERROR(INDEX(식자재단가!$M$4:$M$203,MATCH(D685,식자재단가!$C$4:$C$203,0)),"과세"))</f>
        <v/>
      </c>
      <c r="K685" s="28" t="str">
        <f aca="false">IF(I685="","",IF(J685="과세",ROUND(I685*0.1,0),0))</f>
        <v/>
      </c>
      <c r="L685" s="28" t="str">
        <f aca="false">IF(I685="","",I685+K685)</f>
        <v/>
      </c>
      <c r="M685" s="10"/>
      <c r="N685" s="80"/>
      <c r="O685" s="80"/>
      <c r="P685" s="59" t="str">
        <f aca="false">IF(E685="","",IFERROR(INDEX(기본설정!$H$4:$H$14,MATCH(E685,기본설정!$G$4:$G$14,0)),""))</f>
        <v/>
      </c>
    </row>
    <row r="686" customFormat="false" ht="15" hidden="false" customHeight="false" outlineLevel="0" collapsed="false">
      <c r="A686" s="73"/>
      <c r="B686" s="10"/>
      <c r="C686" s="80"/>
      <c r="D686" s="80"/>
      <c r="E686" s="81" t="str">
        <f aca="false">IF(D686="","",IFERROR(INDEX(식자재단가!$B$4:$B$203,MATCH(D686,식자재단가!$C$4:$C$203,0)),""))</f>
        <v/>
      </c>
      <c r="F686" s="76"/>
      <c r="G686" s="59" t="str">
        <f aca="false">IF(D686="","",IFERROR(INDEX(식자재단가!$F$4:$F$203,MATCH(D686,식자재단가!$C$4:$C$203,0)),""))</f>
        <v/>
      </c>
      <c r="H686" s="50"/>
      <c r="I686" s="82" t="str">
        <f aca="false">IF(OR(F686="",H686=""),"",F686*H686)</f>
        <v/>
      </c>
      <c r="J686" s="83" t="str">
        <f aca="false">IF(D686="","",IFERROR(INDEX(식자재단가!$M$4:$M$203,MATCH(D686,식자재단가!$C$4:$C$203,0)),"과세"))</f>
        <v/>
      </c>
      <c r="K686" s="28" t="str">
        <f aca="false">IF(I686="","",IF(J686="과세",ROUND(I686*0.1,0),0))</f>
        <v/>
      </c>
      <c r="L686" s="28" t="str">
        <f aca="false">IF(I686="","",I686+K686)</f>
        <v/>
      </c>
      <c r="M686" s="10"/>
      <c r="N686" s="80"/>
      <c r="O686" s="80"/>
      <c r="P686" s="59" t="str">
        <f aca="false">IF(E686="","",IFERROR(INDEX(기본설정!$H$4:$H$14,MATCH(E686,기본설정!$G$4:$G$14,0)),""))</f>
        <v/>
      </c>
    </row>
    <row r="687" customFormat="false" ht="15" hidden="false" customHeight="false" outlineLevel="0" collapsed="false">
      <c r="A687" s="73"/>
      <c r="B687" s="10"/>
      <c r="C687" s="80"/>
      <c r="D687" s="80"/>
      <c r="E687" s="81" t="str">
        <f aca="false">IF(D687="","",IFERROR(INDEX(식자재단가!$B$4:$B$203,MATCH(D687,식자재단가!$C$4:$C$203,0)),""))</f>
        <v/>
      </c>
      <c r="F687" s="76"/>
      <c r="G687" s="59" t="str">
        <f aca="false">IF(D687="","",IFERROR(INDEX(식자재단가!$F$4:$F$203,MATCH(D687,식자재단가!$C$4:$C$203,0)),""))</f>
        <v/>
      </c>
      <c r="H687" s="50"/>
      <c r="I687" s="82" t="str">
        <f aca="false">IF(OR(F687="",H687=""),"",F687*H687)</f>
        <v/>
      </c>
      <c r="J687" s="83" t="str">
        <f aca="false">IF(D687="","",IFERROR(INDEX(식자재단가!$M$4:$M$203,MATCH(D687,식자재단가!$C$4:$C$203,0)),"과세"))</f>
        <v/>
      </c>
      <c r="K687" s="28" t="str">
        <f aca="false">IF(I687="","",IF(J687="과세",ROUND(I687*0.1,0),0))</f>
        <v/>
      </c>
      <c r="L687" s="28" t="str">
        <f aca="false">IF(I687="","",I687+K687)</f>
        <v/>
      </c>
      <c r="M687" s="10"/>
      <c r="N687" s="80"/>
      <c r="O687" s="80"/>
      <c r="P687" s="59" t="str">
        <f aca="false">IF(E687="","",IFERROR(INDEX(기본설정!$H$4:$H$14,MATCH(E687,기본설정!$G$4:$G$14,0)),""))</f>
        <v/>
      </c>
    </row>
    <row r="688" customFormat="false" ht="15" hidden="false" customHeight="false" outlineLevel="0" collapsed="false">
      <c r="A688" s="73"/>
      <c r="B688" s="10"/>
      <c r="C688" s="80"/>
      <c r="D688" s="80"/>
      <c r="E688" s="81" t="str">
        <f aca="false">IF(D688="","",IFERROR(INDEX(식자재단가!$B$4:$B$203,MATCH(D688,식자재단가!$C$4:$C$203,0)),""))</f>
        <v/>
      </c>
      <c r="F688" s="76"/>
      <c r="G688" s="59" t="str">
        <f aca="false">IF(D688="","",IFERROR(INDEX(식자재단가!$F$4:$F$203,MATCH(D688,식자재단가!$C$4:$C$203,0)),""))</f>
        <v/>
      </c>
      <c r="H688" s="50"/>
      <c r="I688" s="82" t="str">
        <f aca="false">IF(OR(F688="",H688=""),"",F688*H688)</f>
        <v/>
      </c>
      <c r="J688" s="83" t="str">
        <f aca="false">IF(D688="","",IFERROR(INDEX(식자재단가!$M$4:$M$203,MATCH(D688,식자재단가!$C$4:$C$203,0)),"과세"))</f>
        <v/>
      </c>
      <c r="K688" s="28" t="str">
        <f aca="false">IF(I688="","",IF(J688="과세",ROUND(I688*0.1,0),0))</f>
        <v/>
      </c>
      <c r="L688" s="28" t="str">
        <f aca="false">IF(I688="","",I688+K688)</f>
        <v/>
      </c>
      <c r="M688" s="10"/>
      <c r="N688" s="80"/>
      <c r="O688" s="80"/>
      <c r="P688" s="59" t="str">
        <f aca="false">IF(E688="","",IFERROR(INDEX(기본설정!$H$4:$H$14,MATCH(E688,기본설정!$G$4:$G$14,0)),""))</f>
        <v/>
      </c>
    </row>
    <row r="689" customFormat="false" ht="15" hidden="false" customHeight="false" outlineLevel="0" collapsed="false">
      <c r="A689" s="73"/>
      <c r="B689" s="10"/>
      <c r="C689" s="80"/>
      <c r="D689" s="80"/>
      <c r="E689" s="81" t="str">
        <f aca="false">IF(D689="","",IFERROR(INDEX(식자재단가!$B$4:$B$203,MATCH(D689,식자재단가!$C$4:$C$203,0)),""))</f>
        <v/>
      </c>
      <c r="F689" s="76"/>
      <c r="G689" s="59" t="str">
        <f aca="false">IF(D689="","",IFERROR(INDEX(식자재단가!$F$4:$F$203,MATCH(D689,식자재단가!$C$4:$C$203,0)),""))</f>
        <v/>
      </c>
      <c r="H689" s="50"/>
      <c r="I689" s="82" t="str">
        <f aca="false">IF(OR(F689="",H689=""),"",F689*H689)</f>
        <v/>
      </c>
      <c r="J689" s="83" t="str">
        <f aca="false">IF(D689="","",IFERROR(INDEX(식자재단가!$M$4:$M$203,MATCH(D689,식자재단가!$C$4:$C$203,0)),"과세"))</f>
        <v/>
      </c>
      <c r="K689" s="28" t="str">
        <f aca="false">IF(I689="","",IF(J689="과세",ROUND(I689*0.1,0),0))</f>
        <v/>
      </c>
      <c r="L689" s="28" t="str">
        <f aca="false">IF(I689="","",I689+K689)</f>
        <v/>
      </c>
      <c r="M689" s="10"/>
      <c r="N689" s="80"/>
      <c r="O689" s="80"/>
      <c r="P689" s="59" t="str">
        <f aca="false">IF(E689="","",IFERROR(INDEX(기본설정!$H$4:$H$14,MATCH(E689,기본설정!$G$4:$G$14,0)),""))</f>
        <v/>
      </c>
    </row>
    <row r="690" customFormat="false" ht="15" hidden="false" customHeight="false" outlineLevel="0" collapsed="false">
      <c r="A690" s="73"/>
      <c r="B690" s="10"/>
      <c r="C690" s="80"/>
      <c r="D690" s="80"/>
      <c r="E690" s="81" t="str">
        <f aca="false">IF(D690="","",IFERROR(INDEX(식자재단가!$B$4:$B$203,MATCH(D690,식자재단가!$C$4:$C$203,0)),""))</f>
        <v/>
      </c>
      <c r="F690" s="76"/>
      <c r="G690" s="59" t="str">
        <f aca="false">IF(D690="","",IFERROR(INDEX(식자재단가!$F$4:$F$203,MATCH(D690,식자재단가!$C$4:$C$203,0)),""))</f>
        <v/>
      </c>
      <c r="H690" s="50"/>
      <c r="I690" s="82" t="str">
        <f aca="false">IF(OR(F690="",H690=""),"",F690*H690)</f>
        <v/>
      </c>
      <c r="J690" s="83" t="str">
        <f aca="false">IF(D690="","",IFERROR(INDEX(식자재단가!$M$4:$M$203,MATCH(D690,식자재단가!$C$4:$C$203,0)),"과세"))</f>
        <v/>
      </c>
      <c r="K690" s="28" t="str">
        <f aca="false">IF(I690="","",IF(J690="과세",ROUND(I690*0.1,0),0))</f>
        <v/>
      </c>
      <c r="L690" s="28" t="str">
        <f aca="false">IF(I690="","",I690+K690)</f>
        <v/>
      </c>
      <c r="M690" s="10"/>
      <c r="N690" s="80"/>
      <c r="O690" s="80"/>
      <c r="P690" s="59" t="str">
        <f aca="false">IF(E690="","",IFERROR(INDEX(기본설정!$H$4:$H$14,MATCH(E690,기본설정!$G$4:$G$14,0)),""))</f>
        <v/>
      </c>
    </row>
    <row r="691" customFormat="false" ht="15" hidden="false" customHeight="false" outlineLevel="0" collapsed="false">
      <c r="A691" s="73"/>
      <c r="B691" s="10"/>
      <c r="C691" s="80"/>
      <c r="D691" s="80"/>
      <c r="E691" s="81" t="str">
        <f aca="false">IF(D691="","",IFERROR(INDEX(식자재단가!$B$4:$B$203,MATCH(D691,식자재단가!$C$4:$C$203,0)),""))</f>
        <v/>
      </c>
      <c r="F691" s="76"/>
      <c r="G691" s="59" t="str">
        <f aca="false">IF(D691="","",IFERROR(INDEX(식자재단가!$F$4:$F$203,MATCH(D691,식자재단가!$C$4:$C$203,0)),""))</f>
        <v/>
      </c>
      <c r="H691" s="50"/>
      <c r="I691" s="82" t="str">
        <f aca="false">IF(OR(F691="",H691=""),"",F691*H691)</f>
        <v/>
      </c>
      <c r="J691" s="83" t="str">
        <f aca="false">IF(D691="","",IFERROR(INDEX(식자재단가!$M$4:$M$203,MATCH(D691,식자재단가!$C$4:$C$203,0)),"과세"))</f>
        <v/>
      </c>
      <c r="K691" s="28" t="str">
        <f aca="false">IF(I691="","",IF(J691="과세",ROUND(I691*0.1,0),0))</f>
        <v/>
      </c>
      <c r="L691" s="28" t="str">
        <f aca="false">IF(I691="","",I691+K691)</f>
        <v/>
      </c>
      <c r="M691" s="10"/>
      <c r="N691" s="80"/>
      <c r="O691" s="80"/>
      <c r="P691" s="59" t="str">
        <f aca="false">IF(E691="","",IFERROR(INDEX(기본설정!$H$4:$H$14,MATCH(E691,기본설정!$G$4:$G$14,0)),""))</f>
        <v/>
      </c>
    </row>
    <row r="692" customFormat="false" ht="15" hidden="false" customHeight="false" outlineLevel="0" collapsed="false">
      <c r="A692" s="73"/>
      <c r="B692" s="10"/>
      <c r="C692" s="80"/>
      <c r="D692" s="80"/>
      <c r="E692" s="81" t="str">
        <f aca="false">IF(D692="","",IFERROR(INDEX(식자재단가!$B$4:$B$203,MATCH(D692,식자재단가!$C$4:$C$203,0)),""))</f>
        <v/>
      </c>
      <c r="F692" s="76"/>
      <c r="G692" s="59" t="str">
        <f aca="false">IF(D692="","",IFERROR(INDEX(식자재단가!$F$4:$F$203,MATCH(D692,식자재단가!$C$4:$C$203,0)),""))</f>
        <v/>
      </c>
      <c r="H692" s="50"/>
      <c r="I692" s="82" t="str">
        <f aca="false">IF(OR(F692="",H692=""),"",F692*H692)</f>
        <v/>
      </c>
      <c r="J692" s="83" t="str">
        <f aca="false">IF(D692="","",IFERROR(INDEX(식자재단가!$M$4:$M$203,MATCH(D692,식자재단가!$C$4:$C$203,0)),"과세"))</f>
        <v/>
      </c>
      <c r="K692" s="28" t="str">
        <f aca="false">IF(I692="","",IF(J692="과세",ROUND(I692*0.1,0),0))</f>
        <v/>
      </c>
      <c r="L692" s="28" t="str">
        <f aca="false">IF(I692="","",I692+K692)</f>
        <v/>
      </c>
      <c r="M692" s="10"/>
      <c r="N692" s="80"/>
      <c r="O692" s="80"/>
      <c r="P692" s="59" t="str">
        <f aca="false">IF(E692="","",IFERROR(INDEX(기본설정!$H$4:$H$14,MATCH(E692,기본설정!$G$4:$G$14,0)),""))</f>
        <v/>
      </c>
    </row>
    <row r="693" customFormat="false" ht="15" hidden="false" customHeight="false" outlineLevel="0" collapsed="false">
      <c r="A693" s="73"/>
      <c r="B693" s="10"/>
      <c r="C693" s="80"/>
      <c r="D693" s="80"/>
      <c r="E693" s="81" t="str">
        <f aca="false">IF(D693="","",IFERROR(INDEX(식자재단가!$B$4:$B$203,MATCH(D693,식자재단가!$C$4:$C$203,0)),""))</f>
        <v/>
      </c>
      <c r="F693" s="76"/>
      <c r="G693" s="59" t="str">
        <f aca="false">IF(D693="","",IFERROR(INDEX(식자재단가!$F$4:$F$203,MATCH(D693,식자재단가!$C$4:$C$203,0)),""))</f>
        <v/>
      </c>
      <c r="H693" s="50"/>
      <c r="I693" s="82" t="str">
        <f aca="false">IF(OR(F693="",H693=""),"",F693*H693)</f>
        <v/>
      </c>
      <c r="J693" s="83" t="str">
        <f aca="false">IF(D693="","",IFERROR(INDEX(식자재단가!$M$4:$M$203,MATCH(D693,식자재단가!$C$4:$C$203,0)),"과세"))</f>
        <v/>
      </c>
      <c r="K693" s="28" t="str">
        <f aca="false">IF(I693="","",IF(J693="과세",ROUND(I693*0.1,0),0))</f>
        <v/>
      </c>
      <c r="L693" s="28" t="str">
        <f aca="false">IF(I693="","",I693+K693)</f>
        <v/>
      </c>
      <c r="M693" s="10"/>
      <c r="N693" s="80"/>
      <c r="O693" s="80"/>
      <c r="P693" s="59" t="str">
        <f aca="false">IF(E693="","",IFERROR(INDEX(기본설정!$H$4:$H$14,MATCH(E693,기본설정!$G$4:$G$14,0)),""))</f>
        <v/>
      </c>
    </row>
    <row r="694" customFormat="false" ht="15" hidden="false" customHeight="false" outlineLevel="0" collapsed="false">
      <c r="A694" s="73"/>
      <c r="B694" s="10"/>
      <c r="C694" s="80"/>
      <c r="D694" s="80"/>
      <c r="E694" s="81" t="str">
        <f aca="false">IF(D694="","",IFERROR(INDEX(식자재단가!$B$4:$B$203,MATCH(D694,식자재단가!$C$4:$C$203,0)),""))</f>
        <v/>
      </c>
      <c r="F694" s="76"/>
      <c r="G694" s="59" t="str">
        <f aca="false">IF(D694="","",IFERROR(INDEX(식자재단가!$F$4:$F$203,MATCH(D694,식자재단가!$C$4:$C$203,0)),""))</f>
        <v/>
      </c>
      <c r="H694" s="50"/>
      <c r="I694" s="82" t="str">
        <f aca="false">IF(OR(F694="",H694=""),"",F694*H694)</f>
        <v/>
      </c>
      <c r="J694" s="83" t="str">
        <f aca="false">IF(D694="","",IFERROR(INDEX(식자재단가!$M$4:$M$203,MATCH(D694,식자재단가!$C$4:$C$203,0)),"과세"))</f>
        <v/>
      </c>
      <c r="K694" s="28" t="str">
        <f aca="false">IF(I694="","",IF(J694="과세",ROUND(I694*0.1,0),0))</f>
        <v/>
      </c>
      <c r="L694" s="28" t="str">
        <f aca="false">IF(I694="","",I694+K694)</f>
        <v/>
      </c>
      <c r="M694" s="10"/>
      <c r="N694" s="80"/>
      <c r="O694" s="80"/>
      <c r="P694" s="59" t="str">
        <f aca="false">IF(E694="","",IFERROR(INDEX(기본설정!$H$4:$H$14,MATCH(E694,기본설정!$G$4:$G$14,0)),""))</f>
        <v/>
      </c>
    </row>
    <row r="695" customFormat="false" ht="15" hidden="false" customHeight="false" outlineLevel="0" collapsed="false">
      <c r="A695" s="73"/>
      <c r="B695" s="10"/>
      <c r="C695" s="80"/>
      <c r="D695" s="80"/>
      <c r="E695" s="81" t="str">
        <f aca="false">IF(D695="","",IFERROR(INDEX(식자재단가!$B$4:$B$203,MATCH(D695,식자재단가!$C$4:$C$203,0)),""))</f>
        <v/>
      </c>
      <c r="F695" s="76"/>
      <c r="G695" s="59" t="str">
        <f aca="false">IF(D695="","",IFERROR(INDEX(식자재단가!$F$4:$F$203,MATCH(D695,식자재단가!$C$4:$C$203,0)),""))</f>
        <v/>
      </c>
      <c r="H695" s="50"/>
      <c r="I695" s="82" t="str">
        <f aca="false">IF(OR(F695="",H695=""),"",F695*H695)</f>
        <v/>
      </c>
      <c r="J695" s="83" t="str">
        <f aca="false">IF(D695="","",IFERROR(INDEX(식자재단가!$M$4:$M$203,MATCH(D695,식자재단가!$C$4:$C$203,0)),"과세"))</f>
        <v/>
      </c>
      <c r="K695" s="28" t="str">
        <f aca="false">IF(I695="","",IF(J695="과세",ROUND(I695*0.1,0),0))</f>
        <v/>
      </c>
      <c r="L695" s="28" t="str">
        <f aca="false">IF(I695="","",I695+K695)</f>
        <v/>
      </c>
      <c r="M695" s="10"/>
      <c r="N695" s="80"/>
      <c r="O695" s="80"/>
      <c r="P695" s="59" t="str">
        <f aca="false">IF(E695="","",IFERROR(INDEX(기본설정!$H$4:$H$14,MATCH(E695,기본설정!$G$4:$G$14,0)),""))</f>
        <v/>
      </c>
    </row>
    <row r="696" customFormat="false" ht="15" hidden="false" customHeight="false" outlineLevel="0" collapsed="false">
      <c r="A696" s="73"/>
      <c r="B696" s="10"/>
      <c r="C696" s="80"/>
      <c r="D696" s="80"/>
      <c r="E696" s="81" t="str">
        <f aca="false">IF(D696="","",IFERROR(INDEX(식자재단가!$B$4:$B$203,MATCH(D696,식자재단가!$C$4:$C$203,0)),""))</f>
        <v/>
      </c>
      <c r="F696" s="76"/>
      <c r="G696" s="59" t="str">
        <f aca="false">IF(D696="","",IFERROR(INDEX(식자재단가!$F$4:$F$203,MATCH(D696,식자재단가!$C$4:$C$203,0)),""))</f>
        <v/>
      </c>
      <c r="H696" s="50"/>
      <c r="I696" s="82" t="str">
        <f aca="false">IF(OR(F696="",H696=""),"",F696*H696)</f>
        <v/>
      </c>
      <c r="J696" s="83" t="str">
        <f aca="false">IF(D696="","",IFERROR(INDEX(식자재단가!$M$4:$M$203,MATCH(D696,식자재단가!$C$4:$C$203,0)),"과세"))</f>
        <v/>
      </c>
      <c r="K696" s="28" t="str">
        <f aca="false">IF(I696="","",IF(J696="과세",ROUND(I696*0.1,0),0))</f>
        <v/>
      </c>
      <c r="L696" s="28" t="str">
        <f aca="false">IF(I696="","",I696+K696)</f>
        <v/>
      </c>
      <c r="M696" s="10"/>
      <c r="N696" s="80"/>
      <c r="O696" s="80"/>
      <c r="P696" s="59" t="str">
        <f aca="false">IF(E696="","",IFERROR(INDEX(기본설정!$H$4:$H$14,MATCH(E696,기본설정!$G$4:$G$14,0)),""))</f>
        <v/>
      </c>
    </row>
    <row r="697" customFormat="false" ht="15" hidden="false" customHeight="false" outlineLevel="0" collapsed="false">
      <c r="A697" s="73"/>
      <c r="B697" s="10"/>
      <c r="C697" s="80"/>
      <c r="D697" s="80"/>
      <c r="E697" s="81" t="str">
        <f aca="false">IF(D697="","",IFERROR(INDEX(식자재단가!$B$4:$B$203,MATCH(D697,식자재단가!$C$4:$C$203,0)),""))</f>
        <v/>
      </c>
      <c r="F697" s="76"/>
      <c r="G697" s="59" t="str">
        <f aca="false">IF(D697="","",IFERROR(INDEX(식자재단가!$F$4:$F$203,MATCH(D697,식자재단가!$C$4:$C$203,0)),""))</f>
        <v/>
      </c>
      <c r="H697" s="50"/>
      <c r="I697" s="82" t="str">
        <f aca="false">IF(OR(F697="",H697=""),"",F697*H697)</f>
        <v/>
      </c>
      <c r="J697" s="83" t="str">
        <f aca="false">IF(D697="","",IFERROR(INDEX(식자재단가!$M$4:$M$203,MATCH(D697,식자재단가!$C$4:$C$203,0)),"과세"))</f>
        <v/>
      </c>
      <c r="K697" s="28" t="str">
        <f aca="false">IF(I697="","",IF(J697="과세",ROUND(I697*0.1,0),0))</f>
        <v/>
      </c>
      <c r="L697" s="28" t="str">
        <f aca="false">IF(I697="","",I697+K697)</f>
        <v/>
      </c>
      <c r="M697" s="10"/>
      <c r="N697" s="80"/>
      <c r="O697" s="80"/>
      <c r="P697" s="59" t="str">
        <f aca="false">IF(E697="","",IFERROR(INDEX(기본설정!$H$4:$H$14,MATCH(E697,기본설정!$G$4:$G$14,0)),""))</f>
        <v/>
      </c>
    </row>
    <row r="698" customFormat="false" ht="15" hidden="false" customHeight="false" outlineLevel="0" collapsed="false">
      <c r="A698" s="73"/>
      <c r="B698" s="10"/>
      <c r="C698" s="80"/>
      <c r="D698" s="80"/>
      <c r="E698" s="81" t="str">
        <f aca="false">IF(D698="","",IFERROR(INDEX(식자재단가!$B$4:$B$203,MATCH(D698,식자재단가!$C$4:$C$203,0)),""))</f>
        <v/>
      </c>
      <c r="F698" s="76"/>
      <c r="G698" s="59" t="str">
        <f aca="false">IF(D698="","",IFERROR(INDEX(식자재단가!$F$4:$F$203,MATCH(D698,식자재단가!$C$4:$C$203,0)),""))</f>
        <v/>
      </c>
      <c r="H698" s="50"/>
      <c r="I698" s="82" t="str">
        <f aca="false">IF(OR(F698="",H698=""),"",F698*H698)</f>
        <v/>
      </c>
      <c r="J698" s="83" t="str">
        <f aca="false">IF(D698="","",IFERROR(INDEX(식자재단가!$M$4:$M$203,MATCH(D698,식자재단가!$C$4:$C$203,0)),"과세"))</f>
        <v/>
      </c>
      <c r="K698" s="28" t="str">
        <f aca="false">IF(I698="","",IF(J698="과세",ROUND(I698*0.1,0),0))</f>
        <v/>
      </c>
      <c r="L698" s="28" t="str">
        <f aca="false">IF(I698="","",I698+K698)</f>
        <v/>
      </c>
      <c r="M698" s="10"/>
      <c r="N698" s="80"/>
      <c r="O698" s="80"/>
      <c r="P698" s="59" t="str">
        <f aca="false">IF(E698="","",IFERROR(INDEX(기본설정!$H$4:$H$14,MATCH(E698,기본설정!$G$4:$G$14,0)),""))</f>
        <v/>
      </c>
    </row>
    <row r="699" customFormat="false" ht="15" hidden="false" customHeight="false" outlineLevel="0" collapsed="false">
      <c r="A699" s="73"/>
      <c r="B699" s="10"/>
      <c r="C699" s="80"/>
      <c r="D699" s="80"/>
      <c r="E699" s="81" t="str">
        <f aca="false">IF(D699="","",IFERROR(INDEX(식자재단가!$B$4:$B$203,MATCH(D699,식자재단가!$C$4:$C$203,0)),""))</f>
        <v/>
      </c>
      <c r="F699" s="76"/>
      <c r="G699" s="59" t="str">
        <f aca="false">IF(D699="","",IFERROR(INDEX(식자재단가!$F$4:$F$203,MATCH(D699,식자재단가!$C$4:$C$203,0)),""))</f>
        <v/>
      </c>
      <c r="H699" s="50"/>
      <c r="I699" s="82" t="str">
        <f aca="false">IF(OR(F699="",H699=""),"",F699*H699)</f>
        <v/>
      </c>
      <c r="J699" s="83" t="str">
        <f aca="false">IF(D699="","",IFERROR(INDEX(식자재단가!$M$4:$M$203,MATCH(D699,식자재단가!$C$4:$C$203,0)),"과세"))</f>
        <v/>
      </c>
      <c r="K699" s="28" t="str">
        <f aca="false">IF(I699="","",IF(J699="과세",ROUND(I699*0.1,0),0))</f>
        <v/>
      </c>
      <c r="L699" s="28" t="str">
        <f aca="false">IF(I699="","",I699+K699)</f>
        <v/>
      </c>
      <c r="M699" s="10"/>
      <c r="N699" s="80"/>
      <c r="O699" s="80"/>
      <c r="P699" s="59" t="str">
        <f aca="false">IF(E699="","",IFERROR(INDEX(기본설정!$H$4:$H$14,MATCH(E699,기본설정!$G$4:$G$14,0)),""))</f>
        <v/>
      </c>
    </row>
    <row r="700" customFormat="false" ht="15" hidden="false" customHeight="false" outlineLevel="0" collapsed="false">
      <c r="A700" s="73"/>
      <c r="B700" s="10"/>
      <c r="C700" s="80"/>
      <c r="D700" s="80"/>
      <c r="E700" s="81" t="str">
        <f aca="false">IF(D700="","",IFERROR(INDEX(식자재단가!$B$4:$B$203,MATCH(D700,식자재단가!$C$4:$C$203,0)),""))</f>
        <v/>
      </c>
      <c r="F700" s="76"/>
      <c r="G700" s="59" t="str">
        <f aca="false">IF(D700="","",IFERROR(INDEX(식자재단가!$F$4:$F$203,MATCH(D700,식자재단가!$C$4:$C$203,0)),""))</f>
        <v/>
      </c>
      <c r="H700" s="50"/>
      <c r="I700" s="82" t="str">
        <f aca="false">IF(OR(F700="",H700=""),"",F700*H700)</f>
        <v/>
      </c>
      <c r="J700" s="83" t="str">
        <f aca="false">IF(D700="","",IFERROR(INDEX(식자재단가!$M$4:$M$203,MATCH(D700,식자재단가!$C$4:$C$203,0)),"과세"))</f>
        <v/>
      </c>
      <c r="K700" s="28" t="str">
        <f aca="false">IF(I700="","",IF(J700="과세",ROUND(I700*0.1,0),0))</f>
        <v/>
      </c>
      <c r="L700" s="28" t="str">
        <f aca="false">IF(I700="","",I700+K700)</f>
        <v/>
      </c>
      <c r="M700" s="10"/>
      <c r="N700" s="80"/>
      <c r="O700" s="80"/>
      <c r="P700" s="59" t="str">
        <f aca="false">IF(E700="","",IFERROR(INDEX(기본설정!$H$4:$H$14,MATCH(E700,기본설정!$G$4:$G$14,0)),""))</f>
        <v/>
      </c>
    </row>
    <row r="701" customFormat="false" ht="15" hidden="false" customHeight="false" outlineLevel="0" collapsed="false">
      <c r="A701" s="73"/>
      <c r="B701" s="10"/>
      <c r="C701" s="80"/>
      <c r="D701" s="80"/>
      <c r="E701" s="81" t="str">
        <f aca="false">IF(D701="","",IFERROR(INDEX(식자재단가!$B$4:$B$203,MATCH(D701,식자재단가!$C$4:$C$203,0)),""))</f>
        <v/>
      </c>
      <c r="F701" s="76"/>
      <c r="G701" s="59" t="str">
        <f aca="false">IF(D701="","",IFERROR(INDEX(식자재단가!$F$4:$F$203,MATCH(D701,식자재단가!$C$4:$C$203,0)),""))</f>
        <v/>
      </c>
      <c r="H701" s="50"/>
      <c r="I701" s="82" t="str">
        <f aca="false">IF(OR(F701="",H701=""),"",F701*H701)</f>
        <v/>
      </c>
      <c r="J701" s="83" t="str">
        <f aca="false">IF(D701="","",IFERROR(INDEX(식자재단가!$M$4:$M$203,MATCH(D701,식자재단가!$C$4:$C$203,0)),"과세"))</f>
        <v/>
      </c>
      <c r="K701" s="28" t="str">
        <f aca="false">IF(I701="","",IF(J701="과세",ROUND(I701*0.1,0),0))</f>
        <v/>
      </c>
      <c r="L701" s="28" t="str">
        <f aca="false">IF(I701="","",I701+K701)</f>
        <v/>
      </c>
      <c r="M701" s="10"/>
      <c r="N701" s="80"/>
      <c r="O701" s="80"/>
      <c r="P701" s="59" t="str">
        <f aca="false">IF(E701="","",IFERROR(INDEX(기본설정!$H$4:$H$14,MATCH(E701,기본설정!$G$4:$G$14,0)),""))</f>
        <v/>
      </c>
    </row>
    <row r="702" customFormat="false" ht="15" hidden="false" customHeight="false" outlineLevel="0" collapsed="false">
      <c r="A702" s="73"/>
      <c r="B702" s="10"/>
      <c r="C702" s="80"/>
      <c r="D702" s="80"/>
      <c r="E702" s="81" t="str">
        <f aca="false">IF(D702="","",IFERROR(INDEX(식자재단가!$B$4:$B$203,MATCH(D702,식자재단가!$C$4:$C$203,0)),""))</f>
        <v/>
      </c>
      <c r="F702" s="76"/>
      <c r="G702" s="59" t="str">
        <f aca="false">IF(D702="","",IFERROR(INDEX(식자재단가!$F$4:$F$203,MATCH(D702,식자재단가!$C$4:$C$203,0)),""))</f>
        <v/>
      </c>
      <c r="H702" s="50"/>
      <c r="I702" s="82" t="str">
        <f aca="false">IF(OR(F702="",H702=""),"",F702*H702)</f>
        <v/>
      </c>
      <c r="J702" s="83" t="str">
        <f aca="false">IF(D702="","",IFERROR(INDEX(식자재단가!$M$4:$M$203,MATCH(D702,식자재단가!$C$4:$C$203,0)),"과세"))</f>
        <v/>
      </c>
      <c r="K702" s="28" t="str">
        <f aca="false">IF(I702="","",IF(J702="과세",ROUND(I702*0.1,0),0))</f>
        <v/>
      </c>
      <c r="L702" s="28" t="str">
        <f aca="false">IF(I702="","",I702+K702)</f>
        <v/>
      </c>
      <c r="M702" s="10"/>
      <c r="N702" s="80"/>
      <c r="O702" s="80"/>
      <c r="P702" s="59" t="str">
        <f aca="false">IF(E702="","",IFERROR(INDEX(기본설정!$H$4:$H$14,MATCH(E702,기본설정!$G$4:$G$14,0)),""))</f>
        <v/>
      </c>
    </row>
    <row r="703" customFormat="false" ht="15" hidden="false" customHeight="false" outlineLevel="0" collapsed="false">
      <c r="A703" s="73"/>
      <c r="B703" s="10"/>
      <c r="C703" s="80"/>
      <c r="D703" s="80"/>
      <c r="E703" s="81" t="str">
        <f aca="false">IF(D703="","",IFERROR(INDEX(식자재단가!$B$4:$B$203,MATCH(D703,식자재단가!$C$4:$C$203,0)),""))</f>
        <v/>
      </c>
      <c r="F703" s="76"/>
      <c r="G703" s="59" t="str">
        <f aca="false">IF(D703="","",IFERROR(INDEX(식자재단가!$F$4:$F$203,MATCH(D703,식자재단가!$C$4:$C$203,0)),""))</f>
        <v/>
      </c>
      <c r="H703" s="50"/>
      <c r="I703" s="82" t="str">
        <f aca="false">IF(OR(F703="",H703=""),"",F703*H703)</f>
        <v/>
      </c>
      <c r="J703" s="83" t="str">
        <f aca="false">IF(D703="","",IFERROR(INDEX(식자재단가!$M$4:$M$203,MATCH(D703,식자재단가!$C$4:$C$203,0)),"과세"))</f>
        <v/>
      </c>
      <c r="K703" s="28" t="str">
        <f aca="false">IF(I703="","",IF(J703="과세",ROUND(I703*0.1,0),0))</f>
        <v/>
      </c>
      <c r="L703" s="28" t="str">
        <f aca="false">IF(I703="","",I703+K703)</f>
        <v/>
      </c>
      <c r="M703" s="10"/>
      <c r="N703" s="80"/>
      <c r="O703" s="80"/>
      <c r="P703" s="59" t="str">
        <f aca="false">IF(E703="","",IFERROR(INDEX(기본설정!$H$4:$H$14,MATCH(E703,기본설정!$G$4:$G$14,0)),""))</f>
        <v/>
      </c>
    </row>
    <row r="704" customFormat="false" ht="15" hidden="false" customHeight="false" outlineLevel="0" collapsed="false">
      <c r="A704" s="73"/>
      <c r="B704" s="10"/>
      <c r="C704" s="80"/>
      <c r="D704" s="80"/>
      <c r="E704" s="81" t="str">
        <f aca="false">IF(D704="","",IFERROR(INDEX(식자재단가!$B$4:$B$203,MATCH(D704,식자재단가!$C$4:$C$203,0)),""))</f>
        <v/>
      </c>
      <c r="F704" s="76"/>
      <c r="G704" s="59" t="str">
        <f aca="false">IF(D704="","",IFERROR(INDEX(식자재단가!$F$4:$F$203,MATCH(D704,식자재단가!$C$4:$C$203,0)),""))</f>
        <v/>
      </c>
      <c r="H704" s="50"/>
      <c r="I704" s="82" t="str">
        <f aca="false">IF(OR(F704="",H704=""),"",F704*H704)</f>
        <v/>
      </c>
      <c r="J704" s="83" t="str">
        <f aca="false">IF(D704="","",IFERROR(INDEX(식자재단가!$M$4:$M$203,MATCH(D704,식자재단가!$C$4:$C$203,0)),"과세"))</f>
        <v/>
      </c>
      <c r="K704" s="28" t="str">
        <f aca="false">IF(I704="","",IF(J704="과세",ROUND(I704*0.1,0),0))</f>
        <v/>
      </c>
      <c r="L704" s="28" t="str">
        <f aca="false">IF(I704="","",I704+K704)</f>
        <v/>
      </c>
      <c r="M704" s="10"/>
      <c r="N704" s="80"/>
      <c r="O704" s="80"/>
      <c r="P704" s="59" t="str">
        <f aca="false">IF(E704="","",IFERROR(INDEX(기본설정!$H$4:$H$14,MATCH(E704,기본설정!$G$4:$G$14,0)),""))</f>
        <v/>
      </c>
    </row>
    <row r="705" customFormat="false" ht="15" hidden="false" customHeight="false" outlineLevel="0" collapsed="false">
      <c r="A705" s="73"/>
      <c r="B705" s="10"/>
      <c r="C705" s="80"/>
      <c r="D705" s="80"/>
      <c r="E705" s="81" t="str">
        <f aca="false">IF(D705="","",IFERROR(INDEX(식자재단가!$B$4:$B$203,MATCH(D705,식자재단가!$C$4:$C$203,0)),""))</f>
        <v/>
      </c>
      <c r="F705" s="76"/>
      <c r="G705" s="59" t="str">
        <f aca="false">IF(D705="","",IFERROR(INDEX(식자재단가!$F$4:$F$203,MATCH(D705,식자재단가!$C$4:$C$203,0)),""))</f>
        <v/>
      </c>
      <c r="H705" s="50"/>
      <c r="I705" s="82" t="str">
        <f aca="false">IF(OR(F705="",H705=""),"",F705*H705)</f>
        <v/>
      </c>
      <c r="J705" s="83" t="str">
        <f aca="false">IF(D705="","",IFERROR(INDEX(식자재단가!$M$4:$M$203,MATCH(D705,식자재단가!$C$4:$C$203,0)),"과세"))</f>
        <v/>
      </c>
      <c r="K705" s="28" t="str">
        <f aca="false">IF(I705="","",IF(J705="과세",ROUND(I705*0.1,0),0))</f>
        <v/>
      </c>
      <c r="L705" s="28" t="str">
        <f aca="false">IF(I705="","",I705+K705)</f>
        <v/>
      </c>
      <c r="M705" s="10"/>
      <c r="N705" s="80"/>
      <c r="O705" s="80"/>
      <c r="P705" s="59" t="str">
        <f aca="false">IF(E705="","",IFERROR(INDEX(기본설정!$H$4:$H$14,MATCH(E705,기본설정!$G$4:$G$14,0)),""))</f>
        <v/>
      </c>
    </row>
    <row r="706" customFormat="false" ht="15" hidden="false" customHeight="false" outlineLevel="0" collapsed="false">
      <c r="A706" s="73"/>
      <c r="B706" s="10"/>
      <c r="C706" s="80"/>
      <c r="D706" s="80"/>
      <c r="E706" s="81" t="str">
        <f aca="false">IF(D706="","",IFERROR(INDEX(식자재단가!$B$4:$B$203,MATCH(D706,식자재단가!$C$4:$C$203,0)),""))</f>
        <v/>
      </c>
      <c r="F706" s="76"/>
      <c r="G706" s="59" t="str">
        <f aca="false">IF(D706="","",IFERROR(INDEX(식자재단가!$F$4:$F$203,MATCH(D706,식자재단가!$C$4:$C$203,0)),""))</f>
        <v/>
      </c>
      <c r="H706" s="50"/>
      <c r="I706" s="82" t="str">
        <f aca="false">IF(OR(F706="",H706=""),"",F706*H706)</f>
        <v/>
      </c>
      <c r="J706" s="83" t="str">
        <f aca="false">IF(D706="","",IFERROR(INDEX(식자재단가!$M$4:$M$203,MATCH(D706,식자재단가!$C$4:$C$203,0)),"과세"))</f>
        <v/>
      </c>
      <c r="K706" s="28" t="str">
        <f aca="false">IF(I706="","",IF(J706="과세",ROUND(I706*0.1,0),0))</f>
        <v/>
      </c>
      <c r="L706" s="28" t="str">
        <f aca="false">IF(I706="","",I706+K706)</f>
        <v/>
      </c>
      <c r="M706" s="10"/>
      <c r="N706" s="80"/>
      <c r="O706" s="80"/>
      <c r="P706" s="59" t="str">
        <f aca="false">IF(E706="","",IFERROR(INDEX(기본설정!$H$4:$H$14,MATCH(E706,기본설정!$G$4:$G$14,0)),""))</f>
        <v/>
      </c>
    </row>
    <row r="707" customFormat="false" ht="15" hidden="false" customHeight="false" outlineLevel="0" collapsed="false">
      <c r="A707" s="73"/>
      <c r="B707" s="10"/>
      <c r="C707" s="80"/>
      <c r="D707" s="80"/>
      <c r="E707" s="81" t="str">
        <f aca="false">IF(D707="","",IFERROR(INDEX(식자재단가!$B$4:$B$203,MATCH(D707,식자재단가!$C$4:$C$203,0)),""))</f>
        <v/>
      </c>
      <c r="F707" s="76"/>
      <c r="G707" s="59" t="str">
        <f aca="false">IF(D707="","",IFERROR(INDEX(식자재단가!$F$4:$F$203,MATCH(D707,식자재단가!$C$4:$C$203,0)),""))</f>
        <v/>
      </c>
      <c r="H707" s="50"/>
      <c r="I707" s="82" t="str">
        <f aca="false">IF(OR(F707="",H707=""),"",F707*H707)</f>
        <v/>
      </c>
      <c r="J707" s="83" t="str">
        <f aca="false">IF(D707="","",IFERROR(INDEX(식자재단가!$M$4:$M$203,MATCH(D707,식자재단가!$C$4:$C$203,0)),"과세"))</f>
        <v/>
      </c>
      <c r="K707" s="28" t="str">
        <f aca="false">IF(I707="","",IF(J707="과세",ROUND(I707*0.1,0),0))</f>
        <v/>
      </c>
      <c r="L707" s="28" t="str">
        <f aca="false">IF(I707="","",I707+K707)</f>
        <v/>
      </c>
      <c r="M707" s="10"/>
      <c r="N707" s="80"/>
      <c r="O707" s="80"/>
      <c r="P707" s="59" t="str">
        <f aca="false">IF(E707="","",IFERROR(INDEX(기본설정!$H$4:$H$14,MATCH(E707,기본설정!$G$4:$G$14,0)),""))</f>
        <v/>
      </c>
    </row>
    <row r="708" customFormat="false" ht="15" hidden="false" customHeight="false" outlineLevel="0" collapsed="false">
      <c r="A708" s="73"/>
      <c r="B708" s="10"/>
      <c r="C708" s="80"/>
      <c r="D708" s="80"/>
      <c r="E708" s="81" t="str">
        <f aca="false">IF(D708="","",IFERROR(INDEX(식자재단가!$B$4:$B$203,MATCH(D708,식자재단가!$C$4:$C$203,0)),""))</f>
        <v/>
      </c>
      <c r="F708" s="76"/>
      <c r="G708" s="59" t="str">
        <f aca="false">IF(D708="","",IFERROR(INDEX(식자재단가!$F$4:$F$203,MATCH(D708,식자재단가!$C$4:$C$203,0)),""))</f>
        <v/>
      </c>
      <c r="H708" s="50"/>
      <c r="I708" s="82" t="str">
        <f aca="false">IF(OR(F708="",H708=""),"",F708*H708)</f>
        <v/>
      </c>
      <c r="J708" s="83" t="str">
        <f aca="false">IF(D708="","",IFERROR(INDEX(식자재단가!$M$4:$M$203,MATCH(D708,식자재단가!$C$4:$C$203,0)),"과세"))</f>
        <v/>
      </c>
      <c r="K708" s="28" t="str">
        <f aca="false">IF(I708="","",IF(J708="과세",ROUND(I708*0.1,0),0))</f>
        <v/>
      </c>
      <c r="L708" s="28" t="str">
        <f aca="false">IF(I708="","",I708+K708)</f>
        <v/>
      </c>
      <c r="M708" s="10"/>
      <c r="N708" s="80"/>
      <c r="O708" s="80"/>
      <c r="P708" s="59" t="str">
        <f aca="false">IF(E708="","",IFERROR(INDEX(기본설정!$H$4:$H$14,MATCH(E708,기본설정!$G$4:$G$14,0)),""))</f>
        <v/>
      </c>
    </row>
    <row r="709" customFormat="false" ht="15" hidden="false" customHeight="false" outlineLevel="0" collapsed="false">
      <c r="A709" s="73"/>
      <c r="B709" s="10"/>
      <c r="C709" s="80"/>
      <c r="D709" s="80"/>
      <c r="E709" s="81" t="str">
        <f aca="false">IF(D709="","",IFERROR(INDEX(식자재단가!$B$4:$B$203,MATCH(D709,식자재단가!$C$4:$C$203,0)),""))</f>
        <v/>
      </c>
      <c r="F709" s="76"/>
      <c r="G709" s="59" t="str">
        <f aca="false">IF(D709="","",IFERROR(INDEX(식자재단가!$F$4:$F$203,MATCH(D709,식자재단가!$C$4:$C$203,0)),""))</f>
        <v/>
      </c>
      <c r="H709" s="50"/>
      <c r="I709" s="82" t="str">
        <f aca="false">IF(OR(F709="",H709=""),"",F709*H709)</f>
        <v/>
      </c>
      <c r="J709" s="83" t="str">
        <f aca="false">IF(D709="","",IFERROR(INDEX(식자재단가!$M$4:$M$203,MATCH(D709,식자재단가!$C$4:$C$203,0)),"과세"))</f>
        <v/>
      </c>
      <c r="K709" s="28" t="str">
        <f aca="false">IF(I709="","",IF(J709="과세",ROUND(I709*0.1,0),0))</f>
        <v/>
      </c>
      <c r="L709" s="28" t="str">
        <f aca="false">IF(I709="","",I709+K709)</f>
        <v/>
      </c>
      <c r="M709" s="10"/>
      <c r="N709" s="80"/>
      <c r="O709" s="80"/>
      <c r="P709" s="59" t="str">
        <f aca="false">IF(E709="","",IFERROR(INDEX(기본설정!$H$4:$H$14,MATCH(E709,기본설정!$G$4:$G$14,0)),""))</f>
        <v/>
      </c>
    </row>
    <row r="710" customFormat="false" ht="15" hidden="false" customHeight="false" outlineLevel="0" collapsed="false">
      <c r="A710" s="73"/>
      <c r="B710" s="10"/>
      <c r="C710" s="80"/>
      <c r="D710" s="80"/>
      <c r="E710" s="81" t="str">
        <f aca="false">IF(D710="","",IFERROR(INDEX(식자재단가!$B$4:$B$203,MATCH(D710,식자재단가!$C$4:$C$203,0)),""))</f>
        <v/>
      </c>
      <c r="F710" s="76"/>
      <c r="G710" s="59" t="str">
        <f aca="false">IF(D710="","",IFERROR(INDEX(식자재단가!$F$4:$F$203,MATCH(D710,식자재단가!$C$4:$C$203,0)),""))</f>
        <v/>
      </c>
      <c r="H710" s="50"/>
      <c r="I710" s="82" t="str">
        <f aca="false">IF(OR(F710="",H710=""),"",F710*H710)</f>
        <v/>
      </c>
      <c r="J710" s="83" t="str">
        <f aca="false">IF(D710="","",IFERROR(INDEX(식자재단가!$M$4:$M$203,MATCH(D710,식자재단가!$C$4:$C$203,0)),"과세"))</f>
        <v/>
      </c>
      <c r="K710" s="28" t="str">
        <f aca="false">IF(I710="","",IF(J710="과세",ROUND(I710*0.1,0),0))</f>
        <v/>
      </c>
      <c r="L710" s="28" t="str">
        <f aca="false">IF(I710="","",I710+K710)</f>
        <v/>
      </c>
      <c r="M710" s="10"/>
      <c r="N710" s="80"/>
      <c r="O710" s="80"/>
      <c r="P710" s="59" t="str">
        <f aca="false">IF(E710="","",IFERROR(INDEX(기본설정!$H$4:$H$14,MATCH(E710,기본설정!$G$4:$G$14,0)),""))</f>
        <v/>
      </c>
    </row>
    <row r="711" customFormat="false" ht="15" hidden="false" customHeight="false" outlineLevel="0" collapsed="false">
      <c r="A711" s="73"/>
      <c r="B711" s="10"/>
      <c r="C711" s="80"/>
      <c r="D711" s="80"/>
      <c r="E711" s="81" t="str">
        <f aca="false">IF(D711="","",IFERROR(INDEX(식자재단가!$B$4:$B$203,MATCH(D711,식자재단가!$C$4:$C$203,0)),""))</f>
        <v/>
      </c>
      <c r="F711" s="76"/>
      <c r="G711" s="59" t="str">
        <f aca="false">IF(D711="","",IFERROR(INDEX(식자재단가!$F$4:$F$203,MATCH(D711,식자재단가!$C$4:$C$203,0)),""))</f>
        <v/>
      </c>
      <c r="H711" s="50"/>
      <c r="I711" s="82" t="str">
        <f aca="false">IF(OR(F711="",H711=""),"",F711*H711)</f>
        <v/>
      </c>
      <c r="J711" s="83" t="str">
        <f aca="false">IF(D711="","",IFERROR(INDEX(식자재단가!$M$4:$M$203,MATCH(D711,식자재단가!$C$4:$C$203,0)),"과세"))</f>
        <v/>
      </c>
      <c r="K711" s="28" t="str">
        <f aca="false">IF(I711="","",IF(J711="과세",ROUND(I711*0.1,0),0))</f>
        <v/>
      </c>
      <c r="L711" s="28" t="str">
        <f aca="false">IF(I711="","",I711+K711)</f>
        <v/>
      </c>
      <c r="M711" s="10"/>
      <c r="N711" s="80"/>
      <c r="O711" s="80"/>
      <c r="P711" s="59" t="str">
        <f aca="false">IF(E711="","",IFERROR(INDEX(기본설정!$H$4:$H$14,MATCH(E711,기본설정!$G$4:$G$14,0)),""))</f>
        <v/>
      </c>
    </row>
    <row r="712" customFormat="false" ht="15" hidden="false" customHeight="false" outlineLevel="0" collapsed="false">
      <c r="A712" s="73"/>
      <c r="B712" s="10"/>
      <c r="C712" s="80"/>
      <c r="D712" s="80"/>
      <c r="E712" s="81" t="str">
        <f aca="false">IF(D712="","",IFERROR(INDEX(식자재단가!$B$4:$B$203,MATCH(D712,식자재단가!$C$4:$C$203,0)),""))</f>
        <v/>
      </c>
      <c r="F712" s="76"/>
      <c r="G712" s="59" t="str">
        <f aca="false">IF(D712="","",IFERROR(INDEX(식자재단가!$F$4:$F$203,MATCH(D712,식자재단가!$C$4:$C$203,0)),""))</f>
        <v/>
      </c>
      <c r="H712" s="50"/>
      <c r="I712" s="82" t="str">
        <f aca="false">IF(OR(F712="",H712=""),"",F712*H712)</f>
        <v/>
      </c>
      <c r="J712" s="83" t="str">
        <f aca="false">IF(D712="","",IFERROR(INDEX(식자재단가!$M$4:$M$203,MATCH(D712,식자재단가!$C$4:$C$203,0)),"과세"))</f>
        <v/>
      </c>
      <c r="K712" s="28" t="str">
        <f aca="false">IF(I712="","",IF(J712="과세",ROUND(I712*0.1,0),0))</f>
        <v/>
      </c>
      <c r="L712" s="28" t="str">
        <f aca="false">IF(I712="","",I712+K712)</f>
        <v/>
      </c>
      <c r="M712" s="10"/>
      <c r="N712" s="80"/>
      <c r="O712" s="80"/>
      <c r="P712" s="59" t="str">
        <f aca="false">IF(E712="","",IFERROR(INDEX(기본설정!$H$4:$H$14,MATCH(E712,기본설정!$G$4:$G$14,0)),""))</f>
        <v/>
      </c>
    </row>
    <row r="713" customFormat="false" ht="15" hidden="false" customHeight="false" outlineLevel="0" collapsed="false">
      <c r="A713" s="73"/>
      <c r="B713" s="10"/>
      <c r="C713" s="80"/>
      <c r="D713" s="80"/>
      <c r="E713" s="81" t="str">
        <f aca="false">IF(D713="","",IFERROR(INDEX(식자재단가!$B$4:$B$203,MATCH(D713,식자재단가!$C$4:$C$203,0)),""))</f>
        <v/>
      </c>
      <c r="F713" s="76"/>
      <c r="G713" s="59" t="str">
        <f aca="false">IF(D713="","",IFERROR(INDEX(식자재단가!$F$4:$F$203,MATCH(D713,식자재단가!$C$4:$C$203,0)),""))</f>
        <v/>
      </c>
      <c r="H713" s="50"/>
      <c r="I713" s="82" t="str">
        <f aca="false">IF(OR(F713="",H713=""),"",F713*H713)</f>
        <v/>
      </c>
      <c r="J713" s="83" t="str">
        <f aca="false">IF(D713="","",IFERROR(INDEX(식자재단가!$M$4:$M$203,MATCH(D713,식자재단가!$C$4:$C$203,0)),"과세"))</f>
        <v/>
      </c>
      <c r="K713" s="28" t="str">
        <f aca="false">IF(I713="","",IF(J713="과세",ROUND(I713*0.1,0),0))</f>
        <v/>
      </c>
      <c r="L713" s="28" t="str">
        <f aca="false">IF(I713="","",I713+K713)</f>
        <v/>
      </c>
      <c r="M713" s="10"/>
      <c r="N713" s="80"/>
      <c r="O713" s="80"/>
      <c r="P713" s="59" t="str">
        <f aca="false">IF(E713="","",IFERROR(INDEX(기본설정!$H$4:$H$14,MATCH(E713,기본설정!$G$4:$G$14,0)),""))</f>
        <v/>
      </c>
    </row>
    <row r="714" customFormat="false" ht="15" hidden="false" customHeight="false" outlineLevel="0" collapsed="false">
      <c r="A714" s="73"/>
      <c r="B714" s="10"/>
      <c r="C714" s="80"/>
      <c r="D714" s="80"/>
      <c r="E714" s="81" t="str">
        <f aca="false">IF(D714="","",IFERROR(INDEX(식자재단가!$B$4:$B$203,MATCH(D714,식자재단가!$C$4:$C$203,0)),""))</f>
        <v/>
      </c>
      <c r="F714" s="76"/>
      <c r="G714" s="59" t="str">
        <f aca="false">IF(D714="","",IFERROR(INDEX(식자재단가!$F$4:$F$203,MATCH(D714,식자재단가!$C$4:$C$203,0)),""))</f>
        <v/>
      </c>
      <c r="H714" s="50"/>
      <c r="I714" s="82" t="str">
        <f aca="false">IF(OR(F714="",H714=""),"",F714*H714)</f>
        <v/>
      </c>
      <c r="J714" s="83" t="str">
        <f aca="false">IF(D714="","",IFERROR(INDEX(식자재단가!$M$4:$M$203,MATCH(D714,식자재단가!$C$4:$C$203,0)),"과세"))</f>
        <v/>
      </c>
      <c r="K714" s="28" t="str">
        <f aca="false">IF(I714="","",IF(J714="과세",ROUND(I714*0.1,0),0))</f>
        <v/>
      </c>
      <c r="L714" s="28" t="str">
        <f aca="false">IF(I714="","",I714+K714)</f>
        <v/>
      </c>
      <c r="M714" s="10"/>
      <c r="N714" s="80"/>
      <c r="O714" s="80"/>
      <c r="P714" s="59" t="str">
        <f aca="false">IF(E714="","",IFERROR(INDEX(기본설정!$H$4:$H$14,MATCH(E714,기본설정!$G$4:$G$14,0)),""))</f>
        <v/>
      </c>
    </row>
    <row r="715" customFormat="false" ht="15" hidden="false" customHeight="false" outlineLevel="0" collapsed="false">
      <c r="A715" s="73"/>
      <c r="B715" s="10"/>
      <c r="C715" s="80"/>
      <c r="D715" s="80"/>
      <c r="E715" s="81" t="str">
        <f aca="false">IF(D715="","",IFERROR(INDEX(식자재단가!$B$4:$B$203,MATCH(D715,식자재단가!$C$4:$C$203,0)),""))</f>
        <v/>
      </c>
      <c r="F715" s="76"/>
      <c r="G715" s="59" t="str">
        <f aca="false">IF(D715="","",IFERROR(INDEX(식자재단가!$F$4:$F$203,MATCH(D715,식자재단가!$C$4:$C$203,0)),""))</f>
        <v/>
      </c>
      <c r="H715" s="50"/>
      <c r="I715" s="82" t="str">
        <f aca="false">IF(OR(F715="",H715=""),"",F715*H715)</f>
        <v/>
      </c>
      <c r="J715" s="83" t="str">
        <f aca="false">IF(D715="","",IFERROR(INDEX(식자재단가!$M$4:$M$203,MATCH(D715,식자재단가!$C$4:$C$203,0)),"과세"))</f>
        <v/>
      </c>
      <c r="K715" s="28" t="str">
        <f aca="false">IF(I715="","",IF(J715="과세",ROUND(I715*0.1,0),0))</f>
        <v/>
      </c>
      <c r="L715" s="28" t="str">
        <f aca="false">IF(I715="","",I715+K715)</f>
        <v/>
      </c>
      <c r="M715" s="10"/>
      <c r="N715" s="80"/>
      <c r="O715" s="80"/>
      <c r="P715" s="59" t="str">
        <f aca="false">IF(E715="","",IFERROR(INDEX(기본설정!$H$4:$H$14,MATCH(E715,기본설정!$G$4:$G$14,0)),""))</f>
        <v/>
      </c>
    </row>
    <row r="716" customFormat="false" ht="15" hidden="false" customHeight="false" outlineLevel="0" collapsed="false">
      <c r="A716" s="73"/>
      <c r="B716" s="10"/>
      <c r="C716" s="80"/>
      <c r="D716" s="80"/>
      <c r="E716" s="81" t="str">
        <f aca="false">IF(D716="","",IFERROR(INDEX(식자재단가!$B$4:$B$203,MATCH(D716,식자재단가!$C$4:$C$203,0)),""))</f>
        <v/>
      </c>
      <c r="F716" s="76"/>
      <c r="G716" s="59" t="str">
        <f aca="false">IF(D716="","",IFERROR(INDEX(식자재단가!$F$4:$F$203,MATCH(D716,식자재단가!$C$4:$C$203,0)),""))</f>
        <v/>
      </c>
      <c r="H716" s="50"/>
      <c r="I716" s="82" t="str">
        <f aca="false">IF(OR(F716="",H716=""),"",F716*H716)</f>
        <v/>
      </c>
      <c r="J716" s="83" t="str">
        <f aca="false">IF(D716="","",IFERROR(INDEX(식자재단가!$M$4:$M$203,MATCH(D716,식자재단가!$C$4:$C$203,0)),"과세"))</f>
        <v/>
      </c>
      <c r="K716" s="28" t="str">
        <f aca="false">IF(I716="","",IF(J716="과세",ROUND(I716*0.1,0),0))</f>
        <v/>
      </c>
      <c r="L716" s="28" t="str">
        <f aca="false">IF(I716="","",I716+K716)</f>
        <v/>
      </c>
      <c r="M716" s="10"/>
      <c r="N716" s="80"/>
      <c r="O716" s="80"/>
      <c r="P716" s="59" t="str">
        <f aca="false">IF(E716="","",IFERROR(INDEX(기본설정!$H$4:$H$14,MATCH(E716,기본설정!$G$4:$G$14,0)),""))</f>
        <v/>
      </c>
    </row>
    <row r="717" customFormat="false" ht="15" hidden="false" customHeight="false" outlineLevel="0" collapsed="false">
      <c r="A717" s="73"/>
      <c r="B717" s="10"/>
      <c r="C717" s="80"/>
      <c r="D717" s="80"/>
      <c r="E717" s="81" t="str">
        <f aca="false">IF(D717="","",IFERROR(INDEX(식자재단가!$B$4:$B$203,MATCH(D717,식자재단가!$C$4:$C$203,0)),""))</f>
        <v/>
      </c>
      <c r="F717" s="76"/>
      <c r="G717" s="59" t="str">
        <f aca="false">IF(D717="","",IFERROR(INDEX(식자재단가!$F$4:$F$203,MATCH(D717,식자재단가!$C$4:$C$203,0)),""))</f>
        <v/>
      </c>
      <c r="H717" s="50"/>
      <c r="I717" s="82" t="str">
        <f aca="false">IF(OR(F717="",H717=""),"",F717*H717)</f>
        <v/>
      </c>
      <c r="J717" s="83" t="str">
        <f aca="false">IF(D717="","",IFERROR(INDEX(식자재단가!$M$4:$M$203,MATCH(D717,식자재단가!$C$4:$C$203,0)),"과세"))</f>
        <v/>
      </c>
      <c r="K717" s="28" t="str">
        <f aca="false">IF(I717="","",IF(J717="과세",ROUND(I717*0.1,0),0))</f>
        <v/>
      </c>
      <c r="L717" s="28" t="str">
        <f aca="false">IF(I717="","",I717+K717)</f>
        <v/>
      </c>
      <c r="M717" s="10"/>
      <c r="N717" s="80"/>
      <c r="O717" s="80"/>
      <c r="P717" s="59" t="str">
        <f aca="false">IF(E717="","",IFERROR(INDEX(기본설정!$H$4:$H$14,MATCH(E717,기본설정!$G$4:$G$14,0)),""))</f>
        <v/>
      </c>
    </row>
    <row r="718" customFormat="false" ht="15" hidden="false" customHeight="false" outlineLevel="0" collapsed="false">
      <c r="A718" s="73"/>
      <c r="B718" s="10"/>
      <c r="C718" s="80"/>
      <c r="D718" s="80"/>
      <c r="E718" s="81" t="str">
        <f aca="false">IF(D718="","",IFERROR(INDEX(식자재단가!$B$4:$B$203,MATCH(D718,식자재단가!$C$4:$C$203,0)),""))</f>
        <v/>
      </c>
      <c r="F718" s="76"/>
      <c r="G718" s="59" t="str">
        <f aca="false">IF(D718="","",IFERROR(INDEX(식자재단가!$F$4:$F$203,MATCH(D718,식자재단가!$C$4:$C$203,0)),""))</f>
        <v/>
      </c>
      <c r="H718" s="50"/>
      <c r="I718" s="82" t="str">
        <f aca="false">IF(OR(F718="",H718=""),"",F718*H718)</f>
        <v/>
      </c>
      <c r="J718" s="83" t="str">
        <f aca="false">IF(D718="","",IFERROR(INDEX(식자재단가!$M$4:$M$203,MATCH(D718,식자재단가!$C$4:$C$203,0)),"과세"))</f>
        <v/>
      </c>
      <c r="K718" s="28" t="str">
        <f aca="false">IF(I718="","",IF(J718="과세",ROUND(I718*0.1,0),0))</f>
        <v/>
      </c>
      <c r="L718" s="28" t="str">
        <f aca="false">IF(I718="","",I718+K718)</f>
        <v/>
      </c>
      <c r="M718" s="10"/>
      <c r="N718" s="80"/>
      <c r="O718" s="80"/>
      <c r="P718" s="59" t="str">
        <f aca="false">IF(E718="","",IFERROR(INDEX(기본설정!$H$4:$H$14,MATCH(E718,기본설정!$G$4:$G$14,0)),""))</f>
        <v/>
      </c>
    </row>
    <row r="719" customFormat="false" ht="15" hidden="false" customHeight="false" outlineLevel="0" collapsed="false">
      <c r="A719" s="73"/>
      <c r="B719" s="10"/>
      <c r="C719" s="80"/>
      <c r="D719" s="80"/>
      <c r="E719" s="81" t="str">
        <f aca="false">IF(D719="","",IFERROR(INDEX(식자재단가!$B$4:$B$203,MATCH(D719,식자재단가!$C$4:$C$203,0)),""))</f>
        <v/>
      </c>
      <c r="F719" s="76"/>
      <c r="G719" s="59" t="str">
        <f aca="false">IF(D719="","",IFERROR(INDEX(식자재단가!$F$4:$F$203,MATCH(D719,식자재단가!$C$4:$C$203,0)),""))</f>
        <v/>
      </c>
      <c r="H719" s="50"/>
      <c r="I719" s="82" t="str">
        <f aca="false">IF(OR(F719="",H719=""),"",F719*H719)</f>
        <v/>
      </c>
      <c r="J719" s="83" t="str">
        <f aca="false">IF(D719="","",IFERROR(INDEX(식자재단가!$M$4:$M$203,MATCH(D719,식자재단가!$C$4:$C$203,0)),"과세"))</f>
        <v/>
      </c>
      <c r="K719" s="28" t="str">
        <f aca="false">IF(I719="","",IF(J719="과세",ROUND(I719*0.1,0),0))</f>
        <v/>
      </c>
      <c r="L719" s="28" t="str">
        <f aca="false">IF(I719="","",I719+K719)</f>
        <v/>
      </c>
      <c r="M719" s="10"/>
      <c r="N719" s="80"/>
      <c r="O719" s="80"/>
      <c r="P719" s="59" t="str">
        <f aca="false">IF(E719="","",IFERROR(INDEX(기본설정!$H$4:$H$14,MATCH(E719,기본설정!$G$4:$G$14,0)),""))</f>
        <v/>
      </c>
    </row>
    <row r="720" customFormat="false" ht="15" hidden="false" customHeight="false" outlineLevel="0" collapsed="false">
      <c r="A720" s="73"/>
      <c r="B720" s="10"/>
      <c r="C720" s="80"/>
      <c r="D720" s="80"/>
      <c r="E720" s="81" t="str">
        <f aca="false">IF(D720="","",IFERROR(INDEX(식자재단가!$B$4:$B$203,MATCH(D720,식자재단가!$C$4:$C$203,0)),""))</f>
        <v/>
      </c>
      <c r="F720" s="76"/>
      <c r="G720" s="59" t="str">
        <f aca="false">IF(D720="","",IFERROR(INDEX(식자재단가!$F$4:$F$203,MATCH(D720,식자재단가!$C$4:$C$203,0)),""))</f>
        <v/>
      </c>
      <c r="H720" s="50"/>
      <c r="I720" s="82" t="str">
        <f aca="false">IF(OR(F720="",H720=""),"",F720*H720)</f>
        <v/>
      </c>
      <c r="J720" s="83" t="str">
        <f aca="false">IF(D720="","",IFERROR(INDEX(식자재단가!$M$4:$M$203,MATCH(D720,식자재단가!$C$4:$C$203,0)),"과세"))</f>
        <v/>
      </c>
      <c r="K720" s="28" t="str">
        <f aca="false">IF(I720="","",IF(J720="과세",ROUND(I720*0.1,0),0))</f>
        <v/>
      </c>
      <c r="L720" s="28" t="str">
        <f aca="false">IF(I720="","",I720+K720)</f>
        <v/>
      </c>
      <c r="M720" s="10"/>
      <c r="N720" s="80"/>
      <c r="O720" s="80"/>
      <c r="P720" s="59" t="str">
        <f aca="false">IF(E720="","",IFERROR(INDEX(기본설정!$H$4:$H$14,MATCH(E720,기본설정!$G$4:$G$14,0)),""))</f>
        <v/>
      </c>
    </row>
    <row r="721" customFormat="false" ht="15" hidden="false" customHeight="false" outlineLevel="0" collapsed="false">
      <c r="A721" s="73"/>
      <c r="B721" s="10"/>
      <c r="C721" s="80"/>
      <c r="D721" s="80"/>
      <c r="E721" s="81" t="str">
        <f aca="false">IF(D721="","",IFERROR(INDEX(식자재단가!$B$4:$B$203,MATCH(D721,식자재단가!$C$4:$C$203,0)),""))</f>
        <v/>
      </c>
      <c r="F721" s="76"/>
      <c r="G721" s="59" t="str">
        <f aca="false">IF(D721="","",IFERROR(INDEX(식자재단가!$F$4:$F$203,MATCH(D721,식자재단가!$C$4:$C$203,0)),""))</f>
        <v/>
      </c>
      <c r="H721" s="50"/>
      <c r="I721" s="82" t="str">
        <f aca="false">IF(OR(F721="",H721=""),"",F721*H721)</f>
        <v/>
      </c>
      <c r="J721" s="83" t="str">
        <f aca="false">IF(D721="","",IFERROR(INDEX(식자재단가!$M$4:$M$203,MATCH(D721,식자재단가!$C$4:$C$203,0)),"과세"))</f>
        <v/>
      </c>
      <c r="K721" s="28" t="str">
        <f aca="false">IF(I721="","",IF(J721="과세",ROUND(I721*0.1,0),0))</f>
        <v/>
      </c>
      <c r="L721" s="28" t="str">
        <f aca="false">IF(I721="","",I721+K721)</f>
        <v/>
      </c>
      <c r="M721" s="10"/>
      <c r="N721" s="80"/>
      <c r="O721" s="80"/>
      <c r="P721" s="59" t="str">
        <f aca="false">IF(E721="","",IFERROR(INDEX(기본설정!$H$4:$H$14,MATCH(E721,기본설정!$G$4:$G$14,0)),""))</f>
        <v/>
      </c>
    </row>
    <row r="722" customFormat="false" ht="15" hidden="false" customHeight="false" outlineLevel="0" collapsed="false">
      <c r="A722" s="73"/>
      <c r="B722" s="10"/>
      <c r="C722" s="80"/>
      <c r="D722" s="80"/>
      <c r="E722" s="81" t="str">
        <f aca="false">IF(D722="","",IFERROR(INDEX(식자재단가!$B$4:$B$203,MATCH(D722,식자재단가!$C$4:$C$203,0)),""))</f>
        <v/>
      </c>
      <c r="F722" s="76"/>
      <c r="G722" s="59" t="str">
        <f aca="false">IF(D722="","",IFERROR(INDEX(식자재단가!$F$4:$F$203,MATCH(D722,식자재단가!$C$4:$C$203,0)),""))</f>
        <v/>
      </c>
      <c r="H722" s="50"/>
      <c r="I722" s="82" t="str">
        <f aca="false">IF(OR(F722="",H722=""),"",F722*H722)</f>
        <v/>
      </c>
      <c r="J722" s="83" t="str">
        <f aca="false">IF(D722="","",IFERROR(INDEX(식자재단가!$M$4:$M$203,MATCH(D722,식자재단가!$C$4:$C$203,0)),"과세"))</f>
        <v/>
      </c>
      <c r="K722" s="28" t="str">
        <f aca="false">IF(I722="","",IF(J722="과세",ROUND(I722*0.1,0),0))</f>
        <v/>
      </c>
      <c r="L722" s="28" t="str">
        <f aca="false">IF(I722="","",I722+K722)</f>
        <v/>
      </c>
      <c r="M722" s="10"/>
      <c r="N722" s="80"/>
      <c r="O722" s="80"/>
      <c r="P722" s="59" t="str">
        <f aca="false">IF(E722="","",IFERROR(INDEX(기본설정!$H$4:$H$14,MATCH(E722,기본설정!$G$4:$G$14,0)),""))</f>
        <v/>
      </c>
    </row>
    <row r="723" customFormat="false" ht="15" hidden="false" customHeight="false" outlineLevel="0" collapsed="false">
      <c r="A723" s="73"/>
      <c r="B723" s="10"/>
      <c r="C723" s="80"/>
      <c r="D723" s="80"/>
      <c r="E723" s="81" t="str">
        <f aca="false">IF(D723="","",IFERROR(INDEX(식자재단가!$B$4:$B$203,MATCH(D723,식자재단가!$C$4:$C$203,0)),""))</f>
        <v/>
      </c>
      <c r="F723" s="76"/>
      <c r="G723" s="59" t="str">
        <f aca="false">IF(D723="","",IFERROR(INDEX(식자재단가!$F$4:$F$203,MATCH(D723,식자재단가!$C$4:$C$203,0)),""))</f>
        <v/>
      </c>
      <c r="H723" s="50"/>
      <c r="I723" s="82" t="str">
        <f aca="false">IF(OR(F723="",H723=""),"",F723*H723)</f>
        <v/>
      </c>
      <c r="J723" s="83" t="str">
        <f aca="false">IF(D723="","",IFERROR(INDEX(식자재단가!$M$4:$M$203,MATCH(D723,식자재단가!$C$4:$C$203,0)),"과세"))</f>
        <v/>
      </c>
      <c r="K723" s="28" t="str">
        <f aca="false">IF(I723="","",IF(J723="과세",ROUND(I723*0.1,0),0))</f>
        <v/>
      </c>
      <c r="L723" s="28" t="str">
        <f aca="false">IF(I723="","",I723+K723)</f>
        <v/>
      </c>
      <c r="M723" s="10"/>
      <c r="N723" s="80"/>
      <c r="O723" s="80"/>
      <c r="P723" s="59" t="str">
        <f aca="false">IF(E723="","",IFERROR(INDEX(기본설정!$H$4:$H$14,MATCH(E723,기본설정!$G$4:$G$14,0)),""))</f>
        <v/>
      </c>
    </row>
    <row r="724" customFormat="false" ht="15" hidden="false" customHeight="false" outlineLevel="0" collapsed="false">
      <c r="A724" s="73"/>
      <c r="B724" s="10"/>
      <c r="C724" s="80"/>
      <c r="D724" s="80"/>
      <c r="E724" s="81" t="str">
        <f aca="false">IF(D724="","",IFERROR(INDEX(식자재단가!$B$4:$B$203,MATCH(D724,식자재단가!$C$4:$C$203,0)),""))</f>
        <v/>
      </c>
      <c r="F724" s="76"/>
      <c r="G724" s="59" t="str">
        <f aca="false">IF(D724="","",IFERROR(INDEX(식자재단가!$F$4:$F$203,MATCH(D724,식자재단가!$C$4:$C$203,0)),""))</f>
        <v/>
      </c>
      <c r="H724" s="50"/>
      <c r="I724" s="82" t="str">
        <f aca="false">IF(OR(F724="",H724=""),"",F724*H724)</f>
        <v/>
      </c>
      <c r="J724" s="83" t="str">
        <f aca="false">IF(D724="","",IFERROR(INDEX(식자재단가!$M$4:$M$203,MATCH(D724,식자재단가!$C$4:$C$203,0)),"과세"))</f>
        <v/>
      </c>
      <c r="K724" s="28" t="str">
        <f aca="false">IF(I724="","",IF(J724="과세",ROUND(I724*0.1,0),0))</f>
        <v/>
      </c>
      <c r="L724" s="28" t="str">
        <f aca="false">IF(I724="","",I724+K724)</f>
        <v/>
      </c>
      <c r="M724" s="10"/>
      <c r="N724" s="80"/>
      <c r="O724" s="80"/>
      <c r="P724" s="59" t="str">
        <f aca="false">IF(E724="","",IFERROR(INDEX(기본설정!$H$4:$H$14,MATCH(E724,기본설정!$G$4:$G$14,0)),""))</f>
        <v/>
      </c>
    </row>
    <row r="725" customFormat="false" ht="15" hidden="false" customHeight="false" outlineLevel="0" collapsed="false">
      <c r="A725" s="73"/>
      <c r="B725" s="10"/>
      <c r="C725" s="80"/>
      <c r="D725" s="80"/>
      <c r="E725" s="81" t="str">
        <f aca="false">IF(D725="","",IFERROR(INDEX(식자재단가!$B$4:$B$203,MATCH(D725,식자재단가!$C$4:$C$203,0)),""))</f>
        <v/>
      </c>
      <c r="F725" s="76"/>
      <c r="G725" s="59" t="str">
        <f aca="false">IF(D725="","",IFERROR(INDEX(식자재단가!$F$4:$F$203,MATCH(D725,식자재단가!$C$4:$C$203,0)),""))</f>
        <v/>
      </c>
      <c r="H725" s="50"/>
      <c r="I725" s="82" t="str">
        <f aca="false">IF(OR(F725="",H725=""),"",F725*H725)</f>
        <v/>
      </c>
      <c r="J725" s="83" t="str">
        <f aca="false">IF(D725="","",IFERROR(INDEX(식자재단가!$M$4:$M$203,MATCH(D725,식자재단가!$C$4:$C$203,0)),"과세"))</f>
        <v/>
      </c>
      <c r="K725" s="28" t="str">
        <f aca="false">IF(I725="","",IF(J725="과세",ROUND(I725*0.1,0),0))</f>
        <v/>
      </c>
      <c r="L725" s="28" t="str">
        <f aca="false">IF(I725="","",I725+K725)</f>
        <v/>
      </c>
      <c r="M725" s="10"/>
      <c r="N725" s="80"/>
      <c r="O725" s="80"/>
      <c r="P725" s="59" t="str">
        <f aca="false">IF(E725="","",IFERROR(INDEX(기본설정!$H$4:$H$14,MATCH(E725,기본설정!$G$4:$G$14,0)),""))</f>
        <v/>
      </c>
    </row>
    <row r="726" customFormat="false" ht="15" hidden="false" customHeight="false" outlineLevel="0" collapsed="false">
      <c r="A726" s="73"/>
      <c r="B726" s="10"/>
      <c r="C726" s="80"/>
      <c r="D726" s="80"/>
      <c r="E726" s="81" t="str">
        <f aca="false">IF(D726="","",IFERROR(INDEX(식자재단가!$B$4:$B$203,MATCH(D726,식자재단가!$C$4:$C$203,0)),""))</f>
        <v/>
      </c>
      <c r="F726" s="76"/>
      <c r="G726" s="59" t="str">
        <f aca="false">IF(D726="","",IFERROR(INDEX(식자재단가!$F$4:$F$203,MATCH(D726,식자재단가!$C$4:$C$203,0)),""))</f>
        <v/>
      </c>
      <c r="H726" s="50"/>
      <c r="I726" s="82" t="str">
        <f aca="false">IF(OR(F726="",H726=""),"",F726*H726)</f>
        <v/>
      </c>
      <c r="J726" s="83" t="str">
        <f aca="false">IF(D726="","",IFERROR(INDEX(식자재단가!$M$4:$M$203,MATCH(D726,식자재단가!$C$4:$C$203,0)),"과세"))</f>
        <v/>
      </c>
      <c r="K726" s="28" t="str">
        <f aca="false">IF(I726="","",IF(J726="과세",ROUND(I726*0.1,0),0))</f>
        <v/>
      </c>
      <c r="L726" s="28" t="str">
        <f aca="false">IF(I726="","",I726+K726)</f>
        <v/>
      </c>
      <c r="M726" s="10"/>
      <c r="N726" s="80"/>
      <c r="O726" s="80"/>
      <c r="P726" s="59" t="str">
        <f aca="false">IF(E726="","",IFERROR(INDEX(기본설정!$H$4:$H$14,MATCH(E726,기본설정!$G$4:$G$14,0)),""))</f>
        <v/>
      </c>
    </row>
    <row r="727" customFormat="false" ht="15" hidden="false" customHeight="false" outlineLevel="0" collapsed="false">
      <c r="A727" s="73"/>
      <c r="B727" s="10"/>
      <c r="C727" s="80"/>
      <c r="D727" s="80"/>
      <c r="E727" s="81" t="str">
        <f aca="false">IF(D727="","",IFERROR(INDEX(식자재단가!$B$4:$B$203,MATCH(D727,식자재단가!$C$4:$C$203,0)),""))</f>
        <v/>
      </c>
      <c r="F727" s="76"/>
      <c r="G727" s="59" t="str">
        <f aca="false">IF(D727="","",IFERROR(INDEX(식자재단가!$F$4:$F$203,MATCH(D727,식자재단가!$C$4:$C$203,0)),""))</f>
        <v/>
      </c>
      <c r="H727" s="50"/>
      <c r="I727" s="82" t="str">
        <f aca="false">IF(OR(F727="",H727=""),"",F727*H727)</f>
        <v/>
      </c>
      <c r="J727" s="83" t="str">
        <f aca="false">IF(D727="","",IFERROR(INDEX(식자재단가!$M$4:$M$203,MATCH(D727,식자재단가!$C$4:$C$203,0)),"과세"))</f>
        <v/>
      </c>
      <c r="K727" s="28" t="str">
        <f aca="false">IF(I727="","",IF(J727="과세",ROUND(I727*0.1,0),0))</f>
        <v/>
      </c>
      <c r="L727" s="28" t="str">
        <f aca="false">IF(I727="","",I727+K727)</f>
        <v/>
      </c>
      <c r="M727" s="10"/>
      <c r="N727" s="80"/>
      <c r="O727" s="80"/>
      <c r="P727" s="59" t="str">
        <f aca="false">IF(E727="","",IFERROR(INDEX(기본설정!$H$4:$H$14,MATCH(E727,기본설정!$G$4:$G$14,0)),""))</f>
        <v/>
      </c>
    </row>
    <row r="728" customFormat="false" ht="15" hidden="false" customHeight="false" outlineLevel="0" collapsed="false">
      <c r="A728" s="73"/>
      <c r="B728" s="10"/>
      <c r="C728" s="80"/>
      <c r="D728" s="80"/>
      <c r="E728" s="81" t="str">
        <f aca="false">IF(D728="","",IFERROR(INDEX(식자재단가!$B$4:$B$203,MATCH(D728,식자재단가!$C$4:$C$203,0)),""))</f>
        <v/>
      </c>
      <c r="F728" s="76"/>
      <c r="G728" s="59" t="str">
        <f aca="false">IF(D728="","",IFERROR(INDEX(식자재단가!$F$4:$F$203,MATCH(D728,식자재단가!$C$4:$C$203,0)),""))</f>
        <v/>
      </c>
      <c r="H728" s="50"/>
      <c r="I728" s="82" t="str">
        <f aca="false">IF(OR(F728="",H728=""),"",F728*H728)</f>
        <v/>
      </c>
      <c r="J728" s="83" t="str">
        <f aca="false">IF(D728="","",IFERROR(INDEX(식자재단가!$M$4:$M$203,MATCH(D728,식자재단가!$C$4:$C$203,0)),"과세"))</f>
        <v/>
      </c>
      <c r="K728" s="28" t="str">
        <f aca="false">IF(I728="","",IF(J728="과세",ROUND(I728*0.1,0),0))</f>
        <v/>
      </c>
      <c r="L728" s="28" t="str">
        <f aca="false">IF(I728="","",I728+K728)</f>
        <v/>
      </c>
      <c r="M728" s="10"/>
      <c r="N728" s="80"/>
      <c r="O728" s="80"/>
      <c r="P728" s="59" t="str">
        <f aca="false">IF(E728="","",IFERROR(INDEX(기본설정!$H$4:$H$14,MATCH(E728,기본설정!$G$4:$G$14,0)),""))</f>
        <v/>
      </c>
    </row>
    <row r="729" customFormat="false" ht="15" hidden="false" customHeight="false" outlineLevel="0" collapsed="false">
      <c r="A729" s="73"/>
      <c r="B729" s="10"/>
      <c r="C729" s="80"/>
      <c r="D729" s="80"/>
      <c r="E729" s="81" t="str">
        <f aca="false">IF(D729="","",IFERROR(INDEX(식자재단가!$B$4:$B$203,MATCH(D729,식자재단가!$C$4:$C$203,0)),""))</f>
        <v/>
      </c>
      <c r="F729" s="76"/>
      <c r="G729" s="59" t="str">
        <f aca="false">IF(D729="","",IFERROR(INDEX(식자재단가!$F$4:$F$203,MATCH(D729,식자재단가!$C$4:$C$203,0)),""))</f>
        <v/>
      </c>
      <c r="H729" s="50"/>
      <c r="I729" s="82" t="str">
        <f aca="false">IF(OR(F729="",H729=""),"",F729*H729)</f>
        <v/>
      </c>
      <c r="J729" s="83" t="str">
        <f aca="false">IF(D729="","",IFERROR(INDEX(식자재단가!$M$4:$M$203,MATCH(D729,식자재단가!$C$4:$C$203,0)),"과세"))</f>
        <v/>
      </c>
      <c r="K729" s="28" t="str">
        <f aca="false">IF(I729="","",IF(J729="과세",ROUND(I729*0.1,0),0))</f>
        <v/>
      </c>
      <c r="L729" s="28" t="str">
        <f aca="false">IF(I729="","",I729+K729)</f>
        <v/>
      </c>
      <c r="M729" s="10"/>
      <c r="N729" s="80"/>
      <c r="O729" s="80"/>
      <c r="P729" s="59" t="str">
        <f aca="false">IF(E729="","",IFERROR(INDEX(기본설정!$H$4:$H$14,MATCH(E729,기본설정!$G$4:$G$14,0)),""))</f>
        <v/>
      </c>
    </row>
    <row r="730" customFormat="false" ht="15" hidden="false" customHeight="false" outlineLevel="0" collapsed="false">
      <c r="A730" s="73"/>
      <c r="B730" s="10"/>
      <c r="C730" s="80"/>
      <c r="D730" s="80"/>
      <c r="E730" s="81" t="str">
        <f aca="false">IF(D730="","",IFERROR(INDEX(식자재단가!$B$4:$B$203,MATCH(D730,식자재단가!$C$4:$C$203,0)),""))</f>
        <v/>
      </c>
      <c r="F730" s="76"/>
      <c r="G730" s="59" t="str">
        <f aca="false">IF(D730="","",IFERROR(INDEX(식자재단가!$F$4:$F$203,MATCH(D730,식자재단가!$C$4:$C$203,0)),""))</f>
        <v/>
      </c>
      <c r="H730" s="50"/>
      <c r="I730" s="82" t="str">
        <f aca="false">IF(OR(F730="",H730=""),"",F730*H730)</f>
        <v/>
      </c>
      <c r="J730" s="83" t="str">
        <f aca="false">IF(D730="","",IFERROR(INDEX(식자재단가!$M$4:$M$203,MATCH(D730,식자재단가!$C$4:$C$203,0)),"과세"))</f>
        <v/>
      </c>
      <c r="K730" s="28" t="str">
        <f aca="false">IF(I730="","",IF(J730="과세",ROUND(I730*0.1,0),0))</f>
        <v/>
      </c>
      <c r="L730" s="28" t="str">
        <f aca="false">IF(I730="","",I730+K730)</f>
        <v/>
      </c>
      <c r="M730" s="10"/>
      <c r="N730" s="80"/>
      <c r="O730" s="80"/>
      <c r="P730" s="59" t="str">
        <f aca="false">IF(E730="","",IFERROR(INDEX(기본설정!$H$4:$H$14,MATCH(E730,기본설정!$G$4:$G$14,0)),""))</f>
        <v/>
      </c>
    </row>
    <row r="731" customFormat="false" ht="15" hidden="false" customHeight="false" outlineLevel="0" collapsed="false">
      <c r="A731" s="73"/>
      <c r="B731" s="10"/>
      <c r="C731" s="80"/>
      <c r="D731" s="80"/>
      <c r="E731" s="81" t="str">
        <f aca="false">IF(D731="","",IFERROR(INDEX(식자재단가!$B$4:$B$203,MATCH(D731,식자재단가!$C$4:$C$203,0)),""))</f>
        <v/>
      </c>
      <c r="F731" s="76"/>
      <c r="G731" s="59" t="str">
        <f aca="false">IF(D731="","",IFERROR(INDEX(식자재단가!$F$4:$F$203,MATCH(D731,식자재단가!$C$4:$C$203,0)),""))</f>
        <v/>
      </c>
      <c r="H731" s="50"/>
      <c r="I731" s="82" t="str">
        <f aca="false">IF(OR(F731="",H731=""),"",F731*H731)</f>
        <v/>
      </c>
      <c r="J731" s="83" t="str">
        <f aca="false">IF(D731="","",IFERROR(INDEX(식자재단가!$M$4:$M$203,MATCH(D731,식자재단가!$C$4:$C$203,0)),"과세"))</f>
        <v/>
      </c>
      <c r="K731" s="28" t="str">
        <f aca="false">IF(I731="","",IF(J731="과세",ROUND(I731*0.1,0),0))</f>
        <v/>
      </c>
      <c r="L731" s="28" t="str">
        <f aca="false">IF(I731="","",I731+K731)</f>
        <v/>
      </c>
      <c r="M731" s="10"/>
      <c r="N731" s="80"/>
      <c r="O731" s="80"/>
      <c r="P731" s="59" t="str">
        <f aca="false">IF(E731="","",IFERROR(INDEX(기본설정!$H$4:$H$14,MATCH(E731,기본설정!$G$4:$G$14,0)),""))</f>
        <v/>
      </c>
    </row>
    <row r="732" customFormat="false" ht="15" hidden="false" customHeight="false" outlineLevel="0" collapsed="false">
      <c r="A732" s="73"/>
      <c r="B732" s="10"/>
      <c r="C732" s="80"/>
      <c r="D732" s="80"/>
      <c r="E732" s="81" t="str">
        <f aca="false">IF(D732="","",IFERROR(INDEX(식자재단가!$B$4:$B$203,MATCH(D732,식자재단가!$C$4:$C$203,0)),""))</f>
        <v/>
      </c>
      <c r="F732" s="76"/>
      <c r="G732" s="59" t="str">
        <f aca="false">IF(D732="","",IFERROR(INDEX(식자재단가!$F$4:$F$203,MATCH(D732,식자재단가!$C$4:$C$203,0)),""))</f>
        <v/>
      </c>
      <c r="H732" s="50"/>
      <c r="I732" s="82" t="str">
        <f aca="false">IF(OR(F732="",H732=""),"",F732*H732)</f>
        <v/>
      </c>
      <c r="J732" s="83" t="str">
        <f aca="false">IF(D732="","",IFERROR(INDEX(식자재단가!$M$4:$M$203,MATCH(D732,식자재단가!$C$4:$C$203,0)),"과세"))</f>
        <v/>
      </c>
      <c r="K732" s="28" t="str">
        <f aca="false">IF(I732="","",IF(J732="과세",ROUND(I732*0.1,0),0))</f>
        <v/>
      </c>
      <c r="L732" s="28" t="str">
        <f aca="false">IF(I732="","",I732+K732)</f>
        <v/>
      </c>
      <c r="M732" s="10"/>
      <c r="N732" s="80"/>
      <c r="O732" s="80"/>
      <c r="P732" s="59" t="str">
        <f aca="false">IF(E732="","",IFERROR(INDEX(기본설정!$H$4:$H$14,MATCH(E732,기본설정!$G$4:$G$14,0)),""))</f>
        <v/>
      </c>
    </row>
    <row r="733" customFormat="false" ht="15" hidden="false" customHeight="false" outlineLevel="0" collapsed="false">
      <c r="A733" s="73"/>
      <c r="B733" s="10"/>
      <c r="C733" s="80"/>
      <c r="D733" s="80"/>
      <c r="E733" s="81" t="str">
        <f aca="false">IF(D733="","",IFERROR(INDEX(식자재단가!$B$4:$B$203,MATCH(D733,식자재단가!$C$4:$C$203,0)),""))</f>
        <v/>
      </c>
      <c r="F733" s="76"/>
      <c r="G733" s="59" t="str">
        <f aca="false">IF(D733="","",IFERROR(INDEX(식자재단가!$F$4:$F$203,MATCH(D733,식자재단가!$C$4:$C$203,0)),""))</f>
        <v/>
      </c>
      <c r="H733" s="50"/>
      <c r="I733" s="82" t="str">
        <f aca="false">IF(OR(F733="",H733=""),"",F733*H733)</f>
        <v/>
      </c>
      <c r="J733" s="83" t="str">
        <f aca="false">IF(D733="","",IFERROR(INDEX(식자재단가!$M$4:$M$203,MATCH(D733,식자재단가!$C$4:$C$203,0)),"과세"))</f>
        <v/>
      </c>
      <c r="K733" s="28" t="str">
        <f aca="false">IF(I733="","",IF(J733="과세",ROUND(I733*0.1,0),0))</f>
        <v/>
      </c>
      <c r="L733" s="28" t="str">
        <f aca="false">IF(I733="","",I733+K733)</f>
        <v/>
      </c>
      <c r="M733" s="10"/>
      <c r="N733" s="80"/>
      <c r="O733" s="80"/>
      <c r="P733" s="59" t="str">
        <f aca="false">IF(E733="","",IFERROR(INDEX(기본설정!$H$4:$H$14,MATCH(E733,기본설정!$G$4:$G$14,0)),""))</f>
        <v/>
      </c>
    </row>
    <row r="734" customFormat="false" ht="15" hidden="false" customHeight="false" outlineLevel="0" collapsed="false">
      <c r="A734" s="73"/>
      <c r="B734" s="10"/>
      <c r="C734" s="80"/>
      <c r="D734" s="80"/>
      <c r="E734" s="81" t="str">
        <f aca="false">IF(D734="","",IFERROR(INDEX(식자재단가!$B$4:$B$203,MATCH(D734,식자재단가!$C$4:$C$203,0)),""))</f>
        <v/>
      </c>
      <c r="F734" s="76"/>
      <c r="G734" s="59" t="str">
        <f aca="false">IF(D734="","",IFERROR(INDEX(식자재단가!$F$4:$F$203,MATCH(D734,식자재단가!$C$4:$C$203,0)),""))</f>
        <v/>
      </c>
      <c r="H734" s="50"/>
      <c r="I734" s="82" t="str">
        <f aca="false">IF(OR(F734="",H734=""),"",F734*H734)</f>
        <v/>
      </c>
      <c r="J734" s="83" t="str">
        <f aca="false">IF(D734="","",IFERROR(INDEX(식자재단가!$M$4:$M$203,MATCH(D734,식자재단가!$C$4:$C$203,0)),"과세"))</f>
        <v/>
      </c>
      <c r="K734" s="28" t="str">
        <f aca="false">IF(I734="","",IF(J734="과세",ROUND(I734*0.1,0),0))</f>
        <v/>
      </c>
      <c r="L734" s="28" t="str">
        <f aca="false">IF(I734="","",I734+K734)</f>
        <v/>
      </c>
      <c r="M734" s="10"/>
      <c r="N734" s="80"/>
      <c r="O734" s="80"/>
      <c r="P734" s="59" t="str">
        <f aca="false">IF(E734="","",IFERROR(INDEX(기본설정!$H$4:$H$14,MATCH(E734,기본설정!$G$4:$G$14,0)),""))</f>
        <v/>
      </c>
    </row>
    <row r="735" customFormat="false" ht="15" hidden="false" customHeight="false" outlineLevel="0" collapsed="false">
      <c r="A735" s="73"/>
      <c r="B735" s="10"/>
      <c r="C735" s="80"/>
      <c r="D735" s="80"/>
      <c r="E735" s="81" t="str">
        <f aca="false">IF(D735="","",IFERROR(INDEX(식자재단가!$B$4:$B$203,MATCH(D735,식자재단가!$C$4:$C$203,0)),""))</f>
        <v/>
      </c>
      <c r="F735" s="76"/>
      <c r="G735" s="59" t="str">
        <f aca="false">IF(D735="","",IFERROR(INDEX(식자재단가!$F$4:$F$203,MATCH(D735,식자재단가!$C$4:$C$203,0)),""))</f>
        <v/>
      </c>
      <c r="H735" s="50"/>
      <c r="I735" s="82" t="str">
        <f aca="false">IF(OR(F735="",H735=""),"",F735*H735)</f>
        <v/>
      </c>
      <c r="J735" s="83" t="str">
        <f aca="false">IF(D735="","",IFERROR(INDEX(식자재단가!$M$4:$M$203,MATCH(D735,식자재단가!$C$4:$C$203,0)),"과세"))</f>
        <v/>
      </c>
      <c r="K735" s="28" t="str">
        <f aca="false">IF(I735="","",IF(J735="과세",ROUND(I735*0.1,0),0))</f>
        <v/>
      </c>
      <c r="L735" s="28" t="str">
        <f aca="false">IF(I735="","",I735+K735)</f>
        <v/>
      </c>
      <c r="M735" s="10"/>
      <c r="N735" s="80"/>
      <c r="O735" s="80"/>
      <c r="P735" s="59" t="str">
        <f aca="false">IF(E735="","",IFERROR(INDEX(기본설정!$H$4:$H$14,MATCH(E735,기본설정!$G$4:$G$14,0)),""))</f>
        <v/>
      </c>
    </row>
    <row r="736" customFormat="false" ht="15" hidden="false" customHeight="false" outlineLevel="0" collapsed="false">
      <c r="A736" s="73"/>
      <c r="B736" s="10"/>
      <c r="C736" s="80"/>
      <c r="D736" s="80"/>
      <c r="E736" s="81" t="str">
        <f aca="false">IF(D736="","",IFERROR(INDEX(식자재단가!$B$4:$B$203,MATCH(D736,식자재단가!$C$4:$C$203,0)),""))</f>
        <v/>
      </c>
      <c r="F736" s="76"/>
      <c r="G736" s="59" t="str">
        <f aca="false">IF(D736="","",IFERROR(INDEX(식자재단가!$F$4:$F$203,MATCH(D736,식자재단가!$C$4:$C$203,0)),""))</f>
        <v/>
      </c>
      <c r="H736" s="50"/>
      <c r="I736" s="82" t="str">
        <f aca="false">IF(OR(F736="",H736=""),"",F736*H736)</f>
        <v/>
      </c>
      <c r="J736" s="83" t="str">
        <f aca="false">IF(D736="","",IFERROR(INDEX(식자재단가!$M$4:$M$203,MATCH(D736,식자재단가!$C$4:$C$203,0)),"과세"))</f>
        <v/>
      </c>
      <c r="K736" s="28" t="str">
        <f aca="false">IF(I736="","",IF(J736="과세",ROUND(I736*0.1,0),0))</f>
        <v/>
      </c>
      <c r="L736" s="28" t="str">
        <f aca="false">IF(I736="","",I736+K736)</f>
        <v/>
      </c>
      <c r="M736" s="10"/>
      <c r="N736" s="80"/>
      <c r="O736" s="80"/>
      <c r="P736" s="59" t="str">
        <f aca="false">IF(E736="","",IFERROR(INDEX(기본설정!$H$4:$H$14,MATCH(E736,기본설정!$G$4:$G$14,0)),""))</f>
        <v/>
      </c>
    </row>
    <row r="737" customFormat="false" ht="15" hidden="false" customHeight="false" outlineLevel="0" collapsed="false">
      <c r="A737" s="73"/>
      <c r="B737" s="10"/>
      <c r="C737" s="80"/>
      <c r="D737" s="80"/>
      <c r="E737" s="81" t="str">
        <f aca="false">IF(D737="","",IFERROR(INDEX(식자재단가!$B$4:$B$203,MATCH(D737,식자재단가!$C$4:$C$203,0)),""))</f>
        <v/>
      </c>
      <c r="F737" s="76"/>
      <c r="G737" s="59" t="str">
        <f aca="false">IF(D737="","",IFERROR(INDEX(식자재단가!$F$4:$F$203,MATCH(D737,식자재단가!$C$4:$C$203,0)),""))</f>
        <v/>
      </c>
      <c r="H737" s="50"/>
      <c r="I737" s="82" t="str">
        <f aca="false">IF(OR(F737="",H737=""),"",F737*H737)</f>
        <v/>
      </c>
      <c r="J737" s="83" t="str">
        <f aca="false">IF(D737="","",IFERROR(INDEX(식자재단가!$M$4:$M$203,MATCH(D737,식자재단가!$C$4:$C$203,0)),"과세"))</f>
        <v/>
      </c>
      <c r="K737" s="28" t="str">
        <f aca="false">IF(I737="","",IF(J737="과세",ROUND(I737*0.1,0),0))</f>
        <v/>
      </c>
      <c r="L737" s="28" t="str">
        <f aca="false">IF(I737="","",I737+K737)</f>
        <v/>
      </c>
      <c r="M737" s="10"/>
      <c r="N737" s="80"/>
      <c r="O737" s="80"/>
      <c r="P737" s="59" t="str">
        <f aca="false">IF(E737="","",IFERROR(INDEX(기본설정!$H$4:$H$14,MATCH(E737,기본설정!$G$4:$G$14,0)),""))</f>
        <v/>
      </c>
    </row>
    <row r="738" customFormat="false" ht="15" hidden="false" customHeight="false" outlineLevel="0" collapsed="false">
      <c r="A738" s="73"/>
      <c r="B738" s="10"/>
      <c r="C738" s="80"/>
      <c r="D738" s="80"/>
      <c r="E738" s="81" t="str">
        <f aca="false">IF(D738="","",IFERROR(INDEX(식자재단가!$B$4:$B$203,MATCH(D738,식자재단가!$C$4:$C$203,0)),""))</f>
        <v/>
      </c>
      <c r="F738" s="76"/>
      <c r="G738" s="59" t="str">
        <f aca="false">IF(D738="","",IFERROR(INDEX(식자재단가!$F$4:$F$203,MATCH(D738,식자재단가!$C$4:$C$203,0)),""))</f>
        <v/>
      </c>
      <c r="H738" s="50"/>
      <c r="I738" s="82" t="str">
        <f aca="false">IF(OR(F738="",H738=""),"",F738*H738)</f>
        <v/>
      </c>
      <c r="J738" s="83" t="str">
        <f aca="false">IF(D738="","",IFERROR(INDEX(식자재단가!$M$4:$M$203,MATCH(D738,식자재단가!$C$4:$C$203,0)),"과세"))</f>
        <v/>
      </c>
      <c r="K738" s="28" t="str">
        <f aca="false">IF(I738="","",IF(J738="과세",ROUND(I738*0.1,0),0))</f>
        <v/>
      </c>
      <c r="L738" s="28" t="str">
        <f aca="false">IF(I738="","",I738+K738)</f>
        <v/>
      </c>
      <c r="M738" s="10"/>
      <c r="N738" s="80"/>
      <c r="O738" s="80"/>
      <c r="P738" s="59" t="str">
        <f aca="false">IF(E738="","",IFERROR(INDEX(기본설정!$H$4:$H$14,MATCH(E738,기본설정!$G$4:$G$14,0)),""))</f>
        <v/>
      </c>
    </row>
    <row r="739" customFormat="false" ht="15" hidden="false" customHeight="false" outlineLevel="0" collapsed="false">
      <c r="A739" s="73"/>
      <c r="B739" s="10"/>
      <c r="C739" s="80"/>
      <c r="D739" s="80"/>
      <c r="E739" s="81" t="str">
        <f aca="false">IF(D739="","",IFERROR(INDEX(식자재단가!$B$4:$B$203,MATCH(D739,식자재단가!$C$4:$C$203,0)),""))</f>
        <v/>
      </c>
      <c r="F739" s="76"/>
      <c r="G739" s="59" t="str">
        <f aca="false">IF(D739="","",IFERROR(INDEX(식자재단가!$F$4:$F$203,MATCH(D739,식자재단가!$C$4:$C$203,0)),""))</f>
        <v/>
      </c>
      <c r="H739" s="50"/>
      <c r="I739" s="82" t="str">
        <f aca="false">IF(OR(F739="",H739=""),"",F739*H739)</f>
        <v/>
      </c>
      <c r="J739" s="83" t="str">
        <f aca="false">IF(D739="","",IFERROR(INDEX(식자재단가!$M$4:$M$203,MATCH(D739,식자재단가!$C$4:$C$203,0)),"과세"))</f>
        <v/>
      </c>
      <c r="K739" s="28" t="str">
        <f aca="false">IF(I739="","",IF(J739="과세",ROUND(I739*0.1,0),0))</f>
        <v/>
      </c>
      <c r="L739" s="28" t="str">
        <f aca="false">IF(I739="","",I739+K739)</f>
        <v/>
      </c>
      <c r="M739" s="10"/>
      <c r="N739" s="80"/>
      <c r="O739" s="80"/>
      <c r="P739" s="59" t="str">
        <f aca="false">IF(E739="","",IFERROR(INDEX(기본설정!$H$4:$H$14,MATCH(E739,기본설정!$G$4:$G$14,0)),""))</f>
        <v/>
      </c>
    </row>
    <row r="740" customFormat="false" ht="15" hidden="false" customHeight="false" outlineLevel="0" collapsed="false">
      <c r="A740" s="73"/>
      <c r="B740" s="10"/>
      <c r="C740" s="80"/>
      <c r="D740" s="80"/>
      <c r="E740" s="81" t="str">
        <f aca="false">IF(D740="","",IFERROR(INDEX(식자재단가!$B$4:$B$203,MATCH(D740,식자재단가!$C$4:$C$203,0)),""))</f>
        <v/>
      </c>
      <c r="F740" s="76"/>
      <c r="G740" s="59" t="str">
        <f aca="false">IF(D740="","",IFERROR(INDEX(식자재단가!$F$4:$F$203,MATCH(D740,식자재단가!$C$4:$C$203,0)),""))</f>
        <v/>
      </c>
      <c r="H740" s="50"/>
      <c r="I740" s="82" t="str">
        <f aca="false">IF(OR(F740="",H740=""),"",F740*H740)</f>
        <v/>
      </c>
      <c r="J740" s="83" t="str">
        <f aca="false">IF(D740="","",IFERROR(INDEX(식자재단가!$M$4:$M$203,MATCH(D740,식자재단가!$C$4:$C$203,0)),"과세"))</f>
        <v/>
      </c>
      <c r="K740" s="28" t="str">
        <f aca="false">IF(I740="","",IF(J740="과세",ROUND(I740*0.1,0),0))</f>
        <v/>
      </c>
      <c r="L740" s="28" t="str">
        <f aca="false">IF(I740="","",I740+K740)</f>
        <v/>
      </c>
      <c r="M740" s="10"/>
      <c r="N740" s="80"/>
      <c r="O740" s="80"/>
      <c r="P740" s="59" t="str">
        <f aca="false">IF(E740="","",IFERROR(INDEX(기본설정!$H$4:$H$14,MATCH(E740,기본설정!$G$4:$G$14,0)),""))</f>
        <v/>
      </c>
    </row>
    <row r="741" customFormat="false" ht="15" hidden="false" customHeight="false" outlineLevel="0" collapsed="false">
      <c r="A741" s="73"/>
      <c r="B741" s="10"/>
      <c r="C741" s="80"/>
      <c r="D741" s="80"/>
      <c r="E741" s="81" t="str">
        <f aca="false">IF(D741="","",IFERROR(INDEX(식자재단가!$B$4:$B$203,MATCH(D741,식자재단가!$C$4:$C$203,0)),""))</f>
        <v/>
      </c>
      <c r="F741" s="76"/>
      <c r="G741" s="59" t="str">
        <f aca="false">IF(D741="","",IFERROR(INDEX(식자재단가!$F$4:$F$203,MATCH(D741,식자재단가!$C$4:$C$203,0)),""))</f>
        <v/>
      </c>
      <c r="H741" s="50"/>
      <c r="I741" s="82" t="str">
        <f aca="false">IF(OR(F741="",H741=""),"",F741*H741)</f>
        <v/>
      </c>
      <c r="J741" s="83" t="str">
        <f aca="false">IF(D741="","",IFERROR(INDEX(식자재단가!$M$4:$M$203,MATCH(D741,식자재단가!$C$4:$C$203,0)),"과세"))</f>
        <v/>
      </c>
      <c r="K741" s="28" t="str">
        <f aca="false">IF(I741="","",IF(J741="과세",ROUND(I741*0.1,0),0))</f>
        <v/>
      </c>
      <c r="L741" s="28" t="str">
        <f aca="false">IF(I741="","",I741+K741)</f>
        <v/>
      </c>
      <c r="M741" s="10"/>
      <c r="N741" s="80"/>
      <c r="O741" s="80"/>
      <c r="P741" s="59" t="str">
        <f aca="false">IF(E741="","",IFERROR(INDEX(기본설정!$H$4:$H$14,MATCH(E741,기본설정!$G$4:$G$14,0)),""))</f>
        <v/>
      </c>
    </row>
    <row r="742" customFormat="false" ht="15" hidden="false" customHeight="false" outlineLevel="0" collapsed="false">
      <c r="A742" s="73"/>
      <c r="B742" s="10"/>
      <c r="C742" s="80"/>
      <c r="D742" s="80"/>
      <c r="E742" s="81" t="str">
        <f aca="false">IF(D742="","",IFERROR(INDEX(식자재단가!$B$4:$B$203,MATCH(D742,식자재단가!$C$4:$C$203,0)),""))</f>
        <v/>
      </c>
      <c r="F742" s="76"/>
      <c r="G742" s="59" t="str">
        <f aca="false">IF(D742="","",IFERROR(INDEX(식자재단가!$F$4:$F$203,MATCH(D742,식자재단가!$C$4:$C$203,0)),""))</f>
        <v/>
      </c>
      <c r="H742" s="50"/>
      <c r="I742" s="82" t="str">
        <f aca="false">IF(OR(F742="",H742=""),"",F742*H742)</f>
        <v/>
      </c>
      <c r="J742" s="83" t="str">
        <f aca="false">IF(D742="","",IFERROR(INDEX(식자재단가!$M$4:$M$203,MATCH(D742,식자재단가!$C$4:$C$203,0)),"과세"))</f>
        <v/>
      </c>
      <c r="K742" s="28" t="str">
        <f aca="false">IF(I742="","",IF(J742="과세",ROUND(I742*0.1,0),0))</f>
        <v/>
      </c>
      <c r="L742" s="28" t="str">
        <f aca="false">IF(I742="","",I742+K742)</f>
        <v/>
      </c>
      <c r="M742" s="10"/>
      <c r="N742" s="80"/>
      <c r="O742" s="80"/>
      <c r="P742" s="59" t="str">
        <f aca="false">IF(E742="","",IFERROR(INDEX(기본설정!$H$4:$H$14,MATCH(E742,기본설정!$G$4:$G$14,0)),""))</f>
        <v/>
      </c>
    </row>
    <row r="743" customFormat="false" ht="15" hidden="false" customHeight="false" outlineLevel="0" collapsed="false">
      <c r="A743" s="73"/>
      <c r="B743" s="10"/>
      <c r="C743" s="80"/>
      <c r="D743" s="80"/>
      <c r="E743" s="81" t="str">
        <f aca="false">IF(D743="","",IFERROR(INDEX(식자재단가!$B$4:$B$203,MATCH(D743,식자재단가!$C$4:$C$203,0)),""))</f>
        <v/>
      </c>
      <c r="F743" s="76"/>
      <c r="G743" s="59" t="str">
        <f aca="false">IF(D743="","",IFERROR(INDEX(식자재단가!$F$4:$F$203,MATCH(D743,식자재단가!$C$4:$C$203,0)),""))</f>
        <v/>
      </c>
      <c r="H743" s="50"/>
      <c r="I743" s="82" t="str">
        <f aca="false">IF(OR(F743="",H743=""),"",F743*H743)</f>
        <v/>
      </c>
      <c r="J743" s="83" t="str">
        <f aca="false">IF(D743="","",IFERROR(INDEX(식자재단가!$M$4:$M$203,MATCH(D743,식자재단가!$C$4:$C$203,0)),"과세"))</f>
        <v/>
      </c>
      <c r="K743" s="28" t="str">
        <f aca="false">IF(I743="","",IF(J743="과세",ROUND(I743*0.1,0),0))</f>
        <v/>
      </c>
      <c r="L743" s="28" t="str">
        <f aca="false">IF(I743="","",I743+K743)</f>
        <v/>
      </c>
      <c r="M743" s="10"/>
      <c r="N743" s="80"/>
      <c r="O743" s="80"/>
      <c r="P743" s="59" t="str">
        <f aca="false">IF(E743="","",IFERROR(INDEX(기본설정!$H$4:$H$14,MATCH(E743,기본설정!$G$4:$G$14,0)),""))</f>
        <v/>
      </c>
    </row>
    <row r="744" customFormat="false" ht="15" hidden="false" customHeight="false" outlineLevel="0" collapsed="false">
      <c r="A744" s="73"/>
      <c r="B744" s="10"/>
      <c r="C744" s="80"/>
      <c r="D744" s="80"/>
      <c r="E744" s="81" t="str">
        <f aca="false">IF(D744="","",IFERROR(INDEX(식자재단가!$B$4:$B$203,MATCH(D744,식자재단가!$C$4:$C$203,0)),""))</f>
        <v/>
      </c>
      <c r="F744" s="76"/>
      <c r="G744" s="59" t="str">
        <f aca="false">IF(D744="","",IFERROR(INDEX(식자재단가!$F$4:$F$203,MATCH(D744,식자재단가!$C$4:$C$203,0)),""))</f>
        <v/>
      </c>
      <c r="H744" s="50"/>
      <c r="I744" s="82" t="str">
        <f aca="false">IF(OR(F744="",H744=""),"",F744*H744)</f>
        <v/>
      </c>
      <c r="J744" s="83" t="str">
        <f aca="false">IF(D744="","",IFERROR(INDEX(식자재단가!$M$4:$M$203,MATCH(D744,식자재단가!$C$4:$C$203,0)),"과세"))</f>
        <v/>
      </c>
      <c r="K744" s="28" t="str">
        <f aca="false">IF(I744="","",IF(J744="과세",ROUND(I744*0.1,0),0))</f>
        <v/>
      </c>
      <c r="L744" s="28" t="str">
        <f aca="false">IF(I744="","",I744+K744)</f>
        <v/>
      </c>
      <c r="M744" s="10"/>
      <c r="N744" s="80"/>
      <c r="O744" s="80"/>
      <c r="P744" s="59" t="str">
        <f aca="false">IF(E744="","",IFERROR(INDEX(기본설정!$H$4:$H$14,MATCH(E744,기본설정!$G$4:$G$14,0)),""))</f>
        <v/>
      </c>
    </row>
    <row r="745" customFormat="false" ht="15" hidden="false" customHeight="false" outlineLevel="0" collapsed="false">
      <c r="A745" s="73"/>
      <c r="B745" s="10"/>
      <c r="C745" s="80"/>
      <c r="D745" s="80"/>
      <c r="E745" s="81" t="str">
        <f aca="false">IF(D745="","",IFERROR(INDEX(식자재단가!$B$4:$B$203,MATCH(D745,식자재단가!$C$4:$C$203,0)),""))</f>
        <v/>
      </c>
      <c r="F745" s="76"/>
      <c r="G745" s="59" t="str">
        <f aca="false">IF(D745="","",IFERROR(INDEX(식자재단가!$F$4:$F$203,MATCH(D745,식자재단가!$C$4:$C$203,0)),""))</f>
        <v/>
      </c>
      <c r="H745" s="50"/>
      <c r="I745" s="82" t="str">
        <f aca="false">IF(OR(F745="",H745=""),"",F745*H745)</f>
        <v/>
      </c>
      <c r="J745" s="83" t="str">
        <f aca="false">IF(D745="","",IFERROR(INDEX(식자재단가!$M$4:$M$203,MATCH(D745,식자재단가!$C$4:$C$203,0)),"과세"))</f>
        <v/>
      </c>
      <c r="K745" s="28" t="str">
        <f aca="false">IF(I745="","",IF(J745="과세",ROUND(I745*0.1,0),0))</f>
        <v/>
      </c>
      <c r="L745" s="28" t="str">
        <f aca="false">IF(I745="","",I745+K745)</f>
        <v/>
      </c>
      <c r="M745" s="10"/>
      <c r="N745" s="80"/>
      <c r="O745" s="80"/>
      <c r="P745" s="59" t="str">
        <f aca="false">IF(E745="","",IFERROR(INDEX(기본설정!$H$4:$H$14,MATCH(E745,기본설정!$G$4:$G$14,0)),""))</f>
        <v/>
      </c>
    </row>
    <row r="746" customFormat="false" ht="15" hidden="false" customHeight="false" outlineLevel="0" collapsed="false">
      <c r="A746" s="73"/>
      <c r="B746" s="10"/>
      <c r="C746" s="80"/>
      <c r="D746" s="80"/>
      <c r="E746" s="81" t="str">
        <f aca="false">IF(D746="","",IFERROR(INDEX(식자재단가!$B$4:$B$203,MATCH(D746,식자재단가!$C$4:$C$203,0)),""))</f>
        <v/>
      </c>
      <c r="F746" s="76"/>
      <c r="G746" s="59" t="str">
        <f aca="false">IF(D746="","",IFERROR(INDEX(식자재단가!$F$4:$F$203,MATCH(D746,식자재단가!$C$4:$C$203,0)),""))</f>
        <v/>
      </c>
      <c r="H746" s="50"/>
      <c r="I746" s="82" t="str">
        <f aca="false">IF(OR(F746="",H746=""),"",F746*H746)</f>
        <v/>
      </c>
      <c r="J746" s="83" t="str">
        <f aca="false">IF(D746="","",IFERROR(INDEX(식자재단가!$M$4:$M$203,MATCH(D746,식자재단가!$C$4:$C$203,0)),"과세"))</f>
        <v/>
      </c>
      <c r="K746" s="28" t="str">
        <f aca="false">IF(I746="","",IF(J746="과세",ROUND(I746*0.1,0),0))</f>
        <v/>
      </c>
      <c r="L746" s="28" t="str">
        <f aca="false">IF(I746="","",I746+K746)</f>
        <v/>
      </c>
      <c r="M746" s="10"/>
      <c r="N746" s="80"/>
      <c r="O746" s="80"/>
      <c r="P746" s="59" t="str">
        <f aca="false">IF(E746="","",IFERROR(INDEX(기본설정!$H$4:$H$14,MATCH(E746,기본설정!$G$4:$G$14,0)),""))</f>
        <v/>
      </c>
    </row>
    <row r="747" customFormat="false" ht="15" hidden="false" customHeight="false" outlineLevel="0" collapsed="false">
      <c r="A747" s="73"/>
      <c r="B747" s="10"/>
      <c r="C747" s="80"/>
      <c r="D747" s="80"/>
      <c r="E747" s="81" t="str">
        <f aca="false">IF(D747="","",IFERROR(INDEX(식자재단가!$B$4:$B$203,MATCH(D747,식자재단가!$C$4:$C$203,0)),""))</f>
        <v/>
      </c>
      <c r="F747" s="76"/>
      <c r="G747" s="59" t="str">
        <f aca="false">IF(D747="","",IFERROR(INDEX(식자재단가!$F$4:$F$203,MATCH(D747,식자재단가!$C$4:$C$203,0)),""))</f>
        <v/>
      </c>
      <c r="H747" s="50"/>
      <c r="I747" s="82" t="str">
        <f aca="false">IF(OR(F747="",H747=""),"",F747*H747)</f>
        <v/>
      </c>
      <c r="J747" s="83" t="str">
        <f aca="false">IF(D747="","",IFERROR(INDEX(식자재단가!$M$4:$M$203,MATCH(D747,식자재단가!$C$4:$C$203,0)),"과세"))</f>
        <v/>
      </c>
      <c r="K747" s="28" t="str">
        <f aca="false">IF(I747="","",IF(J747="과세",ROUND(I747*0.1,0),0))</f>
        <v/>
      </c>
      <c r="L747" s="28" t="str">
        <f aca="false">IF(I747="","",I747+K747)</f>
        <v/>
      </c>
      <c r="M747" s="10"/>
      <c r="N747" s="80"/>
      <c r="O747" s="80"/>
      <c r="P747" s="59" t="str">
        <f aca="false">IF(E747="","",IFERROR(INDEX(기본설정!$H$4:$H$14,MATCH(E747,기본설정!$G$4:$G$14,0)),""))</f>
        <v/>
      </c>
    </row>
    <row r="748" customFormat="false" ht="15" hidden="false" customHeight="false" outlineLevel="0" collapsed="false">
      <c r="A748" s="73"/>
      <c r="B748" s="10"/>
      <c r="C748" s="80"/>
      <c r="D748" s="80"/>
      <c r="E748" s="81" t="str">
        <f aca="false">IF(D748="","",IFERROR(INDEX(식자재단가!$B$4:$B$203,MATCH(D748,식자재단가!$C$4:$C$203,0)),""))</f>
        <v/>
      </c>
      <c r="F748" s="76"/>
      <c r="G748" s="59" t="str">
        <f aca="false">IF(D748="","",IFERROR(INDEX(식자재단가!$F$4:$F$203,MATCH(D748,식자재단가!$C$4:$C$203,0)),""))</f>
        <v/>
      </c>
      <c r="H748" s="50"/>
      <c r="I748" s="82" t="str">
        <f aca="false">IF(OR(F748="",H748=""),"",F748*H748)</f>
        <v/>
      </c>
      <c r="J748" s="83" t="str">
        <f aca="false">IF(D748="","",IFERROR(INDEX(식자재단가!$M$4:$M$203,MATCH(D748,식자재단가!$C$4:$C$203,0)),"과세"))</f>
        <v/>
      </c>
      <c r="K748" s="28" t="str">
        <f aca="false">IF(I748="","",IF(J748="과세",ROUND(I748*0.1,0),0))</f>
        <v/>
      </c>
      <c r="L748" s="28" t="str">
        <f aca="false">IF(I748="","",I748+K748)</f>
        <v/>
      </c>
      <c r="M748" s="10"/>
      <c r="N748" s="80"/>
      <c r="O748" s="80"/>
      <c r="P748" s="59" t="str">
        <f aca="false">IF(E748="","",IFERROR(INDEX(기본설정!$H$4:$H$14,MATCH(E748,기본설정!$G$4:$G$14,0)),""))</f>
        <v/>
      </c>
    </row>
    <row r="749" customFormat="false" ht="15" hidden="false" customHeight="false" outlineLevel="0" collapsed="false">
      <c r="A749" s="73"/>
      <c r="B749" s="10"/>
      <c r="C749" s="80"/>
      <c r="D749" s="80"/>
      <c r="E749" s="81" t="str">
        <f aca="false">IF(D749="","",IFERROR(INDEX(식자재단가!$B$4:$B$203,MATCH(D749,식자재단가!$C$4:$C$203,0)),""))</f>
        <v/>
      </c>
      <c r="F749" s="76"/>
      <c r="G749" s="59" t="str">
        <f aca="false">IF(D749="","",IFERROR(INDEX(식자재단가!$F$4:$F$203,MATCH(D749,식자재단가!$C$4:$C$203,0)),""))</f>
        <v/>
      </c>
      <c r="H749" s="50"/>
      <c r="I749" s="82" t="str">
        <f aca="false">IF(OR(F749="",H749=""),"",F749*H749)</f>
        <v/>
      </c>
      <c r="J749" s="83" t="str">
        <f aca="false">IF(D749="","",IFERROR(INDEX(식자재단가!$M$4:$M$203,MATCH(D749,식자재단가!$C$4:$C$203,0)),"과세"))</f>
        <v/>
      </c>
      <c r="K749" s="28" t="str">
        <f aca="false">IF(I749="","",IF(J749="과세",ROUND(I749*0.1,0),0))</f>
        <v/>
      </c>
      <c r="L749" s="28" t="str">
        <f aca="false">IF(I749="","",I749+K749)</f>
        <v/>
      </c>
      <c r="M749" s="10"/>
      <c r="N749" s="80"/>
      <c r="O749" s="80"/>
      <c r="P749" s="59" t="str">
        <f aca="false">IF(E749="","",IFERROR(INDEX(기본설정!$H$4:$H$14,MATCH(E749,기본설정!$G$4:$G$14,0)),""))</f>
        <v/>
      </c>
    </row>
    <row r="750" customFormat="false" ht="15" hidden="false" customHeight="false" outlineLevel="0" collapsed="false">
      <c r="A750" s="73"/>
      <c r="B750" s="10"/>
      <c r="C750" s="80"/>
      <c r="D750" s="80"/>
      <c r="E750" s="81" t="str">
        <f aca="false">IF(D750="","",IFERROR(INDEX(식자재단가!$B$4:$B$203,MATCH(D750,식자재단가!$C$4:$C$203,0)),""))</f>
        <v/>
      </c>
      <c r="F750" s="76"/>
      <c r="G750" s="59" t="str">
        <f aca="false">IF(D750="","",IFERROR(INDEX(식자재단가!$F$4:$F$203,MATCH(D750,식자재단가!$C$4:$C$203,0)),""))</f>
        <v/>
      </c>
      <c r="H750" s="50"/>
      <c r="I750" s="82" t="str">
        <f aca="false">IF(OR(F750="",H750=""),"",F750*H750)</f>
        <v/>
      </c>
      <c r="J750" s="83" t="str">
        <f aca="false">IF(D750="","",IFERROR(INDEX(식자재단가!$M$4:$M$203,MATCH(D750,식자재단가!$C$4:$C$203,0)),"과세"))</f>
        <v/>
      </c>
      <c r="K750" s="28" t="str">
        <f aca="false">IF(I750="","",IF(J750="과세",ROUND(I750*0.1,0),0))</f>
        <v/>
      </c>
      <c r="L750" s="28" t="str">
        <f aca="false">IF(I750="","",I750+K750)</f>
        <v/>
      </c>
      <c r="M750" s="10"/>
      <c r="N750" s="80"/>
      <c r="O750" s="80"/>
      <c r="P750" s="59" t="str">
        <f aca="false">IF(E750="","",IFERROR(INDEX(기본설정!$H$4:$H$14,MATCH(E750,기본설정!$G$4:$G$14,0)),""))</f>
        <v/>
      </c>
    </row>
    <row r="751" customFormat="false" ht="15" hidden="false" customHeight="false" outlineLevel="0" collapsed="false">
      <c r="A751" s="73"/>
      <c r="B751" s="10"/>
      <c r="C751" s="80"/>
      <c r="D751" s="80"/>
      <c r="E751" s="81" t="str">
        <f aca="false">IF(D751="","",IFERROR(INDEX(식자재단가!$B$4:$B$203,MATCH(D751,식자재단가!$C$4:$C$203,0)),""))</f>
        <v/>
      </c>
      <c r="F751" s="76"/>
      <c r="G751" s="59" t="str">
        <f aca="false">IF(D751="","",IFERROR(INDEX(식자재단가!$F$4:$F$203,MATCH(D751,식자재단가!$C$4:$C$203,0)),""))</f>
        <v/>
      </c>
      <c r="H751" s="50"/>
      <c r="I751" s="82" t="str">
        <f aca="false">IF(OR(F751="",H751=""),"",F751*H751)</f>
        <v/>
      </c>
      <c r="J751" s="83" t="str">
        <f aca="false">IF(D751="","",IFERROR(INDEX(식자재단가!$M$4:$M$203,MATCH(D751,식자재단가!$C$4:$C$203,0)),"과세"))</f>
        <v/>
      </c>
      <c r="K751" s="28" t="str">
        <f aca="false">IF(I751="","",IF(J751="과세",ROUND(I751*0.1,0),0))</f>
        <v/>
      </c>
      <c r="L751" s="28" t="str">
        <f aca="false">IF(I751="","",I751+K751)</f>
        <v/>
      </c>
      <c r="M751" s="10"/>
      <c r="N751" s="80"/>
      <c r="O751" s="80"/>
      <c r="P751" s="59" t="str">
        <f aca="false">IF(E751="","",IFERROR(INDEX(기본설정!$H$4:$H$14,MATCH(E751,기본설정!$G$4:$G$14,0)),""))</f>
        <v/>
      </c>
    </row>
    <row r="752" customFormat="false" ht="15" hidden="false" customHeight="false" outlineLevel="0" collapsed="false">
      <c r="A752" s="73"/>
      <c r="B752" s="10"/>
      <c r="C752" s="80"/>
      <c r="D752" s="80"/>
      <c r="E752" s="81" t="str">
        <f aca="false">IF(D752="","",IFERROR(INDEX(식자재단가!$B$4:$B$203,MATCH(D752,식자재단가!$C$4:$C$203,0)),""))</f>
        <v/>
      </c>
      <c r="F752" s="76"/>
      <c r="G752" s="59" t="str">
        <f aca="false">IF(D752="","",IFERROR(INDEX(식자재단가!$F$4:$F$203,MATCH(D752,식자재단가!$C$4:$C$203,0)),""))</f>
        <v/>
      </c>
      <c r="H752" s="50"/>
      <c r="I752" s="82" t="str">
        <f aca="false">IF(OR(F752="",H752=""),"",F752*H752)</f>
        <v/>
      </c>
      <c r="J752" s="83" t="str">
        <f aca="false">IF(D752="","",IFERROR(INDEX(식자재단가!$M$4:$M$203,MATCH(D752,식자재단가!$C$4:$C$203,0)),"과세"))</f>
        <v/>
      </c>
      <c r="K752" s="28" t="str">
        <f aca="false">IF(I752="","",IF(J752="과세",ROUND(I752*0.1,0),0))</f>
        <v/>
      </c>
      <c r="L752" s="28" t="str">
        <f aca="false">IF(I752="","",I752+K752)</f>
        <v/>
      </c>
      <c r="M752" s="10"/>
      <c r="N752" s="80"/>
      <c r="O752" s="80"/>
      <c r="P752" s="59" t="str">
        <f aca="false">IF(E752="","",IFERROR(INDEX(기본설정!$H$4:$H$14,MATCH(E752,기본설정!$G$4:$G$14,0)),""))</f>
        <v/>
      </c>
    </row>
    <row r="753" customFormat="false" ht="15" hidden="false" customHeight="false" outlineLevel="0" collapsed="false">
      <c r="A753" s="73"/>
      <c r="B753" s="10"/>
      <c r="C753" s="80"/>
      <c r="D753" s="80"/>
      <c r="E753" s="81" t="str">
        <f aca="false">IF(D753="","",IFERROR(INDEX(식자재단가!$B$4:$B$203,MATCH(D753,식자재단가!$C$4:$C$203,0)),""))</f>
        <v/>
      </c>
      <c r="F753" s="76"/>
      <c r="G753" s="59" t="str">
        <f aca="false">IF(D753="","",IFERROR(INDEX(식자재단가!$F$4:$F$203,MATCH(D753,식자재단가!$C$4:$C$203,0)),""))</f>
        <v/>
      </c>
      <c r="H753" s="50"/>
      <c r="I753" s="82" t="str">
        <f aca="false">IF(OR(F753="",H753=""),"",F753*H753)</f>
        <v/>
      </c>
      <c r="J753" s="83" t="str">
        <f aca="false">IF(D753="","",IFERROR(INDEX(식자재단가!$M$4:$M$203,MATCH(D753,식자재단가!$C$4:$C$203,0)),"과세"))</f>
        <v/>
      </c>
      <c r="K753" s="28" t="str">
        <f aca="false">IF(I753="","",IF(J753="과세",ROUND(I753*0.1,0),0))</f>
        <v/>
      </c>
      <c r="L753" s="28" t="str">
        <f aca="false">IF(I753="","",I753+K753)</f>
        <v/>
      </c>
      <c r="M753" s="10"/>
      <c r="N753" s="80"/>
      <c r="O753" s="80"/>
      <c r="P753" s="59" t="str">
        <f aca="false">IF(E753="","",IFERROR(INDEX(기본설정!$H$4:$H$14,MATCH(E753,기본설정!$G$4:$G$14,0)),""))</f>
        <v/>
      </c>
    </row>
    <row r="754" customFormat="false" ht="15" hidden="false" customHeight="false" outlineLevel="0" collapsed="false">
      <c r="A754" s="73"/>
      <c r="B754" s="10"/>
      <c r="C754" s="80"/>
      <c r="D754" s="80"/>
      <c r="E754" s="81" t="str">
        <f aca="false">IF(D754="","",IFERROR(INDEX(식자재단가!$B$4:$B$203,MATCH(D754,식자재단가!$C$4:$C$203,0)),""))</f>
        <v/>
      </c>
      <c r="F754" s="76"/>
      <c r="G754" s="59" t="str">
        <f aca="false">IF(D754="","",IFERROR(INDEX(식자재단가!$F$4:$F$203,MATCH(D754,식자재단가!$C$4:$C$203,0)),""))</f>
        <v/>
      </c>
      <c r="H754" s="50"/>
      <c r="I754" s="82" t="str">
        <f aca="false">IF(OR(F754="",H754=""),"",F754*H754)</f>
        <v/>
      </c>
      <c r="J754" s="83" t="str">
        <f aca="false">IF(D754="","",IFERROR(INDEX(식자재단가!$M$4:$M$203,MATCH(D754,식자재단가!$C$4:$C$203,0)),"과세"))</f>
        <v/>
      </c>
      <c r="K754" s="28" t="str">
        <f aca="false">IF(I754="","",IF(J754="과세",ROUND(I754*0.1,0),0))</f>
        <v/>
      </c>
      <c r="L754" s="28" t="str">
        <f aca="false">IF(I754="","",I754+K754)</f>
        <v/>
      </c>
      <c r="M754" s="10"/>
      <c r="N754" s="80"/>
      <c r="O754" s="80"/>
      <c r="P754" s="59" t="str">
        <f aca="false">IF(E754="","",IFERROR(INDEX(기본설정!$H$4:$H$14,MATCH(E754,기본설정!$G$4:$G$14,0)),""))</f>
        <v/>
      </c>
    </row>
    <row r="755" customFormat="false" ht="15" hidden="false" customHeight="false" outlineLevel="0" collapsed="false">
      <c r="A755" s="73"/>
      <c r="B755" s="10"/>
      <c r="C755" s="80"/>
      <c r="D755" s="80"/>
      <c r="E755" s="81" t="str">
        <f aca="false">IF(D755="","",IFERROR(INDEX(식자재단가!$B$4:$B$203,MATCH(D755,식자재단가!$C$4:$C$203,0)),""))</f>
        <v/>
      </c>
      <c r="F755" s="76"/>
      <c r="G755" s="59" t="str">
        <f aca="false">IF(D755="","",IFERROR(INDEX(식자재단가!$F$4:$F$203,MATCH(D755,식자재단가!$C$4:$C$203,0)),""))</f>
        <v/>
      </c>
      <c r="H755" s="50"/>
      <c r="I755" s="82" t="str">
        <f aca="false">IF(OR(F755="",H755=""),"",F755*H755)</f>
        <v/>
      </c>
      <c r="J755" s="83" t="str">
        <f aca="false">IF(D755="","",IFERROR(INDEX(식자재단가!$M$4:$M$203,MATCH(D755,식자재단가!$C$4:$C$203,0)),"과세"))</f>
        <v/>
      </c>
      <c r="K755" s="28" t="str">
        <f aca="false">IF(I755="","",IF(J755="과세",ROUND(I755*0.1,0),0))</f>
        <v/>
      </c>
      <c r="L755" s="28" t="str">
        <f aca="false">IF(I755="","",I755+K755)</f>
        <v/>
      </c>
      <c r="M755" s="10"/>
      <c r="N755" s="80"/>
      <c r="O755" s="80"/>
      <c r="P755" s="59" t="str">
        <f aca="false">IF(E755="","",IFERROR(INDEX(기본설정!$H$4:$H$14,MATCH(E755,기본설정!$G$4:$G$14,0)),""))</f>
        <v/>
      </c>
    </row>
    <row r="756" customFormat="false" ht="15" hidden="false" customHeight="false" outlineLevel="0" collapsed="false">
      <c r="A756" s="73"/>
      <c r="B756" s="10"/>
      <c r="C756" s="80"/>
      <c r="D756" s="80"/>
      <c r="E756" s="81" t="str">
        <f aca="false">IF(D756="","",IFERROR(INDEX(식자재단가!$B$4:$B$203,MATCH(D756,식자재단가!$C$4:$C$203,0)),""))</f>
        <v/>
      </c>
      <c r="F756" s="76"/>
      <c r="G756" s="59" t="str">
        <f aca="false">IF(D756="","",IFERROR(INDEX(식자재단가!$F$4:$F$203,MATCH(D756,식자재단가!$C$4:$C$203,0)),""))</f>
        <v/>
      </c>
      <c r="H756" s="50"/>
      <c r="I756" s="82" t="str">
        <f aca="false">IF(OR(F756="",H756=""),"",F756*H756)</f>
        <v/>
      </c>
      <c r="J756" s="83" t="str">
        <f aca="false">IF(D756="","",IFERROR(INDEX(식자재단가!$M$4:$M$203,MATCH(D756,식자재단가!$C$4:$C$203,0)),"과세"))</f>
        <v/>
      </c>
      <c r="K756" s="28" t="str">
        <f aca="false">IF(I756="","",IF(J756="과세",ROUND(I756*0.1,0),0))</f>
        <v/>
      </c>
      <c r="L756" s="28" t="str">
        <f aca="false">IF(I756="","",I756+K756)</f>
        <v/>
      </c>
      <c r="M756" s="10"/>
      <c r="N756" s="80"/>
      <c r="O756" s="80"/>
      <c r="P756" s="59" t="str">
        <f aca="false">IF(E756="","",IFERROR(INDEX(기본설정!$H$4:$H$14,MATCH(E756,기본설정!$G$4:$G$14,0)),""))</f>
        <v/>
      </c>
    </row>
    <row r="757" customFormat="false" ht="15" hidden="false" customHeight="false" outlineLevel="0" collapsed="false">
      <c r="A757" s="73"/>
      <c r="B757" s="10"/>
      <c r="C757" s="80"/>
      <c r="D757" s="80"/>
      <c r="E757" s="81" t="str">
        <f aca="false">IF(D757="","",IFERROR(INDEX(식자재단가!$B$4:$B$203,MATCH(D757,식자재단가!$C$4:$C$203,0)),""))</f>
        <v/>
      </c>
      <c r="F757" s="76"/>
      <c r="G757" s="59" t="str">
        <f aca="false">IF(D757="","",IFERROR(INDEX(식자재단가!$F$4:$F$203,MATCH(D757,식자재단가!$C$4:$C$203,0)),""))</f>
        <v/>
      </c>
      <c r="H757" s="50"/>
      <c r="I757" s="82" t="str">
        <f aca="false">IF(OR(F757="",H757=""),"",F757*H757)</f>
        <v/>
      </c>
      <c r="J757" s="83" t="str">
        <f aca="false">IF(D757="","",IFERROR(INDEX(식자재단가!$M$4:$M$203,MATCH(D757,식자재단가!$C$4:$C$203,0)),"과세"))</f>
        <v/>
      </c>
      <c r="K757" s="28" t="str">
        <f aca="false">IF(I757="","",IF(J757="과세",ROUND(I757*0.1,0),0))</f>
        <v/>
      </c>
      <c r="L757" s="28" t="str">
        <f aca="false">IF(I757="","",I757+K757)</f>
        <v/>
      </c>
      <c r="M757" s="10"/>
      <c r="N757" s="80"/>
      <c r="O757" s="80"/>
      <c r="P757" s="59" t="str">
        <f aca="false">IF(E757="","",IFERROR(INDEX(기본설정!$H$4:$H$14,MATCH(E757,기본설정!$G$4:$G$14,0)),""))</f>
        <v/>
      </c>
    </row>
    <row r="758" customFormat="false" ht="15" hidden="false" customHeight="false" outlineLevel="0" collapsed="false">
      <c r="A758" s="73"/>
      <c r="B758" s="10"/>
      <c r="C758" s="80"/>
      <c r="D758" s="80"/>
      <c r="E758" s="81" t="str">
        <f aca="false">IF(D758="","",IFERROR(INDEX(식자재단가!$B$4:$B$203,MATCH(D758,식자재단가!$C$4:$C$203,0)),""))</f>
        <v/>
      </c>
      <c r="F758" s="76"/>
      <c r="G758" s="59" t="str">
        <f aca="false">IF(D758="","",IFERROR(INDEX(식자재단가!$F$4:$F$203,MATCH(D758,식자재단가!$C$4:$C$203,0)),""))</f>
        <v/>
      </c>
      <c r="H758" s="50"/>
      <c r="I758" s="82" t="str">
        <f aca="false">IF(OR(F758="",H758=""),"",F758*H758)</f>
        <v/>
      </c>
      <c r="J758" s="83" t="str">
        <f aca="false">IF(D758="","",IFERROR(INDEX(식자재단가!$M$4:$M$203,MATCH(D758,식자재단가!$C$4:$C$203,0)),"과세"))</f>
        <v/>
      </c>
      <c r="K758" s="28" t="str">
        <f aca="false">IF(I758="","",IF(J758="과세",ROUND(I758*0.1,0),0))</f>
        <v/>
      </c>
      <c r="L758" s="28" t="str">
        <f aca="false">IF(I758="","",I758+K758)</f>
        <v/>
      </c>
      <c r="M758" s="10"/>
      <c r="N758" s="80"/>
      <c r="O758" s="80"/>
      <c r="P758" s="59" t="str">
        <f aca="false">IF(E758="","",IFERROR(INDEX(기본설정!$H$4:$H$14,MATCH(E758,기본설정!$G$4:$G$14,0)),""))</f>
        <v/>
      </c>
    </row>
    <row r="759" customFormat="false" ht="15" hidden="false" customHeight="false" outlineLevel="0" collapsed="false">
      <c r="A759" s="73"/>
      <c r="B759" s="10"/>
      <c r="C759" s="80"/>
      <c r="D759" s="80"/>
      <c r="E759" s="81" t="str">
        <f aca="false">IF(D759="","",IFERROR(INDEX(식자재단가!$B$4:$B$203,MATCH(D759,식자재단가!$C$4:$C$203,0)),""))</f>
        <v/>
      </c>
      <c r="F759" s="76"/>
      <c r="G759" s="59" t="str">
        <f aca="false">IF(D759="","",IFERROR(INDEX(식자재단가!$F$4:$F$203,MATCH(D759,식자재단가!$C$4:$C$203,0)),""))</f>
        <v/>
      </c>
      <c r="H759" s="50"/>
      <c r="I759" s="82" t="str">
        <f aca="false">IF(OR(F759="",H759=""),"",F759*H759)</f>
        <v/>
      </c>
      <c r="J759" s="83" t="str">
        <f aca="false">IF(D759="","",IFERROR(INDEX(식자재단가!$M$4:$M$203,MATCH(D759,식자재단가!$C$4:$C$203,0)),"과세"))</f>
        <v/>
      </c>
      <c r="K759" s="28" t="str">
        <f aca="false">IF(I759="","",IF(J759="과세",ROUND(I759*0.1,0),0))</f>
        <v/>
      </c>
      <c r="L759" s="28" t="str">
        <f aca="false">IF(I759="","",I759+K759)</f>
        <v/>
      </c>
      <c r="M759" s="10"/>
      <c r="N759" s="80"/>
      <c r="O759" s="80"/>
      <c r="P759" s="59" t="str">
        <f aca="false">IF(E759="","",IFERROR(INDEX(기본설정!$H$4:$H$14,MATCH(E759,기본설정!$G$4:$G$14,0)),""))</f>
        <v/>
      </c>
    </row>
    <row r="760" customFormat="false" ht="15" hidden="false" customHeight="false" outlineLevel="0" collapsed="false">
      <c r="A760" s="73"/>
      <c r="B760" s="10"/>
      <c r="C760" s="80"/>
      <c r="D760" s="80"/>
      <c r="E760" s="81" t="str">
        <f aca="false">IF(D760="","",IFERROR(INDEX(식자재단가!$B$4:$B$203,MATCH(D760,식자재단가!$C$4:$C$203,0)),""))</f>
        <v/>
      </c>
      <c r="F760" s="76"/>
      <c r="G760" s="59" t="str">
        <f aca="false">IF(D760="","",IFERROR(INDEX(식자재단가!$F$4:$F$203,MATCH(D760,식자재단가!$C$4:$C$203,0)),""))</f>
        <v/>
      </c>
      <c r="H760" s="50"/>
      <c r="I760" s="82" t="str">
        <f aca="false">IF(OR(F760="",H760=""),"",F760*H760)</f>
        <v/>
      </c>
      <c r="J760" s="83" t="str">
        <f aca="false">IF(D760="","",IFERROR(INDEX(식자재단가!$M$4:$M$203,MATCH(D760,식자재단가!$C$4:$C$203,0)),"과세"))</f>
        <v/>
      </c>
      <c r="K760" s="28" t="str">
        <f aca="false">IF(I760="","",IF(J760="과세",ROUND(I760*0.1,0),0))</f>
        <v/>
      </c>
      <c r="L760" s="28" t="str">
        <f aca="false">IF(I760="","",I760+K760)</f>
        <v/>
      </c>
      <c r="M760" s="10"/>
      <c r="N760" s="80"/>
      <c r="O760" s="80"/>
      <c r="P760" s="59" t="str">
        <f aca="false">IF(E760="","",IFERROR(INDEX(기본설정!$H$4:$H$14,MATCH(E760,기본설정!$G$4:$G$14,0)),""))</f>
        <v/>
      </c>
    </row>
    <row r="761" customFormat="false" ht="15" hidden="false" customHeight="false" outlineLevel="0" collapsed="false">
      <c r="A761" s="73"/>
      <c r="B761" s="10"/>
      <c r="C761" s="80"/>
      <c r="D761" s="80"/>
      <c r="E761" s="81" t="str">
        <f aca="false">IF(D761="","",IFERROR(INDEX(식자재단가!$B$4:$B$203,MATCH(D761,식자재단가!$C$4:$C$203,0)),""))</f>
        <v/>
      </c>
      <c r="F761" s="76"/>
      <c r="G761" s="59" t="str">
        <f aca="false">IF(D761="","",IFERROR(INDEX(식자재단가!$F$4:$F$203,MATCH(D761,식자재단가!$C$4:$C$203,0)),""))</f>
        <v/>
      </c>
      <c r="H761" s="50"/>
      <c r="I761" s="82" t="str">
        <f aca="false">IF(OR(F761="",H761=""),"",F761*H761)</f>
        <v/>
      </c>
      <c r="J761" s="83" t="str">
        <f aca="false">IF(D761="","",IFERROR(INDEX(식자재단가!$M$4:$M$203,MATCH(D761,식자재단가!$C$4:$C$203,0)),"과세"))</f>
        <v/>
      </c>
      <c r="K761" s="28" t="str">
        <f aca="false">IF(I761="","",IF(J761="과세",ROUND(I761*0.1,0),0))</f>
        <v/>
      </c>
      <c r="L761" s="28" t="str">
        <f aca="false">IF(I761="","",I761+K761)</f>
        <v/>
      </c>
      <c r="M761" s="10"/>
      <c r="N761" s="80"/>
      <c r="O761" s="80"/>
      <c r="P761" s="59" t="str">
        <f aca="false">IF(E761="","",IFERROR(INDEX(기본설정!$H$4:$H$14,MATCH(E761,기본설정!$G$4:$G$14,0)),""))</f>
        <v/>
      </c>
    </row>
    <row r="762" customFormat="false" ht="15" hidden="false" customHeight="false" outlineLevel="0" collapsed="false">
      <c r="A762" s="73"/>
      <c r="B762" s="10"/>
      <c r="C762" s="80"/>
      <c r="D762" s="80"/>
      <c r="E762" s="81" t="str">
        <f aca="false">IF(D762="","",IFERROR(INDEX(식자재단가!$B$4:$B$203,MATCH(D762,식자재단가!$C$4:$C$203,0)),""))</f>
        <v/>
      </c>
      <c r="F762" s="76"/>
      <c r="G762" s="59" t="str">
        <f aca="false">IF(D762="","",IFERROR(INDEX(식자재단가!$F$4:$F$203,MATCH(D762,식자재단가!$C$4:$C$203,0)),""))</f>
        <v/>
      </c>
      <c r="H762" s="50"/>
      <c r="I762" s="82" t="str">
        <f aca="false">IF(OR(F762="",H762=""),"",F762*H762)</f>
        <v/>
      </c>
      <c r="J762" s="83" t="str">
        <f aca="false">IF(D762="","",IFERROR(INDEX(식자재단가!$M$4:$M$203,MATCH(D762,식자재단가!$C$4:$C$203,0)),"과세"))</f>
        <v/>
      </c>
      <c r="K762" s="28" t="str">
        <f aca="false">IF(I762="","",IF(J762="과세",ROUND(I762*0.1,0),0))</f>
        <v/>
      </c>
      <c r="L762" s="28" t="str">
        <f aca="false">IF(I762="","",I762+K762)</f>
        <v/>
      </c>
      <c r="M762" s="10"/>
      <c r="N762" s="80"/>
      <c r="O762" s="80"/>
      <c r="P762" s="59" t="str">
        <f aca="false">IF(E762="","",IFERROR(INDEX(기본설정!$H$4:$H$14,MATCH(E762,기본설정!$G$4:$G$14,0)),""))</f>
        <v/>
      </c>
    </row>
    <row r="763" customFormat="false" ht="15" hidden="false" customHeight="false" outlineLevel="0" collapsed="false">
      <c r="A763" s="73"/>
      <c r="B763" s="10"/>
      <c r="C763" s="80"/>
      <c r="D763" s="80"/>
      <c r="E763" s="81" t="str">
        <f aca="false">IF(D763="","",IFERROR(INDEX(식자재단가!$B$4:$B$203,MATCH(D763,식자재단가!$C$4:$C$203,0)),""))</f>
        <v/>
      </c>
      <c r="F763" s="76"/>
      <c r="G763" s="59" t="str">
        <f aca="false">IF(D763="","",IFERROR(INDEX(식자재단가!$F$4:$F$203,MATCH(D763,식자재단가!$C$4:$C$203,0)),""))</f>
        <v/>
      </c>
      <c r="H763" s="50"/>
      <c r="I763" s="82" t="str">
        <f aca="false">IF(OR(F763="",H763=""),"",F763*H763)</f>
        <v/>
      </c>
      <c r="J763" s="83" t="str">
        <f aca="false">IF(D763="","",IFERROR(INDEX(식자재단가!$M$4:$M$203,MATCH(D763,식자재단가!$C$4:$C$203,0)),"과세"))</f>
        <v/>
      </c>
      <c r="K763" s="28" t="str">
        <f aca="false">IF(I763="","",IF(J763="과세",ROUND(I763*0.1,0),0))</f>
        <v/>
      </c>
      <c r="L763" s="28" t="str">
        <f aca="false">IF(I763="","",I763+K763)</f>
        <v/>
      </c>
      <c r="M763" s="10"/>
      <c r="N763" s="80"/>
      <c r="O763" s="80"/>
      <c r="P763" s="59" t="str">
        <f aca="false">IF(E763="","",IFERROR(INDEX(기본설정!$H$4:$H$14,MATCH(E763,기본설정!$G$4:$G$14,0)),""))</f>
        <v/>
      </c>
    </row>
    <row r="764" customFormat="false" ht="15" hidden="false" customHeight="false" outlineLevel="0" collapsed="false">
      <c r="A764" s="73"/>
      <c r="B764" s="10"/>
      <c r="C764" s="80"/>
      <c r="D764" s="80"/>
      <c r="E764" s="81" t="str">
        <f aca="false">IF(D764="","",IFERROR(INDEX(식자재단가!$B$4:$B$203,MATCH(D764,식자재단가!$C$4:$C$203,0)),""))</f>
        <v/>
      </c>
      <c r="F764" s="76"/>
      <c r="G764" s="59" t="str">
        <f aca="false">IF(D764="","",IFERROR(INDEX(식자재단가!$F$4:$F$203,MATCH(D764,식자재단가!$C$4:$C$203,0)),""))</f>
        <v/>
      </c>
      <c r="H764" s="50"/>
      <c r="I764" s="82" t="str">
        <f aca="false">IF(OR(F764="",H764=""),"",F764*H764)</f>
        <v/>
      </c>
      <c r="J764" s="83" t="str">
        <f aca="false">IF(D764="","",IFERROR(INDEX(식자재단가!$M$4:$M$203,MATCH(D764,식자재단가!$C$4:$C$203,0)),"과세"))</f>
        <v/>
      </c>
      <c r="K764" s="28" t="str">
        <f aca="false">IF(I764="","",IF(J764="과세",ROUND(I764*0.1,0),0))</f>
        <v/>
      </c>
      <c r="L764" s="28" t="str">
        <f aca="false">IF(I764="","",I764+K764)</f>
        <v/>
      </c>
      <c r="M764" s="10"/>
      <c r="N764" s="80"/>
      <c r="O764" s="80"/>
      <c r="P764" s="59" t="str">
        <f aca="false">IF(E764="","",IFERROR(INDEX(기본설정!$H$4:$H$14,MATCH(E764,기본설정!$G$4:$G$14,0)),""))</f>
        <v/>
      </c>
    </row>
    <row r="765" customFormat="false" ht="15" hidden="false" customHeight="false" outlineLevel="0" collapsed="false">
      <c r="A765" s="73"/>
      <c r="B765" s="10"/>
      <c r="C765" s="80"/>
      <c r="D765" s="80"/>
      <c r="E765" s="81" t="str">
        <f aca="false">IF(D765="","",IFERROR(INDEX(식자재단가!$B$4:$B$203,MATCH(D765,식자재단가!$C$4:$C$203,0)),""))</f>
        <v/>
      </c>
      <c r="F765" s="76"/>
      <c r="G765" s="59" t="str">
        <f aca="false">IF(D765="","",IFERROR(INDEX(식자재단가!$F$4:$F$203,MATCH(D765,식자재단가!$C$4:$C$203,0)),""))</f>
        <v/>
      </c>
      <c r="H765" s="50"/>
      <c r="I765" s="82" t="str">
        <f aca="false">IF(OR(F765="",H765=""),"",F765*H765)</f>
        <v/>
      </c>
      <c r="J765" s="83" t="str">
        <f aca="false">IF(D765="","",IFERROR(INDEX(식자재단가!$M$4:$M$203,MATCH(D765,식자재단가!$C$4:$C$203,0)),"과세"))</f>
        <v/>
      </c>
      <c r="K765" s="28" t="str">
        <f aca="false">IF(I765="","",IF(J765="과세",ROUND(I765*0.1,0),0))</f>
        <v/>
      </c>
      <c r="L765" s="28" t="str">
        <f aca="false">IF(I765="","",I765+K765)</f>
        <v/>
      </c>
      <c r="M765" s="10"/>
      <c r="N765" s="80"/>
      <c r="O765" s="80"/>
      <c r="P765" s="59" t="str">
        <f aca="false">IF(E765="","",IFERROR(INDEX(기본설정!$H$4:$H$14,MATCH(E765,기본설정!$G$4:$G$14,0)),""))</f>
        <v/>
      </c>
    </row>
    <row r="766" customFormat="false" ht="15" hidden="false" customHeight="false" outlineLevel="0" collapsed="false">
      <c r="A766" s="73"/>
      <c r="B766" s="10"/>
      <c r="C766" s="80"/>
      <c r="D766" s="80"/>
      <c r="E766" s="81" t="str">
        <f aca="false">IF(D766="","",IFERROR(INDEX(식자재단가!$B$4:$B$203,MATCH(D766,식자재단가!$C$4:$C$203,0)),""))</f>
        <v/>
      </c>
      <c r="F766" s="76"/>
      <c r="G766" s="59" t="str">
        <f aca="false">IF(D766="","",IFERROR(INDEX(식자재단가!$F$4:$F$203,MATCH(D766,식자재단가!$C$4:$C$203,0)),""))</f>
        <v/>
      </c>
      <c r="H766" s="50"/>
      <c r="I766" s="82" t="str">
        <f aca="false">IF(OR(F766="",H766=""),"",F766*H766)</f>
        <v/>
      </c>
      <c r="J766" s="83" t="str">
        <f aca="false">IF(D766="","",IFERROR(INDEX(식자재단가!$M$4:$M$203,MATCH(D766,식자재단가!$C$4:$C$203,0)),"과세"))</f>
        <v/>
      </c>
      <c r="K766" s="28" t="str">
        <f aca="false">IF(I766="","",IF(J766="과세",ROUND(I766*0.1,0),0))</f>
        <v/>
      </c>
      <c r="L766" s="28" t="str">
        <f aca="false">IF(I766="","",I766+K766)</f>
        <v/>
      </c>
      <c r="M766" s="10"/>
      <c r="N766" s="80"/>
      <c r="O766" s="80"/>
      <c r="P766" s="59" t="str">
        <f aca="false">IF(E766="","",IFERROR(INDEX(기본설정!$H$4:$H$14,MATCH(E766,기본설정!$G$4:$G$14,0)),""))</f>
        <v/>
      </c>
    </row>
    <row r="767" customFormat="false" ht="15" hidden="false" customHeight="false" outlineLevel="0" collapsed="false">
      <c r="A767" s="73"/>
      <c r="B767" s="10"/>
      <c r="C767" s="80"/>
      <c r="D767" s="80"/>
      <c r="E767" s="81" t="str">
        <f aca="false">IF(D767="","",IFERROR(INDEX(식자재단가!$B$4:$B$203,MATCH(D767,식자재단가!$C$4:$C$203,0)),""))</f>
        <v/>
      </c>
      <c r="F767" s="76"/>
      <c r="G767" s="59" t="str">
        <f aca="false">IF(D767="","",IFERROR(INDEX(식자재단가!$F$4:$F$203,MATCH(D767,식자재단가!$C$4:$C$203,0)),""))</f>
        <v/>
      </c>
      <c r="H767" s="50"/>
      <c r="I767" s="82" t="str">
        <f aca="false">IF(OR(F767="",H767=""),"",F767*H767)</f>
        <v/>
      </c>
      <c r="J767" s="83" t="str">
        <f aca="false">IF(D767="","",IFERROR(INDEX(식자재단가!$M$4:$M$203,MATCH(D767,식자재단가!$C$4:$C$203,0)),"과세"))</f>
        <v/>
      </c>
      <c r="K767" s="28" t="str">
        <f aca="false">IF(I767="","",IF(J767="과세",ROUND(I767*0.1,0),0))</f>
        <v/>
      </c>
      <c r="L767" s="28" t="str">
        <f aca="false">IF(I767="","",I767+K767)</f>
        <v/>
      </c>
      <c r="M767" s="10"/>
      <c r="N767" s="80"/>
      <c r="O767" s="80"/>
      <c r="P767" s="59" t="str">
        <f aca="false">IF(E767="","",IFERROR(INDEX(기본설정!$H$4:$H$14,MATCH(E767,기본설정!$G$4:$G$14,0)),""))</f>
        <v/>
      </c>
    </row>
    <row r="768" customFormat="false" ht="15" hidden="false" customHeight="false" outlineLevel="0" collapsed="false">
      <c r="A768" s="73"/>
      <c r="B768" s="10"/>
      <c r="C768" s="80"/>
      <c r="D768" s="80"/>
      <c r="E768" s="81" t="str">
        <f aca="false">IF(D768="","",IFERROR(INDEX(식자재단가!$B$4:$B$203,MATCH(D768,식자재단가!$C$4:$C$203,0)),""))</f>
        <v/>
      </c>
      <c r="F768" s="76"/>
      <c r="G768" s="59" t="str">
        <f aca="false">IF(D768="","",IFERROR(INDEX(식자재단가!$F$4:$F$203,MATCH(D768,식자재단가!$C$4:$C$203,0)),""))</f>
        <v/>
      </c>
      <c r="H768" s="50"/>
      <c r="I768" s="82" t="str">
        <f aca="false">IF(OR(F768="",H768=""),"",F768*H768)</f>
        <v/>
      </c>
      <c r="J768" s="83" t="str">
        <f aca="false">IF(D768="","",IFERROR(INDEX(식자재단가!$M$4:$M$203,MATCH(D768,식자재단가!$C$4:$C$203,0)),"과세"))</f>
        <v/>
      </c>
      <c r="K768" s="28" t="str">
        <f aca="false">IF(I768="","",IF(J768="과세",ROUND(I768*0.1,0),0))</f>
        <v/>
      </c>
      <c r="L768" s="28" t="str">
        <f aca="false">IF(I768="","",I768+K768)</f>
        <v/>
      </c>
      <c r="M768" s="10"/>
      <c r="N768" s="80"/>
      <c r="O768" s="80"/>
      <c r="P768" s="59" t="str">
        <f aca="false">IF(E768="","",IFERROR(INDEX(기본설정!$H$4:$H$14,MATCH(E768,기본설정!$G$4:$G$14,0)),""))</f>
        <v/>
      </c>
    </row>
    <row r="769" customFormat="false" ht="15" hidden="false" customHeight="false" outlineLevel="0" collapsed="false">
      <c r="A769" s="73"/>
      <c r="B769" s="10"/>
      <c r="C769" s="80"/>
      <c r="D769" s="80"/>
      <c r="E769" s="81" t="str">
        <f aca="false">IF(D769="","",IFERROR(INDEX(식자재단가!$B$4:$B$203,MATCH(D769,식자재단가!$C$4:$C$203,0)),""))</f>
        <v/>
      </c>
      <c r="F769" s="76"/>
      <c r="G769" s="59" t="str">
        <f aca="false">IF(D769="","",IFERROR(INDEX(식자재단가!$F$4:$F$203,MATCH(D769,식자재단가!$C$4:$C$203,0)),""))</f>
        <v/>
      </c>
      <c r="H769" s="50"/>
      <c r="I769" s="82" t="str">
        <f aca="false">IF(OR(F769="",H769=""),"",F769*H769)</f>
        <v/>
      </c>
      <c r="J769" s="83" t="str">
        <f aca="false">IF(D769="","",IFERROR(INDEX(식자재단가!$M$4:$M$203,MATCH(D769,식자재단가!$C$4:$C$203,0)),"과세"))</f>
        <v/>
      </c>
      <c r="K769" s="28" t="str">
        <f aca="false">IF(I769="","",IF(J769="과세",ROUND(I769*0.1,0),0))</f>
        <v/>
      </c>
      <c r="L769" s="28" t="str">
        <f aca="false">IF(I769="","",I769+K769)</f>
        <v/>
      </c>
      <c r="M769" s="10"/>
      <c r="N769" s="80"/>
      <c r="O769" s="80"/>
      <c r="P769" s="59" t="str">
        <f aca="false">IF(E769="","",IFERROR(INDEX(기본설정!$H$4:$H$14,MATCH(E769,기본설정!$G$4:$G$14,0)),""))</f>
        <v/>
      </c>
    </row>
    <row r="770" customFormat="false" ht="15" hidden="false" customHeight="false" outlineLevel="0" collapsed="false">
      <c r="A770" s="73"/>
      <c r="B770" s="10"/>
      <c r="C770" s="80"/>
      <c r="D770" s="80"/>
      <c r="E770" s="81" t="str">
        <f aca="false">IF(D770="","",IFERROR(INDEX(식자재단가!$B$4:$B$203,MATCH(D770,식자재단가!$C$4:$C$203,0)),""))</f>
        <v/>
      </c>
      <c r="F770" s="76"/>
      <c r="G770" s="59" t="str">
        <f aca="false">IF(D770="","",IFERROR(INDEX(식자재단가!$F$4:$F$203,MATCH(D770,식자재단가!$C$4:$C$203,0)),""))</f>
        <v/>
      </c>
      <c r="H770" s="50"/>
      <c r="I770" s="82" t="str">
        <f aca="false">IF(OR(F770="",H770=""),"",F770*H770)</f>
        <v/>
      </c>
      <c r="J770" s="83" t="str">
        <f aca="false">IF(D770="","",IFERROR(INDEX(식자재단가!$M$4:$M$203,MATCH(D770,식자재단가!$C$4:$C$203,0)),"과세"))</f>
        <v/>
      </c>
      <c r="K770" s="28" t="str">
        <f aca="false">IF(I770="","",IF(J770="과세",ROUND(I770*0.1,0),0))</f>
        <v/>
      </c>
      <c r="L770" s="28" t="str">
        <f aca="false">IF(I770="","",I770+K770)</f>
        <v/>
      </c>
      <c r="M770" s="10"/>
      <c r="N770" s="80"/>
      <c r="O770" s="80"/>
      <c r="P770" s="59" t="str">
        <f aca="false">IF(E770="","",IFERROR(INDEX(기본설정!$H$4:$H$14,MATCH(E770,기본설정!$G$4:$G$14,0)),""))</f>
        <v/>
      </c>
    </row>
    <row r="771" customFormat="false" ht="15" hidden="false" customHeight="false" outlineLevel="0" collapsed="false">
      <c r="A771" s="73"/>
      <c r="B771" s="10"/>
      <c r="C771" s="80"/>
      <c r="D771" s="80"/>
      <c r="E771" s="81" t="str">
        <f aca="false">IF(D771="","",IFERROR(INDEX(식자재단가!$B$4:$B$203,MATCH(D771,식자재단가!$C$4:$C$203,0)),""))</f>
        <v/>
      </c>
      <c r="F771" s="76"/>
      <c r="G771" s="59" t="str">
        <f aca="false">IF(D771="","",IFERROR(INDEX(식자재단가!$F$4:$F$203,MATCH(D771,식자재단가!$C$4:$C$203,0)),""))</f>
        <v/>
      </c>
      <c r="H771" s="50"/>
      <c r="I771" s="82" t="str">
        <f aca="false">IF(OR(F771="",H771=""),"",F771*H771)</f>
        <v/>
      </c>
      <c r="J771" s="83" t="str">
        <f aca="false">IF(D771="","",IFERROR(INDEX(식자재단가!$M$4:$M$203,MATCH(D771,식자재단가!$C$4:$C$203,0)),"과세"))</f>
        <v/>
      </c>
      <c r="K771" s="28" t="str">
        <f aca="false">IF(I771="","",IF(J771="과세",ROUND(I771*0.1,0),0))</f>
        <v/>
      </c>
      <c r="L771" s="28" t="str">
        <f aca="false">IF(I771="","",I771+K771)</f>
        <v/>
      </c>
      <c r="M771" s="10"/>
      <c r="N771" s="80"/>
      <c r="O771" s="80"/>
      <c r="P771" s="59" t="str">
        <f aca="false">IF(E771="","",IFERROR(INDEX(기본설정!$H$4:$H$14,MATCH(E771,기본설정!$G$4:$G$14,0)),""))</f>
        <v/>
      </c>
    </row>
    <row r="772" customFormat="false" ht="15" hidden="false" customHeight="false" outlineLevel="0" collapsed="false">
      <c r="A772" s="73"/>
      <c r="B772" s="10"/>
      <c r="C772" s="80"/>
      <c r="D772" s="80"/>
      <c r="E772" s="81" t="str">
        <f aca="false">IF(D772="","",IFERROR(INDEX(식자재단가!$B$4:$B$203,MATCH(D772,식자재단가!$C$4:$C$203,0)),""))</f>
        <v/>
      </c>
      <c r="F772" s="76"/>
      <c r="G772" s="59" t="str">
        <f aca="false">IF(D772="","",IFERROR(INDEX(식자재단가!$F$4:$F$203,MATCH(D772,식자재단가!$C$4:$C$203,0)),""))</f>
        <v/>
      </c>
      <c r="H772" s="50"/>
      <c r="I772" s="82" t="str">
        <f aca="false">IF(OR(F772="",H772=""),"",F772*H772)</f>
        <v/>
      </c>
      <c r="J772" s="83" t="str">
        <f aca="false">IF(D772="","",IFERROR(INDEX(식자재단가!$M$4:$M$203,MATCH(D772,식자재단가!$C$4:$C$203,0)),"과세"))</f>
        <v/>
      </c>
      <c r="K772" s="28" t="str">
        <f aca="false">IF(I772="","",IF(J772="과세",ROUND(I772*0.1,0),0))</f>
        <v/>
      </c>
      <c r="L772" s="28" t="str">
        <f aca="false">IF(I772="","",I772+K772)</f>
        <v/>
      </c>
      <c r="M772" s="10"/>
      <c r="N772" s="80"/>
      <c r="O772" s="80"/>
      <c r="P772" s="59" t="str">
        <f aca="false">IF(E772="","",IFERROR(INDEX(기본설정!$H$4:$H$14,MATCH(E772,기본설정!$G$4:$G$14,0)),""))</f>
        <v/>
      </c>
    </row>
    <row r="773" customFormat="false" ht="15" hidden="false" customHeight="false" outlineLevel="0" collapsed="false">
      <c r="A773" s="73"/>
      <c r="B773" s="10"/>
      <c r="C773" s="80"/>
      <c r="D773" s="80"/>
      <c r="E773" s="81" t="str">
        <f aca="false">IF(D773="","",IFERROR(INDEX(식자재단가!$B$4:$B$203,MATCH(D773,식자재단가!$C$4:$C$203,0)),""))</f>
        <v/>
      </c>
      <c r="F773" s="76"/>
      <c r="G773" s="59" t="str">
        <f aca="false">IF(D773="","",IFERROR(INDEX(식자재단가!$F$4:$F$203,MATCH(D773,식자재단가!$C$4:$C$203,0)),""))</f>
        <v/>
      </c>
      <c r="H773" s="50"/>
      <c r="I773" s="82" t="str">
        <f aca="false">IF(OR(F773="",H773=""),"",F773*H773)</f>
        <v/>
      </c>
      <c r="J773" s="83" t="str">
        <f aca="false">IF(D773="","",IFERROR(INDEX(식자재단가!$M$4:$M$203,MATCH(D773,식자재단가!$C$4:$C$203,0)),"과세"))</f>
        <v/>
      </c>
      <c r="K773" s="28" t="str">
        <f aca="false">IF(I773="","",IF(J773="과세",ROUND(I773*0.1,0),0))</f>
        <v/>
      </c>
      <c r="L773" s="28" t="str">
        <f aca="false">IF(I773="","",I773+K773)</f>
        <v/>
      </c>
      <c r="M773" s="10"/>
      <c r="N773" s="80"/>
      <c r="O773" s="80"/>
      <c r="P773" s="59" t="str">
        <f aca="false">IF(E773="","",IFERROR(INDEX(기본설정!$H$4:$H$14,MATCH(E773,기본설정!$G$4:$G$14,0)),""))</f>
        <v/>
      </c>
    </row>
    <row r="774" customFormat="false" ht="15" hidden="false" customHeight="false" outlineLevel="0" collapsed="false">
      <c r="A774" s="73"/>
      <c r="B774" s="10"/>
      <c r="C774" s="80"/>
      <c r="D774" s="80"/>
      <c r="E774" s="81" t="str">
        <f aca="false">IF(D774="","",IFERROR(INDEX(식자재단가!$B$4:$B$203,MATCH(D774,식자재단가!$C$4:$C$203,0)),""))</f>
        <v/>
      </c>
      <c r="F774" s="76"/>
      <c r="G774" s="59" t="str">
        <f aca="false">IF(D774="","",IFERROR(INDEX(식자재단가!$F$4:$F$203,MATCH(D774,식자재단가!$C$4:$C$203,0)),""))</f>
        <v/>
      </c>
      <c r="H774" s="50"/>
      <c r="I774" s="82" t="str">
        <f aca="false">IF(OR(F774="",H774=""),"",F774*H774)</f>
        <v/>
      </c>
      <c r="J774" s="83" t="str">
        <f aca="false">IF(D774="","",IFERROR(INDEX(식자재단가!$M$4:$M$203,MATCH(D774,식자재단가!$C$4:$C$203,0)),"과세"))</f>
        <v/>
      </c>
      <c r="K774" s="28" t="str">
        <f aca="false">IF(I774="","",IF(J774="과세",ROUND(I774*0.1,0),0))</f>
        <v/>
      </c>
      <c r="L774" s="28" t="str">
        <f aca="false">IF(I774="","",I774+K774)</f>
        <v/>
      </c>
      <c r="M774" s="10"/>
      <c r="N774" s="80"/>
      <c r="O774" s="80"/>
      <c r="P774" s="59" t="str">
        <f aca="false">IF(E774="","",IFERROR(INDEX(기본설정!$H$4:$H$14,MATCH(E774,기본설정!$G$4:$G$14,0)),""))</f>
        <v/>
      </c>
    </row>
    <row r="775" customFormat="false" ht="15" hidden="false" customHeight="false" outlineLevel="0" collapsed="false">
      <c r="A775" s="73"/>
      <c r="B775" s="10"/>
      <c r="C775" s="80"/>
      <c r="D775" s="80"/>
      <c r="E775" s="81" t="str">
        <f aca="false">IF(D775="","",IFERROR(INDEX(식자재단가!$B$4:$B$203,MATCH(D775,식자재단가!$C$4:$C$203,0)),""))</f>
        <v/>
      </c>
      <c r="F775" s="76"/>
      <c r="G775" s="59" t="str">
        <f aca="false">IF(D775="","",IFERROR(INDEX(식자재단가!$F$4:$F$203,MATCH(D775,식자재단가!$C$4:$C$203,0)),""))</f>
        <v/>
      </c>
      <c r="H775" s="50"/>
      <c r="I775" s="82" t="str">
        <f aca="false">IF(OR(F775="",H775=""),"",F775*H775)</f>
        <v/>
      </c>
      <c r="J775" s="83" t="str">
        <f aca="false">IF(D775="","",IFERROR(INDEX(식자재단가!$M$4:$M$203,MATCH(D775,식자재단가!$C$4:$C$203,0)),"과세"))</f>
        <v/>
      </c>
      <c r="K775" s="28" t="str">
        <f aca="false">IF(I775="","",IF(J775="과세",ROUND(I775*0.1,0),0))</f>
        <v/>
      </c>
      <c r="L775" s="28" t="str">
        <f aca="false">IF(I775="","",I775+K775)</f>
        <v/>
      </c>
      <c r="M775" s="10"/>
      <c r="N775" s="80"/>
      <c r="O775" s="80"/>
      <c r="P775" s="59" t="str">
        <f aca="false">IF(E775="","",IFERROR(INDEX(기본설정!$H$4:$H$14,MATCH(E775,기본설정!$G$4:$G$14,0)),""))</f>
        <v/>
      </c>
    </row>
    <row r="776" customFormat="false" ht="15" hidden="false" customHeight="false" outlineLevel="0" collapsed="false">
      <c r="A776" s="73"/>
      <c r="B776" s="10"/>
      <c r="C776" s="80"/>
      <c r="D776" s="80"/>
      <c r="E776" s="81" t="str">
        <f aca="false">IF(D776="","",IFERROR(INDEX(식자재단가!$B$4:$B$203,MATCH(D776,식자재단가!$C$4:$C$203,0)),""))</f>
        <v/>
      </c>
      <c r="F776" s="76"/>
      <c r="G776" s="59" t="str">
        <f aca="false">IF(D776="","",IFERROR(INDEX(식자재단가!$F$4:$F$203,MATCH(D776,식자재단가!$C$4:$C$203,0)),""))</f>
        <v/>
      </c>
      <c r="H776" s="50"/>
      <c r="I776" s="82" t="str">
        <f aca="false">IF(OR(F776="",H776=""),"",F776*H776)</f>
        <v/>
      </c>
      <c r="J776" s="83" t="str">
        <f aca="false">IF(D776="","",IFERROR(INDEX(식자재단가!$M$4:$M$203,MATCH(D776,식자재단가!$C$4:$C$203,0)),"과세"))</f>
        <v/>
      </c>
      <c r="K776" s="28" t="str">
        <f aca="false">IF(I776="","",IF(J776="과세",ROUND(I776*0.1,0),0))</f>
        <v/>
      </c>
      <c r="L776" s="28" t="str">
        <f aca="false">IF(I776="","",I776+K776)</f>
        <v/>
      </c>
      <c r="M776" s="10"/>
      <c r="N776" s="80"/>
      <c r="O776" s="80"/>
      <c r="P776" s="59" t="str">
        <f aca="false">IF(E776="","",IFERROR(INDEX(기본설정!$H$4:$H$14,MATCH(E776,기본설정!$G$4:$G$14,0)),""))</f>
        <v/>
      </c>
    </row>
    <row r="777" customFormat="false" ht="15" hidden="false" customHeight="false" outlineLevel="0" collapsed="false">
      <c r="A777" s="73"/>
      <c r="B777" s="10"/>
      <c r="C777" s="80"/>
      <c r="D777" s="80"/>
      <c r="E777" s="81" t="str">
        <f aca="false">IF(D777="","",IFERROR(INDEX(식자재단가!$B$4:$B$203,MATCH(D777,식자재단가!$C$4:$C$203,0)),""))</f>
        <v/>
      </c>
      <c r="F777" s="76"/>
      <c r="G777" s="59" t="str">
        <f aca="false">IF(D777="","",IFERROR(INDEX(식자재단가!$F$4:$F$203,MATCH(D777,식자재단가!$C$4:$C$203,0)),""))</f>
        <v/>
      </c>
      <c r="H777" s="50"/>
      <c r="I777" s="82" t="str">
        <f aca="false">IF(OR(F777="",H777=""),"",F777*H777)</f>
        <v/>
      </c>
      <c r="J777" s="83" t="str">
        <f aca="false">IF(D777="","",IFERROR(INDEX(식자재단가!$M$4:$M$203,MATCH(D777,식자재단가!$C$4:$C$203,0)),"과세"))</f>
        <v/>
      </c>
      <c r="K777" s="28" t="str">
        <f aca="false">IF(I777="","",IF(J777="과세",ROUND(I777*0.1,0),0))</f>
        <v/>
      </c>
      <c r="L777" s="28" t="str">
        <f aca="false">IF(I777="","",I777+K777)</f>
        <v/>
      </c>
      <c r="M777" s="10"/>
      <c r="N777" s="80"/>
      <c r="O777" s="80"/>
      <c r="P777" s="59" t="str">
        <f aca="false">IF(E777="","",IFERROR(INDEX(기본설정!$H$4:$H$14,MATCH(E777,기본설정!$G$4:$G$14,0)),""))</f>
        <v/>
      </c>
    </row>
    <row r="778" customFormat="false" ht="15" hidden="false" customHeight="false" outlineLevel="0" collapsed="false">
      <c r="A778" s="73"/>
      <c r="B778" s="10"/>
      <c r="C778" s="80"/>
      <c r="D778" s="80"/>
      <c r="E778" s="81" t="str">
        <f aca="false">IF(D778="","",IFERROR(INDEX(식자재단가!$B$4:$B$203,MATCH(D778,식자재단가!$C$4:$C$203,0)),""))</f>
        <v/>
      </c>
      <c r="F778" s="76"/>
      <c r="G778" s="59" t="str">
        <f aca="false">IF(D778="","",IFERROR(INDEX(식자재단가!$F$4:$F$203,MATCH(D778,식자재단가!$C$4:$C$203,0)),""))</f>
        <v/>
      </c>
      <c r="H778" s="50"/>
      <c r="I778" s="82" t="str">
        <f aca="false">IF(OR(F778="",H778=""),"",F778*H778)</f>
        <v/>
      </c>
      <c r="J778" s="83" t="str">
        <f aca="false">IF(D778="","",IFERROR(INDEX(식자재단가!$M$4:$M$203,MATCH(D778,식자재단가!$C$4:$C$203,0)),"과세"))</f>
        <v/>
      </c>
      <c r="K778" s="28" t="str">
        <f aca="false">IF(I778="","",IF(J778="과세",ROUND(I778*0.1,0),0))</f>
        <v/>
      </c>
      <c r="L778" s="28" t="str">
        <f aca="false">IF(I778="","",I778+K778)</f>
        <v/>
      </c>
      <c r="M778" s="10"/>
      <c r="N778" s="80"/>
      <c r="O778" s="80"/>
      <c r="P778" s="59" t="str">
        <f aca="false">IF(E778="","",IFERROR(INDEX(기본설정!$H$4:$H$14,MATCH(E778,기본설정!$G$4:$G$14,0)),""))</f>
        <v/>
      </c>
    </row>
    <row r="779" customFormat="false" ht="15" hidden="false" customHeight="false" outlineLevel="0" collapsed="false">
      <c r="A779" s="73"/>
      <c r="B779" s="10"/>
      <c r="C779" s="80"/>
      <c r="D779" s="80"/>
      <c r="E779" s="81" t="str">
        <f aca="false">IF(D779="","",IFERROR(INDEX(식자재단가!$B$4:$B$203,MATCH(D779,식자재단가!$C$4:$C$203,0)),""))</f>
        <v/>
      </c>
      <c r="F779" s="76"/>
      <c r="G779" s="59" t="str">
        <f aca="false">IF(D779="","",IFERROR(INDEX(식자재단가!$F$4:$F$203,MATCH(D779,식자재단가!$C$4:$C$203,0)),""))</f>
        <v/>
      </c>
      <c r="H779" s="50"/>
      <c r="I779" s="82" t="str">
        <f aca="false">IF(OR(F779="",H779=""),"",F779*H779)</f>
        <v/>
      </c>
      <c r="J779" s="83" t="str">
        <f aca="false">IF(D779="","",IFERROR(INDEX(식자재단가!$M$4:$M$203,MATCH(D779,식자재단가!$C$4:$C$203,0)),"과세"))</f>
        <v/>
      </c>
      <c r="K779" s="28" t="str">
        <f aca="false">IF(I779="","",IF(J779="과세",ROUND(I779*0.1,0),0))</f>
        <v/>
      </c>
      <c r="L779" s="28" t="str">
        <f aca="false">IF(I779="","",I779+K779)</f>
        <v/>
      </c>
      <c r="M779" s="10"/>
      <c r="N779" s="80"/>
      <c r="O779" s="80"/>
      <c r="P779" s="59" t="str">
        <f aca="false">IF(E779="","",IFERROR(INDEX(기본설정!$H$4:$H$14,MATCH(E779,기본설정!$G$4:$G$14,0)),""))</f>
        <v/>
      </c>
    </row>
    <row r="780" customFormat="false" ht="15" hidden="false" customHeight="false" outlineLevel="0" collapsed="false">
      <c r="A780" s="73"/>
      <c r="B780" s="10"/>
      <c r="C780" s="80"/>
      <c r="D780" s="80"/>
      <c r="E780" s="81" t="str">
        <f aca="false">IF(D780="","",IFERROR(INDEX(식자재단가!$B$4:$B$203,MATCH(D780,식자재단가!$C$4:$C$203,0)),""))</f>
        <v/>
      </c>
      <c r="F780" s="76"/>
      <c r="G780" s="59" t="str">
        <f aca="false">IF(D780="","",IFERROR(INDEX(식자재단가!$F$4:$F$203,MATCH(D780,식자재단가!$C$4:$C$203,0)),""))</f>
        <v/>
      </c>
      <c r="H780" s="50"/>
      <c r="I780" s="82" t="str">
        <f aca="false">IF(OR(F780="",H780=""),"",F780*H780)</f>
        <v/>
      </c>
      <c r="J780" s="83" t="str">
        <f aca="false">IF(D780="","",IFERROR(INDEX(식자재단가!$M$4:$M$203,MATCH(D780,식자재단가!$C$4:$C$203,0)),"과세"))</f>
        <v/>
      </c>
      <c r="K780" s="28" t="str">
        <f aca="false">IF(I780="","",IF(J780="과세",ROUND(I780*0.1,0),0))</f>
        <v/>
      </c>
      <c r="L780" s="28" t="str">
        <f aca="false">IF(I780="","",I780+K780)</f>
        <v/>
      </c>
      <c r="M780" s="10"/>
      <c r="N780" s="80"/>
      <c r="O780" s="80"/>
      <c r="P780" s="59" t="str">
        <f aca="false">IF(E780="","",IFERROR(INDEX(기본설정!$H$4:$H$14,MATCH(E780,기본설정!$G$4:$G$14,0)),""))</f>
        <v/>
      </c>
    </row>
    <row r="781" customFormat="false" ht="15" hidden="false" customHeight="false" outlineLevel="0" collapsed="false">
      <c r="A781" s="73"/>
      <c r="B781" s="10"/>
      <c r="C781" s="80"/>
      <c r="D781" s="80"/>
      <c r="E781" s="81" t="str">
        <f aca="false">IF(D781="","",IFERROR(INDEX(식자재단가!$B$4:$B$203,MATCH(D781,식자재단가!$C$4:$C$203,0)),""))</f>
        <v/>
      </c>
      <c r="F781" s="76"/>
      <c r="G781" s="59" t="str">
        <f aca="false">IF(D781="","",IFERROR(INDEX(식자재단가!$F$4:$F$203,MATCH(D781,식자재단가!$C$4:$C$203,0)),""))</f>
        <v/>
      </c>
      <c r="H781" s="50"/>
      <c r="I781" s="82" t="str">
        <f aca="false">IF(OR(F781="",H781=""),"",F781*H781)</f>
        <v/>
      </c>
      <c r="J781" s="83" t="str">
        <f aca="false">IF(D781="","",IFERROR(INDEX(식자재단가!$M$4:$M$203,MATCH(D781,식자재단가!$C$4:$C$203,0)),"과세"))</f>
        <v/>
      </c>
      <c r="K781" s="28" t="str">
        <f aca="false">IF(I781="","",IF(J781="과세",ROUND(I781*0.1,0),0))</f>
        <v/>
      </c>
      <c r="L781" s="28" t="str">
        <f aca="false">IF(I781="","",I781+K781)</f>
        <v/>
      </c>
      <c r="M781" s="10"/>
      <c r="N781" s="80"/>
      <c r="O781" s="80"/>
      <c r="P781" s="59" t="str">
        <f aca="false">IF(E781="","",IFERROR(INDEX(기본설정!$H$4:$H$14,MATCH(E781,기본설정!$G$4:$G$14,0)),""))</f>
        <v/>
      </c>
    </row>
    <row r="782" customFormat="false" ht="15" hidden="false" customHeight="false" outlineLevel="0" collapsed="false">
      <c r="A782" s="73"/>
      <c r="B782" s="10"/>
      <c r="C782" s="80"/>
      <c r="D782" s="80"/>
      <c r="E782" s="81" t="str">
        <f aca="false">IF(D782="","",IFERROR(INDEX(식자재단가!$B$4:$B$203,MATCH(D782,식자재단가!$C$4:$C$203,0)),""))</f>
        <v/>
      </c>
      <c r="F782" s="76"/>
      <c r="G782" s="59" t="str">
        <f aca="false">IF(D782="","",IFERROR(INDEX(식자재단가!$F$4:$F$203,MATCH(D782,식자재단가!$C$4:$C$203,0)),""))</f>
        <v/>
      </c>
      <c r="H782" s="50"/>
      <c r="I782" s="82" t="str">
        <f aca="false">IF(OR(F782="",H782=""),"",F782*H782)</f>
        <v/>
      </c>
      <c r="J782" s="83" t="str">
        <f aca="false">IF(D782="","",IFERROR(INDEX(식자재단가!$M$4:$M$203,MATCH(D782,식자재단가!$C$4:$C$203,0)),"과세"))</f>
        <v/>
      </c>
      <c r="K782" s="28" t="str">
        <f aca="false">IF(I782="","",IF(J782="과세",ROUND(I782*0.1,0),0))</f>
        <v/>
      </c>
      <c r="L782" s="28" t="str">
        <f aca="false">IF(I782="","",I782+K782)</f>
        <v/>
      </c>
      <c r="M782" s="10"/>
      <c r="N782" s="80"/>
      <c r="O782" s="80"/>
      <c r="P782" s="59" t="str">
        <f aca="false">IF(E782="","",IFERROR(INDEX(기본설정!$H$4:$H$14,MATCH(E782,기본설정!$G$4:$G$14,0)),""))</f>
        <v/>
      </c>
    </row>
    <row r="783" customFormat="false" ht="15" hidden="false" customHeight="false" outlineLevel="0" collapsed="false">
      <c r="A783" s="73"/>
      <c r="B783" s="10"/>
      <c r="C783" s="80"/>
      <c r="D783" s="80"/>
      <c r="E783" s="81" t="str">
        <f aca="false">IF(D783="","",IFERROR(INDEX(식자재단가!$B$4:$B$203,MATCH(D783,식자재단가!$C$4:$C$203,0)),""))</f>
        <v/>
      </c>
      <c r="F783" s="76"/>
      <c r="G783" s="59" t="str">
        <f aca="false">IF(D783="","",IFERROR(INDEX(식자재단가!$F$4:$F$203,MATCH(D783,식자재단가!$C$4:$C$203,0)),""))</f>
        <v/>
      </c>
      <c r="H783" s="50"/>
      <c r="I783" s="82" t="str">
        <f aca="false">IF(OR(F783="",H783=""),"",F783*H783)</f>
        <v/>
      </c>
      <c r="J783" s="83" t="str">
        <f aca="false">IF(D783="","",IFERROR(INDEX(식자재단가!$M$4:$M$203,MATCH(D783,식자재단가!$C$4:$C$203,0)),"과세"))</f>
        <v/>
      </c>
      <c r="K783" s="28" t="str">
        <f aca="false">IF(I783="","",IF(J783="과세",ROUND(I783*0.1,0),0))</f>
        <v/>
      </c>
      <c r="L783" s="28" t="str">
        <f aca="false">IF(I783="","",I783+K783)</f>
        <v/>
      </c>
      <c r="M783" s="10"/>
      <c r="N783" s="80"/>
      <c r="O783" s="80"/>
      <c r="P783" s="59" t="str">
        <f aca="false">IF(E783="","",IFERROR(INDEX(기본설정!$H$4:$H$14,MATCH(E783,기본설정!$G$4:$G$14,0)),""))</f>
        <v/>
      </c>
    </row>
    <row r="784" customFormat="false" ht="15" hidden="false" customHeight="false" outlineLevel="0" collapsed="false">
      <c r="A784" s="73"/>
      <c r="B784" s="10"/>
      <c r="C784" s="80"/>
      <c r="D784" s="80"/>
      <c r="E784" s="81" t="str">
        <f aca="false">IF(D784="","",IFERROR(INDEX(식자재단가!$B$4:$B$203,MATCH(D784,식자재단가!$C$4:$C$203,0)),""))</f>
        <v/>
      </c>
      <c r="F784" s="76"/>
      <c r="G784" s="59" t="str">
        <f aca="false">IF(D784="","",IFERROR(INDEX(식자재단가!$F$4:$F$203,MATCH(D784,식자재단가!$C$4:$C$203,0)),""))</f>
        <v/>
      </c>
      <c r="H784" s="50"/>
      <c r="I784" s="82" t="str">
        <f aca="false">IF(OR(F784="",H784=""),"",F784*H784)</f>
        <v/>
      </c>
      <c r="J784" s="83" t="str">
        <f aca="false">IF(D784="","",IFERROR(INDEX(식자재단가!$M$4:$M$203,MATCH(D784,식자재단가!$C$4:$C$203,0)),"과세"))</f>
        <v/>
      </c>
      <c r="K784" s="28" t="str">
        <f aca="false">IF(I784="","",IF(J784="과세",ROUND(I784*0.1,0),0))</f>
        <v/>
      </c>
      <c r="L784" s="28" t="str">
        <f aca="false">IF(I784="","",I784+K784)</f>
        <v/>
      </c>
      <c r="M784" s="10"/>
      <c r="N784" s="80"/>
      <c r="O784" s="80"/>
      <c r="P784" s="59" t="str">
        <f aca="false">IF(E784="","",IFERROR(INDEX(기본설정!$H$4:$H$14,MATCH(E784,기본설정!$G$4:$G$14,0)),""))</f>
        <v/>
      </c>
    </row>
    <row r="785" customFormat="false" ht="15" hidden="false" customHeight="false" outlineLevel="0" collapsed="false">
      <c r="A785" s="73"/>
      <c r="B785" s="10"/>
      <c r="C785" s="80"/>
      <c r="D785" s="80"/>
      <c r="E785" s="81" t="str">
        <f aca="false">IF(D785="","",IFERROR(INDEX(식자재단가!$B$4:$B$203,MATCH(D785,식자재단가!$C$4:$C$203,0)),""))</f>
        <v/>
      </c>
      <c r="F785" s="76"/>
      <c r="G785" s="59" t="str">
        <f aca="false">IF(D785="","",IFERROR(INDEX(식자재단가!$F$4:$F$203,MATCH(D785,식자재단가!$C$4:$C$203,0)),""))</f>
        <v/>
      </c>
      <c r="H785" s="50"/>
      <c r="I785" s="82" t="str">
        <f aca="false">IF(OR(F785="",H785=""),"",F785*H785)</f>
        <v/>
      </c>
      <c r="J785" s="83" t="str">
        <f aca="false">IF(D785="","",IFERROR(INDEX(식자재단가!$M$4:$M$203,MATCH(D785,식자재단가!$C$4:$C$203,0)),"과세"))</f>
        <v/>
      </c>
      <c r="K785" s="28" t="str">
        <f aca="false">IF(I785="","",IF(J785="과세",ROUND(I785*0.1,0),0))</f>
        <v/>
      </c>
      <c r="L785" s="28" t="str">
        <f aca="false">IF(I785="","",I785+K785)</f>
        <v/>
      </c>
      <c r="M785" s="10"/>
      <c r="N785" s="80"/>
      <c r="O785" s="80"/>
      <c r="P785" s="59" t="str">
        <f aca="false">IF(E785="","",IFERROR(INDEX(기본설정!$H$4:$H$14,MATCH(E785,기본설정!$G$4:$G$14,0)),""))</f>
        <v/>
      </c>
    </row>
    <row r="786" customFormat="false" ht="15" hidden="false" customHeight="false" outlineLevel="0" collapsed="false">
      <c r="A786" s="73"/>
      <c r="B786" s="10"/>
      <c r="C786" s="80"/>
      <c r="D786" s="80"/>
      <c r="E786" s="81" t="str">
        <f aca="false">IF(D786="","",IFERROR(INDEX(식자재단가!$B$4:$B$203,MATCH(D786,식자재단가!$C$4:$C$203,0)),""))</f>
        <v/>
      </c>
      <c r="F786" s="76"/>
      <c r="G786" s="59" t="str">
        <f aca="false">IF(D786="","",IFERROR(INDEX(식자재단가!$F$4:$F$203,MATCH(D786,식자재단가!$C$4:$C$203,0)),""))</f>
        <v/>
      </c>
      <c r="H786" s="50"/>
      <c r="I786" s="82" t="str">
        <f aca="false">IF(OR(F786="",H786=""),"",F786*H786)</f>
        <v/>
      </c>
      <c r="J786" s="83" t="str">
        <f aca="false">IF(D786="","",IFERROR(INDEX(식자재단가!$M$4:$M$203,MATCH(D786,식자재단가!$C$4:$C$203,0)),"과세"))</f>
        <v/>
      </c>
      <c r="K786" s="28" t="str">
        <f aca="false">IF(I786="","",IF(J786="과세",ROUND(I786*0.1,0),0))</f>
        <v/>
      </c>
      <c r="L786" s="28" t="str">
        <f aca="false">IF(I786="","",I786+K786)</f>
        <v/>
      </c>
      <c r="M786" s="10"/>
      <c r="N786" s="80"/>
      <c r="O786" s="80"/>
      <c r="P786" s="59" t="str">
        <f aca="false">IF(E786="","",IFERROR(INDEX(기본설정!$H$4:$H$14,MATCH(E786,기본설정!$G$4:$G$14,0)),""))</f>
        <v/>
      </c>
    </row>
    <row r="787" customFormat="false" ht="15" hidden="false" customHeight="false" outlineLevel="0" collapsed="false">
      <c r="A787" s="73"/>
      <c r="B787" s="10"/>
      <c r="C787" s="80"/>
      <c r="D787" s="80"/>
      <c r="E787" s="81" t="str">
        <f aca="false">IF(D787="","",IFERROR(INDEX(식자재단가!$B$4:$B$203,MATCH(D787,식자재단가!$C$4:$C$203,0)),""))</f>
        <v/>
      </c>
      <c r="F787" s="76"/>
      <c r="G787" s="59" t="str">
        <f aca="false">IF(D787="","",IFERROR(INDEX(식자재단가!$F$4:$F$203,MATCH(D787,식자재단가!$C$4:$C$203,0)),""))</f>
        <v/>
      </c>
      <c r="H787" s="50"/>
      <c r="I787" s="82" t="str">
        <f aca="false">IF(OR(F787="",H787=""),"",F787*H787)</f>
        <v/>
      </c>
      <c r="J787" s="83" t="str">
        <f aca="false">IF(D787="","",IFERROR(INDEX(식자재단가!$M$4:$M$203,MATCH(D787,식자재단가!$C$4:$C$203,0)),"과세"))</f>
        <v/>
      </c>
      <c r="K787" s="28" t="str">
        <f aca="false">IF(I787="","",IF(J787="과세",ROUND(I787*0.1,0),0))</f>
        <v/>
      </c>
      <c r="L787" s="28" t="str">
        <f aca="false">IF(I787="","",I787+K787)</f>
        <v/>
      </c>
      <c r="M787" s="10"/>
      <c r="N787" s="80"/>
      <c r="O787" s="80"/>
      <c r="P787" s="59" t="str">
        <f aca="false">IF(E787="","",IFERROR(INDEX(기본설정!$H$4:$H$14,MATCH(E787,기본설정!$G$4:$G$14,0)),""))</f>
        <v/>
      </c>
    </row>
    <row r="788" customFormat="false" ht="15" hidden="false" customHeight="false" outlineLevel="0" collapsed="false">
      <c r="A788" s="73"/>
      <c r="B788" s="10"/>
      <c r="C788" s="80"/>
      <c r="D788" s="80"/>
      <c r="E788" s="81" t="str">
        <f aca="false">IF(D788="","",IFERROR(INDEX(식자재단가!$B$4:$B$203,MATCH(D788,식자재단가!$C$4:$C$203,0)),""))</f>
        <v/>
      </c>
      <c r="F788" s="76"/>
      <c r="G788" s="59" t="str">
        <f aca="false">IF(D788="","",IFERROR(INDEX(식자재단가!$F$4:$F$203,MATCH(D788,식자재단가!$C$4:$C$203,0)),""))</f>
        <v/>
      </c>
      <c r="H788" s="50"/>
      <c r="I788" s="82" t="str">
        <f aca="false">IF(OR(F788="",H788=""),"",F788*H788)</f>
        <v/>
      </c>
      <c r="J788" s="83" t="str">
        <f aca="false">IF(D788="","",IFERROR(INDEX(식자재단가!$M$4:$M$203,MATCH(D788,식자재단가!$C$4:$C$203,0)),"과세"))</f>
        <v/>
      </c>
      <c r="K788" s="28" t="str">
        <f aca="false">IF(I788="","",IF(J788="과세",ROUND(I788*0.1,0),0))</f>
        <v/>
      </c>
      <c r="L788" s="28" t="str">
        <f aca="false">IF(I788="","",I788+K788)</f>
        <v/>
      </c>
      <c r="M788" s="10"/>
      <c r="N788" s="80"/>
      <c r="O788" s="80"/>
      <c r="P788" s="59" t="str">
        <f aca="false">IF(E788="","",IFERROR(INDEX(기본설정!$H$4:$H$14,MATCH(E788,기본설정!$G$4:$G$14,0)),""))</f>
        <v/>
      </c>
    </row>
    <row r="789" customFormat="false" ht="15" hidden="false" customHeight="false" outlineLevel="0" collapsed="false">
      <c r="A789" s="73"/>
      <c r="B789" s="10"/>
      <c r="C789" s="80"/>
      <c r="D789" s="80"/>
      <c r="E789" s="81" t="str">
        <f aca="false">IF(D789="","",IFERROR(INDEX(식자재단가!$B$4:$B$203,MATCH(D789,식자재단가!$C$4:$C$203,0)),""))</f>
        <v/>
      </c>
      <c r="F789" s="76"/>
      <c r="G789" s="59" t="str">
        <f aca="false">IF(D789="","",IFERROR(INDEX(식자재단가!$F$4:$F$203,MATCH(D789,식자재단가!$C$4:$C$203,0)),""))</f>
        <v/>
      </c>
      <c r="H789" s="50"/>
      <c r="I789" s="82" t="str">
        <f aca="false">IF(OR(F789="",H789=""),"",F789*H789)</f>
        <v/>
      </c>
      <c r="J789" s="83" t="str">
        <f aca="false">IF(D789="","",IFERROR(INDEX(식자재단가!$M$4:$M$203,MATCH(D789,식자재단가!$C$4:$C$203,0)),"과세"))</f>
        <v/>
      </c>
      <c r="K789" s="28" t="str">
        <f aca="false">IF(I789="","",IF(J789="과세",ROUND(I789*0.1,0),0))</f>
        <v/>
      </c>
      <c r="L789" s="28" t="str">
        <f aca="false">IF(I789="","",I789+K789)</f>
        <v/>
      </c>
      <c r="M789" s="10"/>
      <c r="N789" s="80"/>
      <c r="O789" s="80"/>
      <c r="P789" s="59" t="str">
        <f aca="false">IF(E789="","",IFERROR(INDEX(기본설정!$H$4:$H$14,MATCH(E789,기본설정!$G$4:$G$14,0)),""))</f>
        <v/>
      </c>
    </row>
    <row r="790" customFormat="false" ht="15" hidden="false" customHeight="false" outlineLevel="0" collapsed="false">
      <c r="A790" s="73"/>
      <c r="B790" s="10"/>
      <c r="C790" s="80"/>
      <c r="D790" s="80"/>
      <c r="E790" s="81" t="str">
        <f aca="false">IF(D790="","",IFERROR(INDEX(식자재단가!$B$4:$B$203,MATCH(D790,식자재단가!$C$4:$C$203,0)),""))</f>
        <v/>
      </c>
      <c r="F790" s="76"/>
      <c r="G790" s="59" t="str">
        <f aca="false">IF(D790="","",IFERROR(INDEX(식자재단가!$F$4:$F$203,MATCH(D790,식자재단가!$C$4:$C$203,0)),""))</f>
        <v/>
      </c>
      <c r="H790" s="50"/>
      <c r="I790" s="82" t="str">
        <f aca="false">IF(OR(F790="",H790=""),"",F790*H790)</f>
        <v/>
      </c>
      <c r="J790" s="83" t="str">
        <f aca="false">IF(D790="","",IFERROR(INDEX(식자재단가!$M$4:$M$203,MATCH(D790,식자재단가!$C$4:$C$203,0)),"과세"))</f>
        <v/>
      </c>
      <c r="K790" s="28" t="str">
        <f aca="false">IF(I790="","",IF(J790="과세",ROUND(I790*0.1,0),0))</f>
        <v/>
      </c>
      <c r="L790" s="28" t="str">
        <f aca="false">IF(I790="","",I790+K790)</f>
        <v/>
      </c>
      <c r="M790" s="10"/>
      <c r="N790" s="80"/>
      <c r="O790" s="80"/>
      <c r="P790" s="59" t="str">
        <f aca="false">IF(E790="","",IFERROR(INDEX(기본설정!$H$4:$H$14,MATCH(E790,기본설정!$G$4:$G$14,0)),""))</f>
        <v/>
      </c>
    </row>
    <row r="791" customFormat="false" ht="15" hidden="false" customHeight="false" outlineLevel="0" collapsed="false">
      <c r="A791" s="73"/>
      <c r="B791" s="10"/>
      <c r="C791" s="80"/>
      <c r="D791" s="80"/>
      <c r="E791" s="81" t="str">
        <f aca="false">IF(D791="","",IFERROR(INDEX(식자재단가!$B$4:$B$203,MATCH(D791,식자재단가!$C$4:$C$203,0)),""))</f>
        <v/>
      </c>
      <c r="F791" s="76"/>
      <c r="G791" s="59" t="str">
        <f aca="false">IF(D791="","",IFERROR(INDEX(식자재단가!$F$4:$F$203,MATCH(D791,식자재단가!$C$4:$C$203,0)),""))</f>
        <v/>
      </c>
      <c r="H791" s="50"/>
      <c r="I791" s="82" t="str">
        <f aca="false">IF(OR(F791="",H791=""),"",F791*H791)</f>
        <v/>
      </c>
      <c r="J791" s="83" t="str">
        <f aca="false">IF(D791="","",IFERROR(INDEX(식자재단가!$M$4:$M$203,MATCH(D791,식자재단가!$C$4:$C$203,0)),"과세"))</f>
        <v/>
      </c>
      <c r="K791" s="28" t="str">
        <f aca="false">IF(I791="","",IF(J791="과세",ROUND(I791*0.1,0),0))</f>
        <v/>
      </c>
      <c r="L791" s="28" t="str">
        <f aca="false">IF(I791="","",I791+K791)</f>
        <v/>
      </c>
      <c r="M791" s="10"/>
      <c r="N791" s="80"/>
      <c r="O791" s="80"/>
      <c r="P791" s="59" t="str">
        <f aca="false">IF(E791="","",IFERROR(INDEX(기본설정!$H$4:$H$14,MATCH(E791,기본설정!$G$4:$G$14,0)),""))</f>
        <v/>
      </c>
    </row>
    <row r="792" customFormat="false" ht="15" hidden="false" customHeight="false" outlineLevel="0" collapsed="false">
      <c r="A792" s="73"/>
      <c r="B792" s="10"/>
      <c r="C792" s="80"/>
      <c r="D792" s="80"/>
      <c r="E792" s="81" t="str">
        <f aca="false">IF(D792="","",IFERROR(INDEX(식자재단가!$B$4:$B$203,MATCH(D792,식자재단가!$C$4:$C$203,0)),""))</f>
        <v/>
      </c>
      <c r="F792" s="76"/>
      <c r="G792" s="59" t="str">
        <f aca="false">IF(D792="","",IFERROR(INDEX(식자재단가!$F$4:$F$203,MATCH(D792,식자재단가!$C$4:$C$203,0)),""))</f>
        <v/>
      </c>
      <c r="H792" s="50"/>
      <c r="I792" s="82" t="str">
        <f aca="false">IF(OR(F792="",H792=""),"",F792*H792)</f>
        <v/>
      </c>
      <c r="J792" s="83" t="str">
        <f aca="false">IF(D792="","",IFERROR(INDEX(식자재단가!$M$4:$M$203,MATCH(D792,식자재단가!$C$4:$C$203,0)),"과세"))</f>
        <v/>
      </c>
      <c r="K792" s="28" t="str">
        <f aca="false">IF(I792="","",IF(J792="과세",ROUND(I792*0.1,0),0))</f>
        <v/>
      </c>
      <c r="L792" s="28" t="str">
        <f aca="false">IF(I792="","",I792+K792)</f>
        <v/>
      </c>
      <c r="M792" s="10"/>
      <c r="N792" s="80"/>
      <c r="O792" s="80"/>
      <c r="P792" s="59" t="str">
        <f aca="false">IF(E792="","",IFERROR(INDEX(기본설정!$H$4:$H$14,MATCH(E792,기본설정!$G$4:$G$14,0)),""))</f>
        <v/>
      </c>
    </row>
    <row r="793" customFormat="false" ht="15" hidden="false" customHeight="false" outlineLevel="0" collapsed="false">
      <c r="A793" s="73"/>
      <c r="B793" s="10"/>
      <c r="C793" s="80"/>
      <c r="D793" s="80"/>
      <c r="E793" s="81" t="str">
        <f aca="false">IF(D793="","",IFERROR(INDEX(식자재단가!$B$4:$B$203,MATCH(D793,식자재단가!$C$4:$C$203,0)),""))</f>
        <v/>
      </c>
      <c r="F793" s="76"/>
      <c r="G793" s="59" t="str">
        <f aca="false">IF(D793="","",IFERROR(INDEX(식자재단가!$F$4:$F$203,MATCH(D793,식자재단가!$C$4:$C$203,0)),""))</f>
        <v/>
      </c>
      <c r="H793" s="50"/>
      <c r="I793" s="82" t="str">
        <f aca="false">IF(OR(F793="",H793=""),"",F793*H793)</f>
        <v/>
      </c>
      <c r="J793" s="83" t="str">
        <f aca="false">IF(D793="","",IFERROR(INDEX(식자재단가!$M$4:$M$203,MATCH(D793,식자재단가!$C$4:$C$203,0)),"과세"))</f>
        <v/>
      </c>
      <c r="K793" s="28" t="str">
        <f aca="false">IF(I793="","",IF(J793="과세",ROUND(I793*0.1,0),0))</f>
        <v/>
      </c>
      <c r="L793" s="28" t="str">
        <f aca="false">IF(I793="","",I793+K793)</f>
        <v/>
      </c>
      <c r="M793" s="10"/>
      <c r="N793" s="80"/>
      <c r="O793" s="80"/>
      <c r="P793" s="59" t="str">
        <f aca="false">IF(E793="","",IFERROR(INDEX(기본설정!$H$4:$H$14,MATCH(E793,기본설정!$G$4:$G$14,0)),""))</f>
        <v/>
      </c>
    </row>
    <row r="794" customFormat="false" ht="15" hidden="false" customHeight="false" outlineLevel="0" collapsed="false">
      <c r="A794" s="73"/>
      <c r="B794" s="10"/>
      <c r="C794" s="80"/>
      <c r="D794" s="80"/>
      <c r="E794" s="81" t="str">
        <f aca="false">IF(D794="","",IFERROR(INDEX(식자재단가!$B$4:$B$203,MATCH(D794,식자재단가!$C$4:$C$203,0)),""))</f>
        <v/>
      </c>
      <c r="F794" s="76"/>
      <c r="G794" s="59" t="str">
        <f aca="false">IF(D794="","",IFERROR(INDEX(식자재단가!$F$4:$F$203,MATCH(D794,식자재단가!$C$4:$C$203,0)),""))</f>
        <v/>
      </c>
      <c r="H794" s="50"/>
      <c r="I794" s="82" t="str">
        <f aca="false">IF(OR(F794="",H794=""),"",F794*H794)</f>
        <v/>
      </c>
      <c r="J794" s="83" t="str">
        <f aca="false">IF(D794="","",IFERROR(INDEX(식자재단가!$M$4:$M$203,MATCH(D794,식자재단가!$C$4:$C$203,0)),"과세"))</f>
        <v/>
      </c>
      <c r="K794" s="28" t="str">
        <f aca="false">IF(I794="","",IF(J794="과세",ROUND(I794*0.1,0),0))</f>
        <v/>
      </c>
      <c r="L794" s="28" t="str">
        <f aca="false">IF(I794="","",I794+K794)</f>
        <v/>
      </c>
      <c r="M794" s="10"/>
      <c r="N794" s="80"/>
      <c r="O794" s="80"/>
      <c r="P794" s="59" t="str">
        <f aca="false">IF(E794="","",IFERROR(INDEX(기본설정!$H$4:$H$14,MATCH(E794,기본설정!$G$4:$G$14,0)),""))</f>
        <v/>
      </c>
    </row>
    <row r="795" customFormat="false" ht="15" hidden="false" customHeight="false" outlineLevel="0" collapsed="false">
      <c r="A795" s="73"/>
      <c r="B795" s="10"/>
      <c r="C795" s="80"/>
      <c r="D795" s="80"/>
      <c r="E795" s="81" t="str">
        <f aca="false">IF(D795="","",IFERROR(INDEX(식자재단가!$B$4:$B$203,MATCH(D795,식자재단가!$C$4:$C$203,0)),""))</f>
        <v/>
      </c>
      <c r="F795" s="76"/>
      <c r="G795" s="59" t="str">
        <f aca="false">IF(D795="","",IFERROR(INDEX(식자재단가!$F$4:$F$203,MATCH(D795,식자재단가!$C$4:$C$203,0)),""))</f>
        <v/>
      </c>
      <c r="H795" s="50"/>
      <c r="I795" s="82" t="str">
        <f aca="false">IF(OR(F795="",H795=""),"",F795*H795)</f>
        <v/>
      </c>
      <c r="J795" s="83" t="str">
        <f aca="false">IF(D795="","",IFERROR(INDEX(식자재단가!$M$4:$M$203,MATCH(D795,식자재단가!$C$4:$C$203,0)),"과세"))</f>
        <v/>
      </c>
      <c r="K795" s="28" t="str">
        <f aca="false">IF(I795="","",IF(J795="과세",ROUND(I795*0.1,0),0))</f>
        <v/>
      </c>
      <c r="L795" s="28" t="str">
        <f aca="false">IF(I795="","",I795+K795)</f>
        <v/>
      </c>
      <c r="M795" s="10"/>
      <c r="N795" s="80"/>
      <c r="O795" s="80"/>
      <c r="P795" s="59" t="str">
        <f aca="false">IF(E795="","",IFERROR(INDEX(기본설정!$H$4:$H$14,MATCH(E795,기본설정!$G$4:$G$14,0)),""))</f>
        <v/>
      </c>
    </row>
    <row r="796" customFormat="false" ht="15" hidden="false" customHeight="false" outlineLevel="0" collapsed="false">
      <c r="A796" s="73"/>
      <c r="B796" s="10"/>
      <c r="C796" s="80"/>
      <c r="D796" s="80"/>
      <c r="E796" s="81" t="str">
        <f aca="false">IF(D796="","",IFERROR(INDEX(식자재단가!$B$4:$B$203,MATCH(D796,식자재단가!$C$4:$C$203,0)),""))</f>
        <v/>
      </c>
      <c r="F796" s="76"/>
      <c r="G796" s="59" t="str">
        <f aca="false">IF(D796="","",IFERROR(INDEX(식자재단가!$F$4:$F$203,MATCH(D796,식자재단가!$C$4:$C$203,0)),""))</f>
        <v/>
      </c>
      <c r="H796" s="50"/>
      <c r="I796" s="82" t="str">
        <f aca="false">IF(OR(F796="",H796=""),"",F796*H796)</f>
        <v/>
      </c>
      <c r="J796" s="83" t="str">
        <f aca="false">IF(D796="","",IFERROR(INDEX(식자재단가!$M$4:$M$203,MATCH(D796,식자재단가!$C$4:$C$203,0)),"과세"))</f>
        <v/>
      </c>
      <c r="K796" s="28" t="str">
        <f aca="false">IF(I796="","",IF(J796="과세",ROUND(I796*0.1,0),0))</f>
        <v/>
      </c>
      <c r="L796" s="28" t="str">
        <f aca="false">IF(I796="","",I796+K796)</f>
        <v/>
      </c>
      <c r="M796" s="10"/>
      <c r="N796" s="80"/>
      <c r="O796" s="80"/>
      <c r="P796" s="59" t="str">
        <f aca="false">IF(E796="","",IFERROR(INDEX(기본설정!$H$4:$H$14,MATCH(E796,기본설정!$G$4:$G$14,0)),""))</f>
        <v/>
      </c>
    </row>
    <row r="797" customFormat="false" ht="15" hidden="false" customHeight="false" outlineLevel="0" collapsed="false">
      <c r="A797" s="73"/>
      <c r="B797" s="10"/>
      <c r="C797" s="80"/>
      <c r="D797" s="80"/>
      <c r="E797" s="81" t="str">
        <f aca="false">IF(D797="","",IFERROR(INDEX(식자재단가!$B$4:$B$203,MATCH(D797,식자재단가!$C$4:$C$203,0)),""))</f>
        <v/>
      </c>
      <c r="F797" s="76"/>
      <c r="G797" s="59" t="str">
        <f aca="false">IF(D797="","",IFERROR(INDEX(식자재단가!$F$4:$F$203,MATCH(D797,식자재단가!$C$4:$C$203,0)),""))</f>
        <v/>
      </c>
      <c r="H797" s="50"/>
      <c r="I797" s="82" t="str">
        <f aca="false">IF(OR(F797="",H797=""),"",F797*H797)</f>
        <v/>
      </c>
      <c r="J797" s="83" t="str">
        <f aca="false">IF(D797="","",IFERROR(INDEX(식자재단가!$M$4:$M$203,MATCH(D797,식자재단가!$C$4:$C$203,0)),"과세"))</f>
        <v/>
      </c>
      <c r="K797" s="28" t="str">
        <f aca="false">IF(I797="","",IF(J797="과세",ROUND(I797*0.1,0),0))</f>
        <v/>
      </c>
      <c r="L797" s="28" t="str">
        <f aca="false">IF(I797="","",I797+K797)</f>
        <v/>
      </c>
      <c r="M797" s="10"/>
      <c r="N797" s="80"/>
      <c r="O797" s="80"/>
      <c r="P797" s="59" t="str">
        <f aca="false">IF(E797="","",IFERROR(INDEX(기본설정!$H$4:$H$14,MATCH(E797,기본설정!$G$4:$G$14,0)),""))</f>
        <v/>
      </c>
    </row>
    <row r="798" customFormat="false" ht="15" hidden="false" customHeight="false" outlineLevel="0" collapsed="false">
      <c r="A798" s="73"/>
      <c r="B798" s="10"/>
      <c r="C798" s="80"/>
      <c r="D798" s="80"/>
      <c r="E798" s="81" t="str">
        <f aca="false">IF(D798="","",IFERROR(INDEX(식자재단가!$B$4:$B$203,MATCH(D798,식자재단가!$C$4:$C$203,0)),""))</f>
        <v/>
      </c>
      <c r="F798" s="76"/>
      <c r="G798" s="59" t="str">
        <f aca="false">IF(D798="","",IFERROR(INDEX(식자재단가!$F$4:$F$203,MATCH(D798,식자재단가!$C$4:$C$203,0)),""))</f>
        <v/>
      </c>
      <c r="H798" s="50"/>
      <c r="I798" s="82" t="str">
        <f aca="false">IF(OR(F798="",H798=""),"",F798*H798)</f>
        <v/>
      </c>
      <c r="J798" s="83" t="str">
        <f aca="false">IF(D798="","",IFERROR(INDEX(식자재단가!$M$4:$M$203,MATCH(D798,식자재단가!$C$4:$C$203,0)),"과세"))</f>
        <v/>
      </c>
      <c r="K798" s="28" t="str">
        <f aca="false">IF(I798="","",IF(J798="과세",ROUND(I798*0.1,0),0))</f>
        <v/>
      </c>
      <c r="L798" s="28" t="str">
        <f aca="false">IF(I798="","",I798+K798)</f>
        <v/>
      </c>
      <c r="M798" s="10"/>
      <c r="N798" s="80"/>
      <c r="O798" s="80"/>
      <c r="P798" s="59" t="str">
        <f aca="false">IF(E798="","",IFERROR(INDEX(기본설정!$H$4:$H$14,MATCH(E798,기본설정!$G$4:$G$14,0)),""))</f>
        <v/>
      </c>
    </row>
    <row r="799" customFormat="false" ht="15" hidden="false" customHeight="false" outlineLevel="0" collapsed="false">
      <c r="A799" s="73"/>
      <c r="B799" s="10"/>
      <c r="C799" s="80"/>
      <c r="D799" s="80"/>
      <c r="E799" s="81" t="str">
        <f aca="false">IF(D799="","",IFERROR(INDEX(식자재단가!$B$4:$B$203,MATCH(D799,식자재단가!$C$4:$C$203,0)),""))</f>
        <v/>
      </c>
      <c r="F799" s="76"/>
      <c r="G799" s="59" t="str">
        <f aca="false">IF(D799="","",IFERROR(INDEX(식자재단가!$F$4:$F$203,MATCH(D799,식자재단가!$C$4:$C$203,0)),""))</f>
        <v/>
      </c>
      <c r="H799" s="50"/>
      <c r="I799" s="82" t="str">
        <f aca="false">IF(OR(F799="",H799=""),"",F799*H799)</f>
        <v/>
      </c>
      <c r="J799" s="83" t="str">
        <f aca="false">IF(D799="","",IFERROR(INDEX(식자재단가!$M$4:$M$203,MATCH(D799,식자재단가!$C$4:$C$203,0)),"과세"))</f>
        <v/>
      </c>
      <c r="K799" s="28" t="str">
        <f aca="false">IF(I799="","",IF(J799="과세",ROUND(I799*0.1,0),0))</f>
        <v/>
      </c>
      <c r="L799" s="28" t="str">
        <f aca="false">IF(I799="","",I799+K799)</f>
        <v/>
      </c>
      <c r="M799" s="10"/>
      <c r="N799" s="80"/>
      <c r="O799" s="80"/>
      <c r="P799" s="59" t="str">
        <f aca="false">IF(E799="","",IFERROR(INDEX(기본설정!$H$4:$H$14,MATCH(E799,기본설정!$G$4:$G$14,0)),""))</f>
        <v/>
      </c>
    </row>
    <row r="800" customFormat="false" ht="15" hidden="false" customHeight="false" outlineLevel="0" collapsed="false">
      <c r="A800" s="73"/>
      <c r="B800" s="10"/>
      <c r="C800" s="80"/>
      <c r="D800" s="80"/>
      <c r="E800" s="81" t="str">
        <f aca="false">IF(D800="","",IFERROR(INDEX(식자재단가!$B$4:$B$203,MATCH(D800,식자재단가!$C$4:$C$203,0)),""))</f>
        <v/>
      </c>
      <c r="F800" s="76"/>
      <c r="G800" s="59" t="str">
        <f aca="false">IF(D800="","",IFERROR(INDEX(식자재단가!$F$4:$F$203,MATCH(D800,식자재단가!$C$4:$C$203,0)),""))</f>
        <v/>
      </c>
      <c r="H800" s="50"/>
      <c r="I800" s="82" t="str">
        <f aca="false">IF(OR(F800="",H800=""),"",F800*H800)</f>
        <v/>
      </c>
      <c r="J800" s="83" t="str">
        <f aca="false">IF(D800="","",IFERROR(INDEX(식자재단가!$M$4:$M$203,MATCH(D800,식자재단가!$C$4:$C$203,0)),"과세"))</f>
        <v/>
      </c>
      <c r="K800" s="28" t="str">
        <f aca="false">IF(I800="","",IF(J800="과세",ROUND(I800*0.1,0),0))</f>
        <v/>
      </c>
      <c r="L800" s="28" t="str">
        <f aca="false">IF(I800="","",I800+K800)</f>
        <v/>
      </c>
      <c r="M800" s="10"/>
      <c r="N800" s="80"/>
      <c r="O800" s="80"/>
      <c r="P800" s="59" t="str">
        <f aca="false">IF(E800="","",IFERROR(INDEX(기본설정!$H$4:$H$14,MATCH(E800,기본설정!$G$4:$G$14,0)),""))</f>
        <v/>
      </c>
    </row>
    <row r="801" customFormat="false" ht="15" hidden="false" customHeight="false" outlineLevel="0" collapsed="false">
      <c r="A801" s="73"/>
      <c r="B801" s="10"/>
      <c r="C801" s="80"/>
      <c r="D801" s="80"/>
      <c r="E801" s="81" t="str">
        <f aca="false">IF(D801="","",IFERROR(INDEX(식자재단가!$B$4:$B$203,MATCH(D801,식자재단가!$C$4:$C$203,0)),""))</f>
        <v/>
      </c>
      <c r="F801" s="76"/>
      <c r="G801" s="59" t="str">
        <f aca="false">IF(D801="","",IFERROR(INDEX(식자재단가!$F$4:$F$203,MATCH(D801,식자재단가!$C$4:$C$203,0)),""))</f>
        <v/>
      </c>
      <c r="H801" s="50"/>
      <c r="I801" s="82" t="str">
        <f aca="false">IF(OR(F801="",H801=""),"",F801*H801)</f>
        <v/>
      </c>
      <c r="J801" s="83" t="str">
        <f aca="false">IF(D801="","",IFERROR(INDEX(식자재단가!$M$4:$M$203,MATCH(D801,식자재단가!$C$4:$C$203,0)),"과세"))</f>
        <v/>
      </c>
      <c r="K801" s="28" t="str">
        <f aca="false">IF(I801="","",IF(J801="과세",ROUND(I801*0.1,0),0))</f>
        <v/>
      </c>
      <c r="L801" s="28" t="str">
        <f aca="false">IF(I801="","",I801+K801)</f>
        <v/>
      </c>
      <c r="M801" s="10"/>
      <c r="N801" s="80"/>
      <c r="O801" s="80"/>
      <c r="P801" s="59" t="str">
        <f aca="false">IF(E801="","",IFERROR(INDEX(기본설정!$H$4:$H$14,MATCH(E801,기본설정!$G$4:$G$14,0)),""))</f>
        <v/>
      </c>
    </row>
    <row r="802" customFormat="false" ht="15" hidden="false" customHeight="false" outlineLevel="0" collapsed="false">
      <c r="A802" s="73"/>
      <c r="B802" s="10"/>
      <c r="C802" s="80"/>
      <c r="D802" s="80"/>
      <c r="E802" s="81" t="str">
        <f aca="false">IF(D802="","",IFERROR(INDEX(식자재단가!$B$4:$B$203,MATCH(D802,식자재단가!$C$4:$C$203,0)),""))</f>
        <v/>
      </c>
      <c r="F802" s="76"/>
      <c r="G802" s="59" t="str">
        <f aca="false">IF(D802="","",IFERROR(INDEX(식자재단가!$F$4:$F$203,MATCH(D802,식자재단가!$C$4:$C$203,0)),""))</f>
        <v/>
      </c>
      <c r="H802" s="50"/>
      <c r="I802" s="82" t="str">
        <f aca="false">IF(OR(F802="",H802=""),"",F802*H802)</f>
        <v/>
      </c>
      <c r="J802" s="83" t="str">
        <f aca="false">IF(D802="","",IFERROR(INDEX(식자재단가!$M$4:$M$203,MATCH(D802,식자재단가!$C$4:$C$203,0)),"과세"))</f>
        <v/>
      </c>
      <c r="K802" s="28" t="str">
        <f aca="false">IF(I802="","",IF(J802="과세",ROUND(I802*0.1,0),0))</f>
        <v/>
      </c>
      <c r="L802" s="28" t="str">
        <f aca="false">IF(I802="","",I802+K802)</f>
        <v/>
      </c>
      <c r="M802" s="10"/>
      <c r="N802" s="80"/>
      <c r="O802" s="80"/>
      <c r="P802" s="59" t="str">
        <f aca="false">IF(E802="","",IFERROR(INDEX(기본설정!$H$4:$H$14,MATCH(E802,기본설정!$G$4:$G$14,0)),""))</f>
        <v/>
      </c>
    </row>
    <row r="803" customFormat="false" ht="15" hidden="false" customHeight="false" outlineLevel="0" collapsed="false">
      <c r="A803" s="73"/>
      <c r="B803" s="10"/>
      <c r="C803" s="80"/>
      <c r="D803" s="80"/>
      <c r="E803" s="81" t="str">
        <f aca="false">IF(D803="","",IFERROR(INDEX(식자재단가!$B$4:$B$203,MATCH(D803,식자재단가!$C$4:$C$203,0)),""))</f>
        <v/>
      </c>
      <c r="F803" s="76"/>
      <c r="G803" s="59" t="str">
        <f aca="false">IF(D803="","",IFERROR(INDEX(식자재단가!$F$4:$F$203,MATCH(D803,식자재단가!$C$4:$C$203,0)),""))</f>
        <v/>
      </c>
      <c r="H803" s="50"/>
      <c r="I803" s="82" t="str">
        <f aca="false">IF(OR(F803="",H803=""),"",F803*H803)</f>
        <v/>
      </c>
      <c r="J803" s="83" t="str">
        <f aca="false">IF(D803="","",IFERROR(INDEX(식자재단가!$M$4:$M$203,MATCH(D803,식자재단가!$C$4:$C$203,0)),"과세"))</f>
        <v/>
      </c>
      <c r="K803" s="28" t="str">
        <f aca="false">IF(I803="","",IF(J803="과세",ROUND(I803*0.1,0),0))</f>
        <v/>
      </c>
      <c r="L803" s="28" t="str">
        <f aca="false">IF(I803="","",I803+K803)</f>
        <v/>
      </c>
      <c r="M803" s="10"/>
      <c r="N803" s="80"/>
      <c r="O803" s="80"/>
      <c r="P803" s="59" t="str">
        <f aca="false">IF(E803="","",IFERROR(INDEX(기본설정!$H$4:$H$14,MATCH(E803,기본설정!$G$4:$G$14,0)),""))</f>
        <v/>
      </c>
    </row>
    <row r="804" customFormat="false" ht="15" hidden="false" customHeight="false" outlineLevel="0" collapsed="false">
      <c r="A804" s="73"/>
      <c r="B804" s="10"/>
      <c r="C804" s="80"/>
      <c r="D804" s="80"/>
      <c r="E804" s="81" t="str">
        <f aca="false">IF(D804="","",IFERROR(INDEX(식자재단가!$B$4:$B$203,MATCH(D804,식자재단가!$C$4:$C$203,0)),""))</f>
        <v/>
      </c>
      <c r="F804" s="76"/>
      <c r="G804" s="59" t="str">
        <f aca="false">IF(D804="","",IFERROR(INDEX(식자재단가!$F$4:$F$203,MATCH(D804,식자재단가!$C$4:$C$203,0)),""))</f>
        <v/>
      </c>
      <c r="H804" s="50"/>
      <c r="I804" s="82" t="str">
        <f aca="false">IF(OR(F804="",H804=""),"",F804*H804)</f>
        <v/>
      </c>
      <c r="J804" s="83" t="str">
        <f aca="false">IF(D804="","",IFERROR(INDEX(식자재단가!$M$4:$M$203,MATCH(D804,식자재단가!$C$4:$C$203,0)),"과세"))</f>
        <v/>
      </c>
      <c r="K804" s="28" t="str">
        <f aca="false">IF(I804="","",IF(J804="과세",ROUND(I804*0.1,0),0))</f>
        <v/>
      </c>
      <c r="L804" s="28" t="str">
        <f aca="false">IF(I804="","",I804+K804)</f>
        <v/>
      </c>
      <c r="M804" s="10"/>
      <c r="N804" s="80"/>
      <c r="O804" s="80"/>
      <c r="P804" s="59" t="str">
        <f aca="false">IF(E804="","",IFERROR(INDEX(기본설정!$H$4:$H$14,MATCH(E804,기본설정!$G$4:$G$14,0)),""))</f>
        <v/>
      </c>
    </row>
    <row r="805" customFormat="false" ht="15" hidden="false" customHeight="false" outlineLevel="0" collapsed="false">
      <c r="A805" s="73"/>
      <c r="B805" s="10"/>
      <c r="C805" s="80"/>
      <c r="D805" s="80"/>
      <c r="E805" s="81" t="str">
        <f aca="false">IF(D805="","",IFERROR(INDEX(식자재단가!$B$4:$B$203,MATCH(D805,식자재단가!$C$4:$C$203,0)),""))</f>
        <v/>
      </c>
      <c r="F805" s="76"/>
      <c r="G805" s="59" t="str">
        <f aca="false">IF(D805="","",IFERROR(INDEX(식자재단가!$F$4:$F$203,MATCH(D805,식자재단가!$C$4:$C$203,0)),""))</f>
        <v/>
      </c>
      <c r="H805" s="50"/>
      <c r="I805" s="82" t="str">
        <f aca="false">IF(OR(F805="",H805=""),"",F805*H805)</f>
        <v/>
      </c>
      <c r="J805" s="83" t="str">
        <f aca="false">IF(D805="","",IFERROR(INDEX(식자재단가!$M$4:$M$203,MATCH(D805,식자재단가!$C$4:$C$203,0)),"과세"))</f>
        <v/>
      </c>
      <c r="K805" s="28" t="str">
        <f aca="false">IF(I805="","",IF(J805="과세",ROUND(I805*0.1,0),0))</f>
        <v/>
      </c>
      <c r="L805" s="28" t="str">
        <f aca="false">IF(I805="","",I805+K805)</f>
        <v/>
      </c>
      <c r="M805" s="10"/>
      <c r="N805" s="80"/>
      <c r="O805" s="80"/>
      <c r="P805" s="59" t="str">
        <f aca="false">IF(E805="","",IFERROR(INDEX(기본설정!$H$4:$H$14,MATCH(E805,기본설정!$G$4:$G$14,0)),""))</f>
        <v/>
      </c>
    </row>
    <row r="806" customFormat="false" ht="15" hidden="false" customHeight="false" outlineLevel="0" collapsed="false">
      <c r="A806" s="73"/>
      <c r="B806" s="10"/>
      <c r="C806" s="80"/>
      <c r="D806" s="80"/>
      <c r="E806" s="81" t="str">
        <f aca="false">IF(D806="","",IFERROR(INDEX(식자재단가!$B$4:$B$203,MATCH(D806,식자재단가!$C$4:$C$203,0)),""))</f>
        <v/>
      </c>
      <c r="F806" s="76"/>
      <c r="G806" s="59" t="str">
        <f aca="false">IF(D806="","",IFERROR(INDEX(식자재단가!$F$4:$F$203,MATCH(D806,식자재단가!$C$4:$C$203,0)),""))</f>
        <v/>
      </c>
      <c r="H806" s="50"/>
      <c r="I806" s="82" t="str">
        <f aca="false">IF(OR(F806="",H806=""),"",F806*H806)</f>
        <v/>
      </c>
      <c r="J806" s="83" t="str">
        <f aca="false">IF(D806="","",IFERROR(INDEX(식자재단가!$M$4:$M$203,MATCH(D806,식자재단가!$C$4:$C$203,0)),"과세"))</f>
        <v/>
      </c>
      <c r="K806" s="28" t="str">
        <f aca="false">IF(I806="","",IF(J806="과세",ROUND(I806*0.1,0),0))</f>
        <v/>
      </c>
      <c r="L806" s="28" t="str">
        <f aca="false">IF(I806="","",I806+K806)</f>
        <v/>
      </c>
      <c r="M806" s="10"/>
      <c r="N806" s="80"/>
      <c r="O806" s="80"/>
      <c r="P806" s="59" t="str">
        <f aca="false">IF(E806="","",IFERROR(INDEX(기본설정!$H$4:$H$14,MATCH(E806,기본설정!$G$4:$G$14,0)),""))</f>
        <v/>
      </c>
    </row>
    <row r="807" customFormat="false" ht="15" hidden="false" customHeight="false" outlineLevel="0" collapsed="false">
      <c r="A807" s="73"/>
      <c r="B807" s="10"/>
      <c r="C807" s="80"/>
      <c r="D807" s="80"/>
      <c r="E807" s="81" t="str">
        <f aca="false">IF(D807="","",IFERROR(INDEX(식자재단가!$B$4:$B$203,MATCH(D807,식자재단가!$C$4:$C$203,0)),""))</f>
        <v/>
      </c>
      <c r="F807" s="76"/>
      <c r="G807" s="59" t="str">
        <f aca="false">IF(D807="","",IFERROR(INDEX(식자재단가!$F$4:$F$203,MATCH(D807,식자재단가!$C$4:$C$203,0)),""))</f>
        <v/>
      </c>
      <c r="H807" s="50"/>
      <c r="I807" s="82" t="str">
        <f aca="false">IF(OR(F807="",H807=""),"",F807*H807)</f>
        <v/>
      </c>
      <c r="J807" s="83" t="str">
        <f aca="false">IF(D807="","",IFERROR(INDEX(식자재단가!$M$4:$M$203,MATCH(D807,식자재단가!$C$4:$C$203,0)),"과세"))</f>
        <v/>
      </c>
      <c r="K807" s="28" t="str">
        <f aca="false">IF(I807="","",IF(J807="과세",ROUND(I807*0.1,0),0))</f>
        <v/>
      </c>
      <c r="L807" s="28" t="str">
        <f aca="false">IF(I807="","",I807+K807)</f>
        <v/>
      </c>
      <c r="M807" s="10"/>
      <c r="N807" s="80"/>
      <c r="O807" s="80"/>
      <c r="P807" s="59" t="str">
        <f aca="false">IF(E807="","",IFERROR(INDEX(기본설정!$H$4:$H$14,MATCH(E807,기본설정!$G$4:$G$14,0)),""))</f>
        <v/>
      </c>
    </row>
    <row r="808" customFormat="false" ht="15" hidden="false" customHeight="false" outlineLevel="0" collapsed="false">
      <c r="A808" s="73"/>
      <c r="B808" s="10"/>
      <c r="C808" s="80"/>
      <c r="D808" s="80"/>
      <c r="E808" s="81" t="str">
        <f aca="false">IF(D808="","",IFERROR(INDEX(식자재단가!$B$4:$B$203,MATCH(D808,식자재단가!$C$4:$C$203,0)),""))</f>
        <v/>
      </c>
      <c r="F808" s="76"/>
      <c r="G808" s="59" t="str">
        <f aca="false">IF(D808="","",IFERROR(INDEX(식자재단가!$F$4:$F$203,MATCH(D808,식자재단가!$C$4:$C$203,0)),""))</f>
        <v/>
      </c>
      <c r="H808" s="50"/>
      <c r="I808" s="82" t="str">
        <f aca="false">IF(OR(F808="",H808=""),"",F808*H808)</f>
        <v/>
      </c>
      <c r="J808" s="83" t="str">
        <f aca="false">IF(D808="","",IFERROR(INDEX(식자재단가!$M$4:$M$203,MATCH(D808,식자재단가!$C$4:$C$203,0)),"과세"))</f>
        <v/>
      </c>
      <c r="K808" s="28" t="str">
        <f aca="false">IF(I808="","",IF(J808="과세",ROUND(I808*0.1,0),0))</f>
        <v/>
      </c>
      <c r="L808" s="28" t="str">
        <f aca="false">IF(I808="","",I808+K808)</f>
        <v/>
      </c>
      <c r="M808" s="10"/>
      <c r="N808" s="80"/>
      <c r="O808" s="80"/>
      <c r="P808" s="59" t="str">
        <f aca="false">IF(E808="","",IFERROR(INDEX(기본설정!$H$4:$H$14,MATCH(E808,기본설정!$G$4:$G$14,0)),""))</f>
        <v/>
      </c>
    </row>
    <row r="809" customFormat="false" ht="15" hidden="false" customHeight="false" outlineLevel="0" collapsed="false">
      <c r="A809" s="73"/>
      <c r="B809" s="10"/>
      <c r="C809" s="80"/>
      <c r="D809" s="80"/>
      <c r="E809" s="81" t="str">
        <f aca="false">IF(D809="","",IFERROR(INDEX(식자재단가!$B$4:$B$203,MATCH(D809,식자재단가!$C$4:$C$203,0)),""))</f>
        <v/>
      </c>
      <c r="F809" s="76"/>
      <c r="G809" s="59" t="str">
        <f aca="false">IF(D809="","",IFERROR(INDEX(식자재단가!$F$4:$F$203,MATCH(D809,식자재단가!$C$4:$C$203,0)),""))</f>
        <v/>
      </c>
      <c r="H809" s="50"/>
      <c r="I809" s="82" t="str">
        <f aca="false">IF(OR(F809="",H809=""),"",F809*H809)</f>
        <v/>
      </c>
      <c r="J809" s="83" t="str">
        <f aca="false">IF(D809="","",IFERROR(INDEX(식자재단가!$M$4:$M$203,MATCH(D809,식자재단가!$C$4:$C$203,0)),"과세"))</f>
        <v/>
      </c>
      <c r="K809" s="28" t="str">
        <f aca="false">IF(I809="","",IF(J809="과세",ROUND(I809*0.1,0),0))</f>
        <v/>
      </c>
      <c r="L809" s="28" t="str">
        <f aca="false">IF(I809="","",I809+K809)</f>
        <v/>
      </c>
      <c r="M809" s="10"/>
      <c r="N809" s="80"/>
      <c r="O809" s="80"/>
      <c r="P809" s="59" t="str">
        <f aca="false">IF(E809="","",IFERROR(INDEX(기본설정!$H$4:$H$14,MATCH(E809,기본설정!$G$4:$G$14,0)),""))</f>
        <v/>
      </c>
    </row>
    <row r="810" customFormat="false" ht="15" hidden="false" customHeight="false" outlineLevel="0" collapsed="false">
      <c r="A810" s="73"/>
      <c r="B810" s="10"/>
      <c r="C810" s="80"/>
      <c r="D810" s="80"/>
      <c r="E810" s="81" t="str">
        <f aca="false">IF(D810="","",IFERROR(INDEX(식자재단가!$B$4:$B$203,MATCH(D810,식자재단가!$C$4:$C$203,0)),""))</f>
        <v/>
      </c>
      <c r="F810" s="76"/>
      <c r="G810" s="59" t="str">
        <f aca="false">IF(D810="","",IFERROR(INDEX(식자재단가!$F$4:$F$203,MATCH(D810,식자재단가!$C$4:$C$203,0)),""))</f>
        <v/>
      </c>
      <c r="H810" s="50"/>
      <c r="I810" s="82" t="str">
        <f aca="false">IF(OR(F810="",H810=""),"",F810*H810)</f>
        <v/>
      </c>
      <c r="J810" s="83" t="str">
        <f aca="false">IF(D810="","",IFERROR(INDEX(식자재단가!$M$4:$M$203,MATCH(D810,식자재단가!$C$4:$C$203,0)),"과세"))</f>
        <v/>
      </c>
      <c r="K810" s="28" t="str">
        <f aca="false">IF(I810="","",IF(J810="과세",ROUND(I810*0.1,0),0))</f>
        <v/>
      </c>
      <c r="L810" s="28" t="str">
        <f aca="false">IF(I810="","",I810+K810)</f>
        <v/>
      </c>
      <c r="M810" s="10"/>
      <c r="N810" s="80"/>
      <c r="O810" s="80"/>
      <c r="P810" s="59" t="str">
        <f aca="false">IF(E810="","",IFERROR(INDEX(기본설정!$H$4:$H$14,MATCH(E810,기본설정!$G$4:$G$14,0)),""))</f>
        <v/>
      </c>
    </row>
    <row r="811" customFormat="false" ht="15" hidden="false" customHeight="false" outlineLevel="0" collapsed="false">
      <c r="A811" s="73"/>
      <c r="B811" s="10"/>
      <c r="C811" s="80"/>
      <c r="D811" s="80"/>
      <c r="E811" s="81" t="str">
        <f aca="false">IF(D811="","",IFERROR(INDEX(식자재단가!$B$4:$B$203,MATCH(D811,식자재단가!$C$4:$C$203,0)),""))</f>
        <v/>
      </c>
      <c r="F811" s="76"/>
      <c r="G811" s="59" t="str">
        <f aca="false">IF(D811="","",IFERROR(INDEX(식자재단가!$F$4:$F$203,MATCH(D811,식자재단가!$C$4:$C$203,0)),""))</f>
        <v/>
      </c>
      <c r="H811" s="50"/>
      <c r="I811" s="82" t="str">
        <f aca="false">IF(OR(F811="",H811=""),"",F811*H811)</f>
        <v/>
      </c>
      <c r="J811" s="83" t="str">
        <f aca="false">IF(D811="","",IFERROR(INDEX(식자재단가!$M$4:$M$203,MATCH(D811,식자재단가!$C$4:$C$203,0)),"과세"))</f>
        <v/>
      </c>
      <c r="K811" s="28" t="str">
        <f aca="false">IF(I811="","",IF(J811="과세",ROUND(I811*0.1,0),0))</f>
        <v/>
      </c>
      <c r="L811" s="28" t="str">
        <f aca="false">IF(I811="","",I811+K811)</f>
        <v/>
      </c>
      <c r="M811" s="10"/>
      <c r="N811" s="80"/>
      <c r="O811" s="80"/>
      <c r="P811" s="59" t="str">
        <f aca="false">IF(E811="","",IFERROR(INDEX(기본설정!$H$4:$H$14,MATCH(E811,기본설정!$G$4:$G$14,0)),""))</f>
        <v/>
      </c>
    </row>
    <row r="812" customFormat="false" ht="15" hidden="false" customHeight="false" outlineLevel="0" collapsed="false">
      <c r="A812" s="73"/>
      <c r="B812" s="10"/>
      <c r="C812" s="80"/>
      <c r="D812" s="80"/>
      <c r="E812" s="81" t="str">
        <f aca="false">IF(D812="","",IFERROR(INDEX(식자재단가!$B$4:$B$203,MATCH(D812,식자재단가!$C$4:$C$203,0)),""))</f>
        <v/>
      </c>
      <c r="F812" s="76"/>
      <c r="G812" s="59" t="str">
        <f aca="false">IF(D812="","",IFERROR(INDEX(식자재단가!$F$4:$F$203,MATCH(D812,식자재단가!$C$4:$C$203,0)),""))</f>
        <v/>
      </c>
      <c r="H812" s="50"/>
      <c r="I812" s="82" t="str">
        <f aca="false">IF(OR(F812="",H812=""),"",F812*H812)</f>
        <v/>
      </c>
      <c r="J812" s="83" t="str">
        <f aca="false">IF(D812="","",IFERROR(INDEX(식자재단가!$M$4:$M$203,MATCH(D812,식자재단가!$C$4:$C$203,0)),"과세"))</f>
        <v/>
      </c>
      <c r="K812" s="28" t="str">
        <f aca="false">IF(I812="","",IF(J812="과세",ROUND(I812*0.1,0),0))</f>
        <v/>
      </c>
      <c r="L812" s="28" t="str">
        <f aca="false">IF(I812="","",I812+K812)</f>
        <v/>
      </c>
      <c r="M812" s="10"/>
      <c r="N812" s="80"/>
      <c r="O812" s="80"/>
      <c r="P812" s="59" t="str">
        <f aca="false">IF(E812="","",IFERROR(INDEX(기본설정!$H$4:$H$14,MATCH(E812,기본설정!$G$4:$G$14,0)),""))</f>
        <v/>
      </c>
    </row>
    <row r="813" customFormat="false" ht="15" hidden="false" customHeight="false" outlineLevel="0" collapsed="false">
      <c r="A813" s="73"/>
      <c r="B813" s="10"/>
      <c r="C813" s="80"/>
      <c r="D813" s="80"/>
      <c r="E813" s="81" t="str">
        <f aca="false">IF(D813="","",IFERROR(INDEX(식자재단가!$B$4:$B$203,MATCH(D813,식자재단가!$C$4:$C$203,0)),""))</f>
        <v/>
      </c>
      <c r="F813" s="76"/>
      <c r="G813" s="59" t="str">
        <f aca="false">IF(D813="","",IFERROR(INDEX(식자재단가!$F$4:$F$203,MATCH(D813,식자재단가!$C$4:$C$203,0)),""))</f>
        <v/>
      </c>
      <c r="H813" s="50"/>
      <c r="I813" s="82" t="str">
        <f aca="false">IF(OR(F813="",H813=""),"",F813*H813)</f>
        <v/>
      </c>
      <c r="J813" s="83" t="str">
        <f aca="false">IF(D813="","",IFERROR(INDEX(식자재단가!$M$4:$M$203,MATCH(D813,식자재단가!$C$4:$C$203,0)),"과세"))</f>
        <v/>
      </c>
      <c r="K813" s="28" t="str">
        <f aca="false">IF(I813="","",IF(J813="과세",ROUND(I813*0.1,0),0))</f>
        <v/>
      </c>
      <c r="L813" s="28" t="str">
        <f aca="false">IF(I813="","",I813+K813)</f>
        <v/>
      </c>
      <c r="M813" s="10"/>
      <c r="N813" s="80"/>
      <c r="O813" s="80"/>
      <c r="P813" s="59" t="str">
        <f aca="false">IF(E813="","",IFERROR(INDEX(기본설정!$H$4:$H$14,MATCH(E813,기본설정!$G$4:$G$14,0)),""))</f>
        <v/>
      </c>
    </row>
    <row r="814" customFormat="false" ht="15" hidden="false" customHeight="false" outlineLevel="0" collapsed="false">
      <c r="A814" s="73"/>
      <c r="B814" s="10"/>
      <c r="C814" s="80"/>
      <c r="D814" s="80"/>
      <c r="E814" s="81" t="str">
        <f aca="false">IF(D814="","",IFERROR(INDEX(식자재단가!$B$4:$B$203,MATCH(D814,식자재단가!$C$4:$C$203,0)),""))</f>
        <v/>
      </c>
      <c r="F814" s="76"/>
      <c r="G814" s="59" t="str">
        <f aca="false">IF(D814="","",IFERROR(INDEX(식자재단가!$F$4:$F$203,MATCH(D814,식자재단가!$C$4:$C$203,0)),""))</f>
        <v/>
      </c>
      <c r="H814" s="50"/>
      <c r="I814" s="82" t="str">
        <f aca="false">IF(OR(F814="",H814=""),"",F814*H814)</f>
        <v/>
      </c>
      <c r="J814" s="83" t="str">
        <f aca="false">IF(D814="","",IFERROR(INDEX(식자재단가!$M$4:$M$203,MATCH(D814,식자재단가!$C$4:$C$203,0)),"과세"))</f>
        <v/>
      </c>
      <c r="K814" s="28" t="str">
        <f aca="false">IF(I814="","",IF(J814="과세",ROUND(I814*0.1,0),0))</f>
        <v/>
      </c>
      <c r="L814" s="28" t="str">
        <f aca="false">IF(I814="","",I814+K814)</f>
        <v/>
      </c>
      <c r="M814" s="10"/>
      <c r="N814" s="80"/>
      <c r="O814" s="80"/>
      <c r="P814" s="59" t="str">
        <f aca="false">IF(E814="","",IFERROR(INDEX(기본설정!$H$4:$H$14,MATCH(E814,기본설정!$G$4:$G$14,0)),""))</f>
        <v/>
      </c>
    </row>
    <row r="815" customFormat="false" ht="15" hidden="false" customHeight="false" outlineLevel="0" collapsed="false">
      <c r="A815" s="73"/>
      <c r="B815" s="10"/>
      <c r="C815" s="80"/>
      <c r="D815" s="80"/>
      <c r="E815" s="81" t="str">
        <f aca="false">IF(D815="","",IFERROR(INDEX(식자재단가!$B$4:$B$203,MATCH(D815,식자재단가!$C$4:$C$203,0)),""))</f>
        <v/>
      </c>
      <c r="F815" s="76"/>
      <c r="G815" s="59" t="str">
        <f aca="false">IF(D815="","",IFERROR(INDEX(식자재단가!$F$4:$F$203,MATCH(D815,식자재단가!$C$4:$C$203,0)),""))</f>
        <v/>
      </c>
      <c r="H815" s="50"/>
      <c r="I815" s="82" t="str">
        <f aca="false">IF(OR(F815="",H815=""),"",F815*H815)</f>
        <v/>
      </c>
      <c r="J815" s="83" t="str">
        <f aca="false">IF(D815="","",IFERROR(INDEX(식자재단가!$M$4:$M$203,MATCH(D815,식자재단가!$C$4:$C$203,0)),"과세"))</f>
        <v/>
      </c>
      <c r="K815" s="28" t="str">
        <f aca="false">IF(I815="","",IF(J815="과세",ROUND(I815*0.1,0),0))</f>
        <v/>
      </c>
      <c r="L815" s="28" t="str">
        <f aca="false">IF(I815="","",I815+K815)</f>
        <v/>
      </c>
      <c r="M815" s="10"/>
      <c r="N815" s="80"/>
      <c r="O815" s="80"/>
      <c r="P815" s="59" t="str">
        <f aca="false">IF(E815="","",IFERROR(INDEX(기본설정!$H$4:$H$14,MATCH(E815,기본설정!$G$4:$G$14,0)),""))</f>
        <v/>
      </c>
    </row>
    <row r="816" customFormat="false" ht="15" hidden="false" customHeight="false" outlineLevel="0" collapsed="false">
      <c r="A816" s="73"/>
      <c r="B816" s="10"/>
      <c r="C816" s="80"/>
      <c r="D816" s="80"/>
      <c r="E816" s="81" t="str">
        <f aca="false">IF(D816="","",IFERROR(INDEX(식자재단가!$B$4:$B$203,MATCH(D816,식자재단가!$C$4:$C$203,0)),""))</f>
        <v/>
      </c>
      <c r="F816" s="76"/>
      <c r="G816" s="59" t="str">
        <f aca="false">IF(D816="","",IFERROR(INDEX(식자재단가!$F$4:$F$203,MATCH(D816,식자재단가!$C$4:$C$203,0)),""))</f>
        <v/>
      </c>
      <c r="H816" s="50"/>
      <c r="I816" s="82" t="str">
        <f aca="false">IF(OR(F816="",H816=""),"",F816*H816)</f>
        <v/>
      </c>
      <c r="J816" s="83" t="str">
        <f aca="false">IF(D816="","",IFERROR(INDEX(식자재단가!$M$4:$M$203,MATCH(D816,식자재단가!$C$4:$C$203,0)),"과세"))</f>
        <v/>
      </c>
      <c r="K816" s="28" t="str">
        <f aca="false">IF(I816="","",IF(J816="과세",ROUND(I816*0.1,0),0))</f>
        <v/>
      </c>
      <c r="L816" s="28" t="str">
        <f aca="false">IF(I816="","",I816+K816)</f>
        <v/>
      </c>
      <c r="M816" s="10"/>
      <c r="N816" s="80"/>
      <c r="O816" s="80"/>
      <c r="P816" s="59" t="str">
        <f aca="false">IF(E816="","",IFERROR(INDEX(기본설정!$H$4:$H$14,MATCH(E816,기본설정!$G$4:$G$14,0)),""))</f>
        <v/>
      </c>
    </row>
    <row r="817" customFormat="false" ht="15" hidden="false" customHeight="false" outlineLevel="0" collapsed="false">
      <c r="A817" s="73"/>
      <c r="B817" s="10"/>
      <c r="C817" s="80"/>
      <c r="D817" s="80"/>
      <c r="E817" s="81" t="str">
        <f aca="false">IF(D817="","",IFERROR(INDEX(식자재단가!$B$4:$B$203,MATCH(D817,식자재단가!$C$4:$C$203,0)),""))</f>
        <v/>
      </c>
      <c r="F817" s="76"/>
      <c r="G817" s="59" t="str">
        <f aca="false">IF(D817="","",IFERROR(INDEX(식자재단가!$F$4:$F$203,MATCH(D817,식자재단가!$C$4:$C$203,0)),""))</f>
        <v/>
      </c>
      <c r="H817" s="50"/>
      <c r="I817" s="82" t="str">
        <f aca="false">IF(OR(F817="",H817=""),"",F817*H817)</f>
        <v/>
      </c>
      <c r="J817" s="83" t="str">
        <f aca="false">IF(D817="","",IFERROR(INDEX(식자재단가!$M$4:$M$203,MATCH(D817,식자재단가!$C$4:$C$203,0)),"과세"))</f>
        <v/>
      </c>
      <c r="K817" s="28" t="str">
        <f aca="false">IF(I817="","",IF(J817="과세",ROUND(I817*0.1,0),0))</f>
        <v/>
      </c>
      <c r="L817" s="28" t="str">
        <f aca="false">IF(I817="","",I817+K817)</f>
        <v/>
      </c>
      <c r="M817" s="10"/>
      <c r="N817" s="80"/>
      <c r="O817" s="80"/>
      <c r="P817" s="59" t="str">
        <f aca="false">IF(E817="","",IFERROR(INDEX(기본설정!$H$4:$H$14,MATCH(E817,기본설정!$G$4:$G$14,0)),""))</f>
        <v/>
      </c>
    </row>
    <row r="818" customFormat="false" ht="15" hidden="false" customHeight="false" outlineLevel="0" collapsed="false">
      <c r="A818" s="73"/>
      <c r="B818" s="10"/>
      <c r="C818" s="80"/>
      <c r="D818" s="80"/>
      <c r="E818" s="81" t="str">
        <f aca="false">IF(D818="","",IFERROR(INDEX(식자재단가!$B$4:$B$203,MATCH(D818,식자재단가!$C$4:$C$203,0)),""))</f>
        <v/>
      </c>
      <c r="F818" s="76"/>
      <c r="G818" s="59" t="str">
        <f aca="false">IF(D818="","",IFERROR(INDEX(식자재단가!$F$4:$F$203,MATCH(D818,식자재단가!$C$4:$C$203,0)),""))</f>
        <v/>
      </c>
      <c r="H818" s="50"/>
      <c r="I818" s="82" t="str">
        <f aca="false">IF(OR(F818="",H818=""),"",F818*H818)</f>
        <v/>
      </c>
      <c r="J818" s="83" t="str">
        <f aca="false">IF(D818="","",IFERROR(INDEX(식자재단가!$M$4:$M$203,MATCH(D818,식자재단가!$C$4:$C$203,0)),"과세"))</f>
        <v/>
      </c>
      <c r="K818" s="28" t="str">
        <f aca="false">IF(I818="","",IF(J818="과세",ROUND(I818*0.1,0),0))</f>
        <v/>
      </c>
      <c r="L818" s="28" t="str">
        <f aca="false">IF(I818="","",I818+K818)</f>
        <v/>
      </c>
      <c r="M818" s="10"/>
      <c r="N818" s="80"/>
      <c r="O818" s="80"/>
      <c r="P818" s="59" t="str">
        <f aca="false">IF(E818="","",IFERROR(INDEX(기본설정!$H$4:$H$14,MATCH(E818,기본설정!$G$4:$G$14,0)),""))</f>
        <v/>
      </c>
    </row>
    <row r="819" customFormat="false" ht="15" hidden="false" customHeight="false" outlineLevel="0" collapsed="false">
      <c r="A819" s="73"/>
      <c r="B819" s="10"/>
      <c r="C819" s="80"/>
      <c r="D819" s="80"/>
      <c r="E819" s="81" t="str">
        <f aca="false">IF(D819="","",IFERROR(INDEX(식자재단가!$B$4:$B$203,MATCH(D819,식자재단가!$C$4:$C$203,0)),""))</f>
        <v/>
      </c>
      <c r="F819" s="76"/>
      <c r="G819" s="59" t="str">
        <f aca="false">IF(D819="","",IFERROR(INDEX(식자재단가!$F$4:$F$203,MATCH(D819,식자재단가!$C$4:$C$203,0)),""))</f>
        <v/>
      </c>
      <c r="H819" s="50"/>
      <c r="I819" s="82" t="str">
        <f aca="false">IF(OR(F819="",H819=""),"",F819*H819)</f>
        <v/>
      </c>
      <c r="J819" s="83" t="str">
        <f aca="false">IF(D819="","",IFERROR(INDEX(식자재단가!$M$4:$M$203,MATCH(D819,식자재단가!$C$4:$C$203,0)),"과세"))</f>
        <v/>
      </c>
      <c r="K819" s="28" t="str">
        <f aca="false">IF(I819="","",IF(J819="과세",ROUND(I819*0.1,0),0))</f>
        <v/>
      </c>
      <c r="L819" s="28" t="str">
        <f aca="false">IF(I819="","",I819+K819)</f>
        <v/>
      </c>
      <c r="M819" s="10"/>
      <c r="N819" s="80"/>
      <c r="O819" s="80"/>
      <c r="P819" s="59" t="str">
        <f aca="false">IF(E819="","",IFERROR(INDEX(기본설정!$H$4:$H$14,MATCH(E819,기본설정!$G$4:$G$14,0)),""))</f>
        <v/>
      </c>
    </row>
    <row r="820" customFormat="false" ht="15" hidden="false" customHeight="false" outlineLevel="0" collapsed="false">
      <c r="A820" s="73"/>
      <c r="B820" s="10"/>
      <c r="C820" s="80"/>
      <c r="D820" s="80"/>
      <c r="E820" s="81" t="str">
        <f aca="false">IF(D820="","",IFERROR(INDEX(식자재단가!$B$4:$B$203,MATCH(D820,식자재단가!$C$4:$C$203,0)),""))</f>
        <v/>
      </c>
      <c r="F820" s="76"/>
      <c r="G820" s="59" t="str">
        <f aca="false">IF(D820="","",IFERROR(INDEX(식자재단가!$F$4:$F$203,MATCH(D820,식자재단가!$C$4:$C$203,0)),""))</f>
        <v/>
      </c>
      <c r="H820" s="50"/>
      <c r="I820" s="82" t="str">
        <f aca="false">IF(OR(F820="",H820=""),"",F820*H820)</f>
        <v/>
      </c>
      <c r="J820" s="83" t="str">
        <f aca="false">IF(D820="","",IFERROR(INDEX(식자재단가!$M$4:$M$203,MATCH(D820,식자재단가!$C$4:$C$203,0)),"과세"))</f>
        <v/>
      </c>
      <c r="K820" s="28" t="str">
        <f aca="false">IF(I820="","",IF(J820="과세",ROUND(I820*0.1,0),0))</f>
        <v/>
      </c>
      <c r="L820" s="28" t="str">
        <f aca="false">IF(I820="","",I820+K820)</f>
        <v/>
      </c>
      <c r="M820" s="10"/>
      <c r="N820" s="80"/>
      <c r="O820" s="80"/>
      <c r="P820" s="59" t="str">
        <f aca="false">IF(E820="","",IFERROR(INDEX(기본설정!$H$4:$H$14,MATCH(E820,기본설정!$G$4:$G$14,0)),""))</f>
        <v/>
      </c>
    </row>
    <row r="821" customFormat="false" ht="15" hidden="false" customHeight="false" outlineLevel="0" collapsed="false">
      <c r="A821" s="73"/>
      <c r="B821" s="10"/>
      <c r="C821" s="80"/>
      <c r="D821" s="80"/>
      <c r="E821" s="81" t="str">
        <f aca="false">IF(D821="","",IFERROR(INDEX(식자재단가!$B$4:$B$203,MATCH(D821,식자재단가!$C$4:$C$203,0)),""))</f>
        <v/>
      </c>
      <c r="F821" s="76"/>
      <c r="G821" s="59" t="str">
        <f aca="false">IF(D821="","",IFERROR(INDEX(식자재단가!$F$4:$F$203,MATCH(D821,식자재단가!$C$4:$C$203,0)),""))</f>
        <v/>
      </c>
      <c r="H821" s="50"/>
      <c r="I821" s="82" t="str">
        <f aca="false">IF(OR(F821="",H821=""),"",F821*H821)</f>
        <v/>
      </c>
      <c r="J821" s="83" t="str">
        <f aca="false">IF(D821="","",IFERROR(INDEX(식자재단가!$M$4:$M$203,MATCH(D821,식자재단가!$C$4:$C$203,0)),"과세"))</f>
        <v/>
      </c>
      <c r="K821" s="28" t="str">
        <f aca="false">IF(I821="","",IF(J821="과세",ROUND(I821*0.1,0),0))</f>
        <v/>
      </c>
      <c r="L821" s="28" t="str">
        <f aca="false">IF(I821="","",I821+K821)</f>
        <v/>
      </c>
      <c r="M821" s="10"/>
      <c r="N821" s="80"/>
      <c r="O821" s="80"/>
      <c r="P821" s="59" t="str">
        <f aca="false">IF(E821="","",IFERROR(INDEX(기본설정!$H$4:$H$14,MATCH(E821,기본설정!$G$4:$G$14,0)),""))</f>
        <v/>
      </c>
    </row>
    <row r="822" customFormat="false" ht="15" hidden="false" customHeight="false" outlineLevel="0" collapsed="false">
      <c r="A822" s="73"/>
      <c r="B822" s="10"/>
      <c r="C822" s="80"/>
      <c r="D822" s="80"/>
      <c r="E822" s="81" t="str">
        <f aca="false">IF(D822="","",IFERROR(INDEX(식자재단가!$B$4:$B$203,MATCH(D822,식자재단가!$C$4:$C$203,0)),""))</f>
        <v/>
      </c>
      <c r="F822" s="76"/>
      <c r="G822" s="59" t="str">
        <f aca="false">IF(D822="","",IFERROR(INDEX(식자재단가!$F$4:$F$203,MATCH(D822,식자재단가!$C$4:$C$203,0)),""))</f>
        <v/>
      </c>
      <c r="H822" s="50"/>
      <c r="I822" s="82" t="str">
        <f aca="false">IF(OR(F822="",H822=""),"",F822*H822)</f>
        <v/>
      </c>
      <c r="J822" s="83" t="str">
        <f aca="false">IF(D822="","",IFERROR(INDEX(식자재단가!$M$4:$M$203,MATCH(D822,식자재단가!$C$4:$C$203,0)),"과세"))</f>
        <v/>
      </c>
      <c r="K822" s="28" t="str">
        <f aca="false">IF(I822="","",IF(J822="과세",ROUND(I822*0.1,0),0))</f>
        <v/>
      </c>
      <c r="L822" s="28" t="str">
        <f aca="false">IF(I822="","",I822+K822)</f>
        <v/>
      </c>
      <c r="M822" s="10"/>
      <c r="N822" s="80"/>
      <c r="O822" s="80"/>
      <c r="P822" s="59" t="str">
        <f aca="false">IF(E822="","",IFERROR(INDEX(기본설정!$H$4:$H$14,MATCH(E822,기본설정!$G$4:$G$14,0)),""))</f>
        <v/>
      </c>
    </row>
    <row r="823" customFormat="false" ht="15" hidden="false" customHeight="false" outlineLevel="0" collapsed="false">
      <c r="A823" s="73"/>
      <c r="B823" s="10"/>
      <c r="C823" s="80"/>
      <c r="D823" s="80"/>
      <c r="E823" s="81" t="str">
        <f aca="false">IF(D823="","",IFERROR(INDEX(식자재단가!$B$4:$B$203,MATCH(D823,식자재단가!$C$4:$C$203,0)),""))</f>
        <v/>
      </c>
      <c r="F823" s="76"/>
      <c r="G823" s="59" t="str">
        <f aca="false">IF(D823="","",IFERROR(INDEX(식자재단가!$F$4:$F$203,MATCH(D823,식자재단가!$C$4:$C$203,0)),""))</f>
        <v/>
      </c>
      <c r="H823" s="50"/>
      <c r="I823" s="82" t="str">
        <f aca="false">IF(OR(F823="",H823=""),"",F823*H823)</f>
        <v/>
      </c>
      <c r="J823" s="83" t="str">
        <f aca="false">IF(D823="","",IFERROR(INDEX(식자재단가!$M$4:$M$203,MATCH(D823,식자재단가!$C$4:$C$203,0)),"과세"))</f>
        <v/>
      </c>
      <c r="K823" s="28" t="str">
        <f aca="false">IF(I823="","",IF(J823="과세",ROUND(I823*0.1,0),0))</f>
        <v/>
      </c>
      <c r="L823" s="28" t="str">
        <f aca="false">IF(I823="","",I823+K823)</f>
        <v/>
      </c>
      <c r="M823" s="10"/>
      <c r="N823" s="80"/>
      <c r="O823" s="80"/>
      <c r="P823" s="59" t="str">
        <f aca="false">IF(E823="","",IFERROR(INDEX(기본설정!$H$4:$H$14,MATCH(E823,기본설정!$G$4:$G$14,0)),""))</f>
        <v/>
      </c>
    </row>
    <row r="824" customFormat="false" ht="15" hidden="false" customHeight="false" outlineLevel="0" collapsed="false">
      <c r="A824" s="73"/>
      <c r="B824" s="10"/>
      <c r="C824" s="80"/>
      <c r="D824" s="80"/>
      <c r="E824" s="81" t="str">
        <f aca="false">IF(D824="","",IFERROR(INDEX(식자재단가!$B$4:$B$203,MATCH(D824,식자재단가!$C$4:$C$203,0)),""))</f>
        <v/>
      </c>
      <c r="F824" s="76"/>
      <c r="G824" s="59" t="str">
        <f aca="false">IF(D824="","",IFERROR(INDEX(식자재단가!$F$4:$F$203,MATCH(D824,식자재단가!$C$4:$C$203,0)),""))</f>
        <v/>
      </c>
      <c r="H824" s="50"/>
      <c r="I824" s="82" t="str">
        <f aca="false">IF(OR(F824="",H824=""),"",F824*H824)</f>
        <v/>
      </c>
      <c r="J824" s="83" t="str">
        <f aca="false">IF(D824="","",IFERROR(INDEX(식자재단가!$M$4:$M$203,MATCH(D824,식자재단가!$C$4:$C$203,0)),"과세"))</f>
        <v/>
      </c>
      <c r="K824" s="28" t="str">
        <f aca="false">IF(I824="","",IF(J824="과세",ROUND(I824*0.1,0),0))</f>
        <v/>
      </c>
      <c r="L824" s="28" t="str">
        <f aca="false">IF(I824="","",I824+K824)</f>
        <v/>
      </c>
      <c r="M824" s="10"/>
      <c r="N824" s="80"/>
      <c r="O824" s="80"/>
      <c r="P824" s="59" t="str">
        <f aca="false">IF(E824="","",IFERROR(INDEX(기본설정!$H$4:$H$14,MATCH(E824,기본설정!$G$4:$G$14,0)),""))</f>
        <v/>
      </c>
    </row>
    <row r="825" customFormat="false" ht="15" hidden="false" customHeight="false" outlineLevel="0" collapsed="false">
      <c r="A825" s="73"/>
      <c r="B825" s="10"/>
      <c r="C825" s="80"/>
      <c r="D825" s="80"/>
      <c r="E825" s="81" t="str">
        <f aca="false">IF(D825="","",IFERROR(INDEX(식자재단가!$B$4:$B$203,MATCH(D825,식자재단가!$C$4:$C$203,0)),""))</f>
        <v/>
      </c>
      <c r="F825" s="76"/>
      <c r="G825" s="59" t="str">
        <f aca="false">IF(D825="","",IFERROR(INDEX(식자재단가!$F$4:$F$203,MATCH(D825,식자재단가!$C$4:$C$203,0)),""))</f>
        <v/>
      </c>
      <c r="H825" s="50"/>
      <c r="I825" s="82" t="str">
        <f aca="false">IF(OR(F825="",H825=""),"",F825*H825)</f>
        <v/>
      </c>
      <c r="J825" s="83" t="str">
        <f aca="false">IF(D825="","",IFERROR(INDEX(식자재단가!$M$4:$M$203,MATCH(D825,식자재단가!$C$4:$C$203,0)),"과세"))</f>
        <v/>
      </c>
      <c r="K825" s="28" t="str">
        <f aca="false">IF(I825="","",IF(J825="과세",ROUND(I825*0.1,0),0))</f>
        <v/>
      </c>
      <c r="L825" s="28" t="str">
        <f aca="false">IF(I825="","",I825+K825)</f>
        <v/>
      </c>
      <c r="M825" s="10"/>
      <c r="N825" s="80"/>
      <c r="O825" s="80"/>
      <c r="P825" s="59" t="str">
        <f aca="false">IF(E825="","",IFERROR(INDEX(기본설정!$H$4:$H$14,MATCH(E825,기본설정!$G$4:$G$14,0)),""))</f>
        <v/>
      </c>
    </row>
    <row r="826" customFormat="false" ht="15" hidden="false" customHeight="false" outlineLevel="0" collapsed="false">
      <c r="A826" s="73"/>
      <c r="B826" s="10"/>
      <c r="C826" s="80"/>
      <c r="D826" s="80"/>
      <c r="E826" s="81" t="str">
        <f aca="false">IF(D826="","",IFERROR(INDEX(식자재단가!$B$4:$B$203,MATCH(D826,식자재단가!$C$4:$C$203,0)),""))</f>
        <v/>
      </c>
      <c r="F826" s="76"/>
      <c r="G826" s="59" t="str">
        <f aca="false">IF(D826="","",IFERROR(INDEX(식자재단가!$F$4:$F$203,MATCH(D826,식자재단가!$C$4:$C$203,0)),""))</f>
        <v/>
      </c>
      <c r="H826" s="50"/>
      <c r="I826" s="82" t="str">
        <f aca="false">IF(OR(F826="",H826=""),"",F826*H826)</f>
        <v/>
      </c>
      <c r="J826" s="83" t="str">
        <f aca="false">IF(D826="","",IFERROR(INDEX(식자재단가!$M$4:$M$203,MATCH(D826,식자재단가!$C$4:$C$203,0)),"과세"))</f>
        <v/>
      </c>
      <c r="K826" s="28" t="str">
        <f aca="false">IF(I826="","",IF(J826="과세",ROUND(I826*0.1,0),0))</f>
        <v/>
      </c>
      <c r="L826" s="28" t="str">
        <f aca="false">IF(I826="","",I826+K826)</f>
        <v/>
      </c>
      <c r="M826" s="10"/>
      <c r="N826" s="80"/>
      <c r="O826" s="80"/>
      <c r="P826" s="59" t="str">
        <f aca="false">IF(E826="","",IFERROR(INDEX(기본설정!$H$4:$H$14,MATCH(E826,기본설정!$G$4:$G$14,0)),""))</f>
        <v/>
      </c>
    </row>
    <row r="827" customFormat="false" ht="15" hidden="false" customHeight="false" outlineLevel="0" collapsed="false">
      <c r="A827" s="73"/>
      <c r="B827" s="10"/>
      <c r="C827" s="80"/>
      <c r="D827" s="80"/>
      <c r="E827" s="81" t="str">
        <f aca="false">IF(D827="","",IFERROR(INDEX(식자재단가!$B$4:$B$203,MATCH(D827,식자재단가!$C$4:$C$203,0)),""))</f>
        <v/>
      </c>
      <c r="F827" s="76"/>
      <c r="G827" s="59" t="str">
        <f aca="false">IF(D827="","",IFERROR(INDEX(식자재단가!$F$4:$F$203,MATCH(D827,식자재단가!$C$4:$C$203,0)),""))</f>
        <v/>
      </c>
      <c r="H827" s="50"/>
      <c r="I827" s="82" t="str">
        <f aca="false">IF(OR(F827="",H827=""),"",F827*H827)</f>
        <v/>
      </c>
      <c r="J827" s="83" t="str">
        <f aca="false">IF(D827="","",IFERROR(INDEX(식자재단가!$M$4:$M$203,MATCH(D827,식자재단가!$C$4:$C$203,0)),"과세"))</f>
        <v/>
      </c>
      <c r="K827" s="28" t="str">
        <f aca="false">IF(I827="","",IF(J827="과세",ROUND(I827*0.1,0),0))</f>
        <v/>
      </c>
      <c r="L827" s="28" t="str">
        <f aca="false">IF(I827="","",I827+K827)</f>
        <v/>
      </c>
      <c r="M827" s="10"/>
      <c r="N827" s="80"/>
      <c r="O827" s="80"/>
      <c r="P827" s="59" t="str">
        <f aca="false">IF(E827="","",IFERROR(INDEX(기본설정!$H$4:$H$14,MATCH(E827,기본설정!$G$4:$G$14,0)),""))</f>
        <v/>
      </c>
    </row>
    <row r="828" customFormat="false" ht="15" hidden="false" customHeight="false" outlineLevel="0" collapsed="false">
      <c r="A828" s="73"/>
      <c r="B828" s="10"/>
      <c r="C828" s="80"/>
      <c r="D828" s="80"/>
      <c r="E828" s="81" t="str">
        <f aca="false">IF(D828="","",IFERROR(INDEX(식자재단가!$B$4:$B$203,MATCH(D828,식자재단가!$C$4:$C$203,0)),""))</f>
        <v/>
      </c>
      <c r="F828" s="76"/>
      <c r="G828" s="59" t="str">
        <f aca="false">IF(D828="","",IFERROR(INDEX(식자재단가!$F$4:$F$203,MATCH(D828,식자재단가!$C$4:$C$203,0)),""))</f>
        <v/>
      </c>
      <c r="H828" s="50"/>
      <c r="I828" s="82" t="str">
        <f aca="false">IF(OR(F828="",H828=""),"",F828*H828)</f>
        <v/>
      </c>
      <c r="J828" s="83" t="str">
        <f aca="false">IF(D828="","",IFERROR(INDEX(식자재단가!$M$4:$M$203,MATCH(D828,식자재단가!$C$4:$C$203,0)),"과세"))</f>
        <v/>
      </c>
      <c r="K828" s="28" t="str">
        <f aca="false">IF(I828="","",IF(J828="과세",ROUND(I828*0.1,0),0))</f>
        <v/>
      </c>
      <c r="L828" s="28" t="str">
        <f aca="false">IF(I828="","",I828+K828)</f>
        <v/>
      </c>
      <c r="M828" s="10"/>
      <c r="N828" s="80"/>
      <c r="O828" s="80"/>
      <c r="P828" s="59" t="str">
        <f aca="false">IF(E828="","",IFERROR(INDEX(기본설정!$H$4:$H$14,MATCH(E828,기본설정!$G$4:$G$14,0)),""))</f>
        <v/>
      </c>
    </row>
    <row r="829" customFormat="false" ht="15" hidden="false" customHeight="false" outlineLevel="0" collapsed="false">
      <c r="A829" s="73"/>
      <c r="B829" s="10"/>
      <c r="C829" s="80"/>
      <c r="D829" s="80"/>
      <c r="E829" s="81" t="str">
        <f aca="false">IF(D829="","",IFERROR(INDEX(식자재단가!$B$4:$B$203,MATCH(D829,식자재단가!$C$4:$C$203,0)),""))</f>
        <v/>
      </c>
      <c r="F829" s="76"/>
      <c r="G829" s="59" t="str">
        <f aca="false">IF(D829="","",IFERROR(INDEX(식자재단가!$F$4:$F$203,MATCH(D829,식자재단가!$C$4:$C$203,0)),""))</f>
        <v/>
      </c>
      <c r="H829" s="50"/>
      <c r="I829" s="82" t="str">
        <f aca="false">IF(OR(F829="",H829=""),"",F829*H829)</f>
        <v/>
      </c>
      <c r="J829" s="83" t="str">
        <f aca="false">IF(D829="","",IFERROR(INDEX(식자재단가!$M$4:$M$203,MATCH(D829,식자재단가!$C$4:$C$203,0)),"과세"))</f>
        <v/>
      </c>
      <c r="K829" s="28" t="str">
        <f aca="false">IF(I829="","",IF(J829="과세",ROUND(I829*0.1,0),0))</f>
        <v/>
      </c>
      <c r="L829" s="28" t="str">
        <f aca="false">IF(I829="","",I829+K829)</f>
        <v/>
      </c>
      <c r="M829" s="10"/>
      <c r="N829" s="80"/>
      <c r="O829" s="80"/>
      <c r="P829" s="59" t="str">
        <f aca="false">IF(E829="","",IFERROR(INDEX(기본설정!$H$4:$H$14,MATCH(E829,기본설정!$G$4:$G$14,0)),""))</f>
        <v/>
      </c>
    </row>
    <row r="830" customFormat="false" ht="15" hidden="false" customHeight="false" outlineLevel="0" collapsed="false">
      <c r="A830" s="73"/>
      <c r="B830" s="10"/>
      <c r="C830" s="80"/>
      <c r="D830" s="80"/>
      <c r="E830" s="81" t="str">
        <f aca="false">IF(D830="","",IFERROR(INDEX(식자재단가!$B$4:$B$203,MATCH(D830,식자재단가!$C$4:$C$203,0)),""))</f>
        <v/>
      </c>
      <c r="F830" s="76"/>
      <c r="G830" s="59" t="str">
        <f aca="false">IF(D830="","",IFERROR(INDEX(식자재단가!$F$4:$F$203,MATCH(D830,식자재단가!$C$4:$C$203,0)),""))</f>
        <v/>
      </c>
      <c r="H830" s="50"/>
      <c r="I830" s="82" t="str">
        <f aca="false">IF(OR(F830="",H830=""),"",F830*H830)</f>
        <v/>
      </c>
      <c r="J830" s="83" t="str">
        <f aca="false">IF(D830="","",IFERROR(INDEX(식자재단가!$M$4:$M$203,MATCH(D830,식자재단가!$C$4:$C$203,0)),"과세"))</f>
        <v/>
      </c>
      <c r="K830" s="28" t="str">
        <f aca="false">IF(I830="","",IF(J830="과세",ROUND(I830*0.1,0),0))</f>
        <v/>
      </c>
      <c r="L830" s="28" t="str">
        <f aca="false">IF(I830="","",I830+K830)</f>
        <v/>
      </c>
      <c r="M830" s="10"/>
      <c r="N830" s="80"/>
      <c r="O830" s="80"/>
      <c r="P830" s="59" t="str">
        <f aca="false">IF(E830="","",IFERROR(INDEX(기본설정!$H$4:$H$14,MATCH(E830,기본설정!$G$4:$G$14,0)),""))</f>
        <v/>
      </c>
    </row>
    <row r="831" customFormat="false" ht="15" hidden="false" customHeight="false" outlineLevel="0" collapsed="false">
      <c r="A831" s="73"/>
      <c r="B831" s="10"/>
      <c r="C831" s="80"/>
      <c r="D831" s="80"/>
      <c r="E831" s="81" t="str">
        <f aca="false">IF(D831="","",IFERROR(INDEX(식자재단가!$B$4:$B$203,MATCH(D831,식자재단가!$C$4:$C$203,0)),""))</f>
        <v/>
      </c>
      <c r="F831" s="76"/>
      <c r="G831" s="59" t="str">
        <f aca="false">IF(D831="","",IFERROR(INDEX(식자재단가!$F$4:$F$203,MATCH(D831,식자재단가!$C$4:$C$203,0)),""))</f>
        <v/>
      </c>
      <c r="H831" s="50"/>
      <c r="I831" s="82" t="str">
        <f aca="false">IF(OR(F831="",H831=""),"",F831*H831)</f>
        <v/>
      </c>
      <c r="J831" s="83" t="str">
        <f aca="false">IF(D831="","",IFERROR(INDEX(식자재단가!$M$4:$M$203,MATCH(D831,식자재단가!$C$4:$C$203,0)),"과세"))</f>
        <v/>
      </c>
      <c r="K831" s="28" t="str">
        <f aca="false">IF(I831="","",IF(J831="과세",ROUND(I831*0.1,0),0))</f>
        <v/>
      </c>
      <c r="L831" s="28" t="str">
        <f aca="false">IF(I831="","",I831+K831)</f>
        <v/>
      </c>
      <c r="M831" s="10"/>
      <c r="N831" s="80"/>
      <c r="O831" s="80"/>
      <c r="P831" s="59" t="str">
        <f aca="false">IF(E831="","",IFERROR(INDEX(기본설정!$H$4:$H$14,MATCH(E831,기본설정!$G$4:$G$14,0)),""))</f>
        <v/>
      </c>
    </row>
    <row r="832" customFormat="false" ht="15" hidden="false" customHeight="false" outlineLevel="0" collapsed="false">
      <c r="A832" s="73"/>
      <c r="B832" s="10"/>
      <c r="C832" s="80"/>
      <c r="D832" s="80"/>
      <c r="E832" s="81" t="str">
        <f aca="false">IF(D832="","",IFERROR(INDEX(식자재단가!$B$4:$B$203,MATCH(D832,식자재단가!$C$4:$C$203,0)),""))</f>
        <v/>
      </c>
      <c r="F832" s="76"/>
      <c r="G832" s="59" t="str">
        <f aca="false">IF(D832="","",IFERROR(INDEX(식자재단가!$F$4:$F$203,MATCH(D832,식자재단가!$C$4:$C$203,0)),""))</f>
        <v/>
      </c>
      <c r="H832" s="50"/>
      <c r="I832" s="82" t="str">
        <f aca="false">IF(OR(F832="",H832=""),"",F832*H832)</f>
        <v/>
      </c>
      <c r="J832" s="83" t="str">
        <f aca="false">IF(D832="","",IFERROR(INDEX(식자재단가!$M$4:$M$203,MATCH(D832,식자재단가!$C$4:$C$203,0)),"과세"))</f>
        <v/>
      </c>
      <c r="K832" s="28" t="str">
        <f aca="false">IF(I832="","",IF(J832="과세",ROUND(I832*0.1,0),0))</f>
        <v/>
      </c>
      <c r="L832" s="28" t="str">
        <f aca="false">IF(I832="","",I832+K832)</f>
        <v/>
      </c>
      <c r="M832" s="10"/>
      <c r="N832" s="80"/>
      <c r="O832" s="80"/>
      <c r="P832" s="59" t="str">
        <f aca="false">IF(E832="","",IFERROR(INDEX(기본설정!$H$4:$H$14,MATCH(E832,기본설정!$G$4:$G$14,0)),""))</f>
        <v/>
      </c>
    </row>
    <row r="833" customFormat="false" ht="15" hidden="false" customHeight="false" outlineLevel="0" collapsed="false">
      <c r="A833" s="73"/>
      <c r="B833" s="10"/>
      <c r="C833" s="80"/>
      <c r="D833" s="80"/>
      <c r="E833" s="81" t="str">
        <f aca="false">IF(D833="","",IFERROR(INDEX(식자재단가!$B$4:$B$203,MATCH(D833,식자재단가!$C$4:$C$203,0)),""))</f>
        <v/>
      </c>
      <c r="F833" s="76"/>
      <c r="G833" s="59" t="str">
        <f aca="false">IF(D833="","",IFERROR(INDEX(식자재단가!$F$4:$F$203,MATCH(D833,식자재단가!$C$4:$C$203,0)),""))</f>
        <v/>
      </c>
      <c r="H833" s="50"/>
      <c r="I833" s="82" t="str">
        <f aca="false">IF(OR(F833="",H833=""),"",F833*H833)</f>
        <v/>
      </c>
      <c r="J833" s="83" t="str">
        <f aca="false">IF(D833="","",IFERROR(INDEX(식자재단가!$M$4:$M$203,MATCH(D833,식자재단가!$C$4:$C$203,0)),"과세"))</f>
        <v/>
      </c>
      <c r="K833" s="28" t="str">
        <f aca="false">IF(I833="","",IF(J833="과세",ROUND(I833*0.1,0),0))</f>
        <v/>
      </c>
      <c r="L833" s="28" t="str">
        <f aca="false">IF(I833="","",I833+K833)</f>
        <v/>
      </c>
      <c r="M833" s="10"/>
      <c r="N833" s="80"/>
      <c r="O833" s="80"/>
      <c r="P833" s="59" t="str">
        <f aca="false">IF(E833="","",IFERROR(INDEX(기본설정!$H$4:$H$14,MATCH(E833,기본설정!$G$4:$G$14,0)),""))</f>
        <v/>
      </c>
    </row>
    <row r="834" customFormat="false" ht="15" hidden="false" customHeight="false" outlineLevel="0" collapsed="false">
      <c r="A834" s="73"/>
      <c r="B834" s="10"/>
      <c r="C834" s="80"/>
      <c r="D834" s="80"/>
      <c r="E834" s="81" t="str">
        <f aca="false">IF(D834="","",IFERROR(INDEX(식자재단가!$B$4:$B$203,MATCH(D834,식자재단가!$C$4:$C$203,0)),""))</f>
        <v/>
      </c>
      <c r="F834" s="76"/>
      <c r="G834" s="59" t="str">
        <f aca="false">IF(D834="","",IFERROR(INDEX(식자재단가!$F$4:$F$203,MATCH(D834,식자재단가!$C$4:$C$203,0)),""))</f>
        <v/>
      </c>
      <c r="H834" s="50"/>
      <c r="I834" s="82" t="str">
        <f aca="false">IF(OR(F834="",H834=""),"",F834*H834)</f>
        <v/>
      </c>
      <c r="J834" s="83" t="str">
        <f aca="false">IF(D834="","",IFERROR(INDEX(식자재단가!$M$4:$M$203,MATCH(D834,식자재단가!$C$4:$C$203,0)),"과세"))</f>
        <v/>
      </c>
      <c r="K834" s="28" t="str">
        <f aca="false">IF(I834="","",IF(J834="과세",ROUND(I834*0.1,0),0))</f>
        <v/>
      </c>
      <c r="L834" s="28" t="str">
        <f aca="false">IF(I834="","",I834+K834)</f>
        <v/>
      </c>
      <c r="M834" s="10"/>
      <c r="N834" s="80"/>
      <c r="O834" s="80"/>
      <c r="P834" s="59" t="str">
        <f aca="false">IF(E834="","",IFERROR(INDEX(기본설정!$H$4:$H$14,MATCH(E834,기본설정!$G$4:$G$14,0)),""))</f>
        <v/>
      </c>
    </row>
    <row r="835" customFormat="false" ht="15" hidden="false" customHeight="false" outlineLevel="0" collapsed="false">
      <c r="A835" s="73"/>
      <c r="B835" s="10"/>
      <c r="C835" s="80"/>
      <c r="D835" s="80"/>
      <c r="E835" s="81" t="str">
        <f aca="false">IF(D835="","",IFERROR(INDEX(식자재단가!$B$4:$B$203,MATCH(D835,식자재단가!$C$4:$C$203,0)),""))</f>
        <v/>
      </c>
      <c r="F835" s="76"/>
      <c r="G835" s="59" t="str">
        <f aca="false">IF(D835="","",IFERROR(INDEX(식자재단가!$F$4:$F$203,MATCH(D835,식자재단가!$C$4:$C$203,0)),""))</f>
        <v/>
      </c>
      <c r="H835" s="50"/>
      <c r="I835" s="82" t="str">
        <f aca="false">IF(OR(F835="",H835=""),"",F835*H835)</f>
        <v/>
      </c>
      <c r="J835" s="83" t="str">
        <f aca="false">IF(D835="","",IFERROR(INDEX(식자재단가!$M$4:$M$203,MATCH(D835,식자재단가!$C$4:$C$203,0)),"과세"))</f>
        <v/>
      </c>
      <c r="K835" s="28" t="str">
        <f aca="false">IF(I835="","",IF(J835="과세",ROUND(I835*0.1,0),0))</f>
        <v/>
      </c>
      <c r="L835" s="28" t="str">
        <f aca="false">IF(I835="","",I835+K835)</f>
        <v/>
      </c>
      <c r="M835" s="10"/>
      <c r="N835" s="80"/>
      <c r="O835" s="80"/>
      <c r="P835" s="59" t="str">
        <f aca="false">IF(E835="","",IFERROR(INDEX(기본설정!$H$4:$H$14,MATCH(E835,기본설정!$G$4:$G$14,0)),""))</f>
        <v/>
      </c>
    </row>
    <row r="836" customFormat="false" ht="15" hidden="false" customHeight="false" outlineLevel="0" collapsed="false">
      <c r="A836" s="73"/>
      <c r="B836" s="10"/>
      <c r="C836" s="80"/>
      <c r="D836" s="80"/>
      <c r="E836" s="81" t="str">
        <f aca="false">IF(D836="","",IFERROR(INDEX(식자재단가!$B$4:$B$203,MATCH(D836,식자재단가!$C$4:$C$203,0)),""))</f>
        <v/>
      </c>
      <c r="F836" s="76"/>
      <c r="G836" s="59" t="str">
        <f aca="false">IF(D836="","",IFERROR(INDEX(식자재단가!$F$4:$F$203,MATCH(D836,식자재단가!$C$4:$C$203,0)),""))</f>
        <v/>
      </c>
      <c r="H836" s="50"/>
      <c r="I836" s="82" t="str">
        <f aca="false">IF(OR(F836="",H836=""),"",F836*H836)</f>
        <v/>
      </c>
      <c r="J836" s="83" t="str">
        <f aca="false">IF(D836="","",IFERROR(INDEX(식자재단가!$M$4:$M$203,MATCH(D836,식자재단가!$C$4:$C$203,0)),"과세"))</f>
        <v/>
      </c>
      <c r="K836" s="28" t="str">
        <f aca="false">IF(I836="","",IF(J836="과세",ROUND(I836*0.1,0),0))</f>
        <v/>
      </c>
      <c r="L836" s="28" t="str">
        <f aca="false">IF(I836="","",I836+K836)</f>
        <v/>
      </c>
      <c r="M836" s="10"/>
      <c r="N836" s="80"/>
      <c r="O836" s="80"/>
      <c r="P836" s="59" t="str">
        <f aca="false">IF(E836="","",IFERROR(INDEX(기본설정!$H$4:$H$14,MATCH(E836,기본설정!$G$4:$G$14,0)),""))</f>
        <v/>
      </c>
    </row>
    <row r="837" customFormat="false" ht="15" hidden="false" customHeight="false" outlineLevel="0" collapsed="false">
      <c r="A837" s="73"/>
      <c r="B837" s="10"/>
      <c r="C837" s="80"/>
      <c r="D837" s="80"/>
      <c r="E837" s="81" t="str">
        <f aca="false">IF(D837="","",IFERROR(INDEX(식자재단가!$B$4:$B$203,MATCH(D837,식자재단가!$C$4:$C$203,0)),""))</f>
        <v/>
      </c>
      <c r="F837" s="76"/>
      <c r="G837" s="59" t="str">
        <f aca="false">IF(D837="","",IFERROR(INDEX(식자재단가!$F$4:$F$203,MATCH(D837,식자재단가!$C$4:$C$203,0)),""))</f>
        <v/>
      </c>
      <c r="H837" s="50"/>
      <c r="I837" s="82" t="str">
        <f aca="false">IF(OR(F837="",H837=""),"",F837*H837)</f>
        <v/>
      </c>
      <c r="J837" s="83" t="str">
        <f aca="false">IF(D837="","",IFERROR(INDEX(식자재단가!$M$4:$M$203,MATCH(D837,식자재단가!$C$4:$C$203,0)),"과세"))</f>
        <v/>
      </c>
      <c r="K837" s="28" t="str">
        <f aca="false">IF(I837="","",IF(J837="과세",ROUND(I837*0.1,0),0))</f>
        <v/>
      </c>
      <c r="L837" s="28" t="str">
        <f aca="false">IF(I837="","",I837+K837)</f>
        <v/>
      </c>
      <c r="M837" s="10"/>
      <c r="N837" s="80"/>
      <c r="O837" s="80"/>
      <c r="P837" s="59" t="str">
        <f aca="false">IF(E837="","",IFERROR(INDEX(기본설정!$H$4:$H$14,MATCH(E837,기본설정!$G$4:$G$14,0)),""))</f>
        <v/>
      </c>
    </row>
    <row r="838" customFormat="false" ht="15" hidden="false" customHeight="false" outlineLevel="0" collapsed="false">
      <c r="A838" s="73"/>
      <c r="B838" s="10"/>
      <c r="C838" s="80"/>
      <c r="D838" s="80"/>
      <c r="E838" s="81" t="str">
        <f aca="false">IF(D838="","",IFERROR(INDEX(식자재단가!$B$4:$B$203,MATCH(D838,식자재단가!$C$4:$C$203,0)),""))</f>
        <v/>
      </c>
      <c r="F838" s="76"/>
      <c r="G838" s="59" t="str">
        <f aca="false">IF(D838="","",IFERROR(INDEX(식자재단가!$F$4:$F$203,MATCH(D838,식자재단가!$C$4:$C$203,0)),""))</f>
        <v/>
      </c>
      <c r="H838" s="50"/>
      <c r="I838" s="82" t="str">
        <f aca="false">IF(OR(F838="",H838=""),"",F838*H838)</f>
        <v/>
      </c>
      <c r="J838" s="83" t="str">
        <f aca="false">IF(D838="","",IFERROR(INDEX(식자재단가!$M$4:$M$203,MATCH(D838,식자재단가!$C$4:$C$203,0)),"과세"))</f>
        <v/>
      </c>
      <c r="K838" s="28" t="str">
        <f aca="false">IF(I838="","",IF(J838="과세",ROUND(I838*0.1,0),0))</f>
        <v/>
      </c>
      <c r="L838" s="28" t="str">
        <f aca="false">IF(I838="","",I838+K838)</f>
        <v/>
      </c>
      <c r="M838" s="10"/>
      <c r="N838" s="80"/>
      <c r="O838" s="80"/>
      <c r="P838" s="59" t="str">
        <f aca="false">IF(E838="","",IFERROR(INDEX(기본설정!$H$4:$H$14,MATCH(E838,기본설정!$G$4:$G$14,0)),""))</f>
        <v/>
      </c>
    </row>
    <row r="839" customFormat="false" ht="15" hidden="false" customHeight="false" outlineLevel="0" collapsed="false">
      <c r="A839" s="73"/>
      <c r="B839" s="10"/>
      <c r="C839" s="80"/>
      <c r="D839" s="80"/>
      <c r="E839" s="81" t="str">
        <f aca="false">IF(D839="","",IFERROR(INDEX(식자재단가!$B$4:$B$203,MATCH(D839,식자재단가!$C$4:$C$203,0)),""))</f>
        <v/>
      </c>
      <c r="F839" s="76"/>
      <c r="G839" s="59" t="str">
        <f aca="false">IF(D839="","",IFERROR(INDEX(식자재단가!$F$4:$F$203,MATCH(D839,식자재단가!$C$4:$C$203,0)),""))</f>
        <v/>
      </c>
      <c r="H839" s="50"/>
      <c r="I839" s="82" t="str">
        <f aca="false">IF(OR(F839="",H839=""),"",F839*H839)</f>
        <v/>
      </c>
      <c r="J839" s="83" t="str">
        <f aca="false">IF(D839="","",IFERROR(INDEX(식자재단가!$M$4:$M$203,MATCH(D839,식자재단가!$C$4:$C$203,0)),"과세"))</f>
        <v/>
      </c>
      <c r="K839" s="28" t="str">
        <f aca="false">IF(I839="","",IF(J839="과세",ROUND(I839*0.1,0),0))</f>
        <v/>
      </c>
      <c r="L839" s="28" t="str">
        <f aca="false">IF(I839="","",I839+K839)</f>
        <v/>
      </c>
      <c r="M839" s="10"/>
      <c r="N839" s="80"/>
      <c r="O839" s="80"/>
      <c r="P839" s="59" t="str">
        <f aca="false">IF(E839="","",IFERROR(INDEX(기본설정!$H$4:$H$14,MATCH(E839,기본설정!$G$4:$G$14,0)),""))</f>
        <v/>
      </c>
    </row>
    <row r="840" customFormat="false" ht="15" hidden="false" customHeight="false" outlineLevel="0" collapsed="false">
      <c r="A840" s="73"/>
      <c r="B840" s="10"/>
      <c r="C840" s="80"/>
      <c r="D840" s="80"/>
      <c r="E840" s="81" t="str">
        <f aca="false">IF(D840="","",IFERROR(INDEX(식자재단가!$B$4:$B$203,MATCH(D840,식자재단가!$C$4:$C$203,0)),""))</f>
        <v/>
      </c>
      <c r="F840" s="76"/>
      <c r="G840" s="59" t="str">
        <f aca="false">IF(D840="","",IFERROR(INDEX(식자재단가!$F$4:$F$203,MATCH(D840,식자재단가!$C$4:$C$203,0)),""))</f>
        <v/>
      </c>
      <c r="H840" s="50"/>
      <c r="I840" s="82" t="str">
        <f aca="false">IF(OR(F840="",H840=""),"",F840*H840)</f>
        <v/>
      </c>
      <c r="J840" s="83" t="str">
        <f aca="false">IF(D840="","",IFERROR(INDEX(식자재단가!$M$4:$M$203,MATCH(D840,식자재단가!$C$4:$C$203,0)),"과세"))</f>
        <v/>
      </c>
      <c r="K840" s="28" t="str">
        <f aca="false">IF(I840="","",IF(J840="과세",ROUND(I840*0.1,0),0))</f>
        <v/>
      </c>
      <c r="L840" s="28" t="str">
        <f aca="false">IF(I840="","",I840+K840)</f>
        <v/>
      </c>
      <c r="M840" s="10"/>
      <c r="N840" s="80"/>
      <c r="O840" s="80"/>
      <c r="P840" s="59" t="str">
        <f aca="false">IF(E840="","",IFERROR(INDEX(기본설정!$H$4:$H$14,MATCH(E840,기본설정!$G$4:$G$14,0)),""))</f>
        <v/>
      </c>
    </row>
    <row r="841" customFormat="false" ht="15" hidden="false" customHeight="false" outlineLevel="0" collapsed="false">
      <c r="A841" s="73"/>
      <c r="B841" s="10"/>
      <c r="C841" s="80"/>
      <c r="D841" s="80"/>
      <c r="E841" s="81" t="str">
        <f aca="false">IF(D841="","",IFERROR(INDEX(식자재단가!$B$4:$B$203,MATCH(D841,식자재단가!$C$4:$C$203,0)),""))</f>
        <v/>
      </c>
      <c r="F841" s="76"/>
      <c r="G841" s="59" t="str">
        <f aca="false">IF(D841="","",IFERROR(INDEX(식자재단가!$F$4:$F$203,MATCH(D841,식자재단가!$C$4:$C$203,0)),""))</f>
        <v/>
      </c>
      <c r="H841" s="50"/>
      <c r="I841" s="82" t="str">
        <f aca="false">IF(OR(F841="",H841=""),"",F841*H841)</f>
        <v/>
      </c>
      <c r="J841" s="83" t="str">
        <f aca="false">IF(D841="","",IFERROR(INDEX(식자재단가!$M$4:$M$203,MATCH(D841,식자재단가!$C$4:$C$203,0)),"과세"))</f>
        <v/>
      </c>
      <c r="K841" s="28" t="str">
        <f aca="false">IF(I841="","",IF(J841="과세",ROUND(I841*0.1,0),0))</f>
        <v/>
      </c>
      <c r="L841" s="28" t="str">
        <f aca="false">IF(I841="","",I841+K841)</f>
        <v/>
      </c>
      <c r="M841" s="10"/>
      <c r="N841" s="80"/>
      <c r="O841" s="80"/>
      <c r="P841" s="59" t="str">
        <f aca="false">IF(E841="","",IFERROR(INDEX(기본설정!$H$4:$H$14,MATCH(E841,기본설정!$G$4:$G$14,0)),""))</f>
        <v/>
      </c>
    </row>
    <row r="842" customFormat="false" ht="15" hidden="false" customHeight="false" outlineLevel="0" collapsed="false">
      <c r="A842" s="73"/>
      <c r="B842" s="10"/>
      <c r="C842" s="80"/>
      <c r="D842" s="80"/>
      <c r="E842" s="81" t="str">
        <f aca="false">IF(D842="","",IFERROR(INDEX(식자재단가!$B$4:$B$203,MATCH(D842,식자재단가!$C$4:$C$203,0)),""))</f>
        <v/>
      </c>
      <c r="F842" s="76"/>
      <c r="G842" s="59" t="str">
        <f aca="false">IF(D842="","",IFERROR(INDEX(식자재단가!$F$4:$F$203,MATCH(D842,식자재단가!$C$4:$C$203,0)),""))</f>
        <v/>
      </c>
      <c r="H842" s="50"/>
      <c r="I842" s="82" t="str">
        <f aca="false">IF(OR(F842="",H842=""),"",F842*H842)</f>
        <v/>
      </c>
      <c r="J842" s="83" t="str">
        <f aca="false">IF(D842="","",IFERROR(INDEX(식자재단가!$M$4:$M$203,MATCH(D842,식자재단가!$C$4:$C$203,0)),"과세"))</f>
        <v/>
      </c>
      <c r="K842" s="28" t="str">
        <f aca="false">IF(I842="","",IF(J842="과세",ROUND(I842*0.1,0),0))</f>
        <v/>
      </c>
      <c r="L842" s="28" t="str">
        <f aca="false">IF(I842="","",I842+K842)</f>
        <v/>
      </c>
      <c r="M842" s="10"/>
      <c r="N842" s="80"/>
      <c r="O842" s="80"/>
      <c r="P842" s="59" t="str">
        <f aca="false">IF(E842="","",IFERROR(INDEX(기본설정!$H$4:$H$14,MATCH(E842,기본설정!$G$4:$G$14,0)),""))</f>
        <v/>
      </c>
    </row>
    <row r="843" customFormat="false" ht="15" hidden="false" customHeight="false" outlineLevel="0" collapsed="false">
      <c r="A843" s="73"/>
      <c r="B843" s="10"/>
      <c r="C843" s="80"/>
      <c r="D843" s="80"/>
      <c r="E843" s="81" t="str">
        <f aca="false">IF(D843="","",IFERROR(INDEX(식자재단가!$B$4:$B$203,MATCH(D843,식자재단가!$C$4:$C$203,0)),""))</f>
        <v/>
      </c>
      <c r="F843" s="76"/>
      <c r="G843" s="59" t="str">
        <f aca="false">IF(D843="","",IFERROR(INDEX(식자재단가!$F$4:$F$203,MATCH(D843,식자재단가!$C$4:$C$203,0)),""))</f>
        <v/>
      </c>
      <c r="H843" s="50"/>
      <c r="I843" s="82" t="str">
        <f aca="false">IF(OR(F843="",H843=""),"",F843*H843)</f>
        <v/>
      </c>
      <c r="J843" s="83" t="str">
        <f aca="false">IF(D843="","",IFERROR(INDEX(식자재단가!$M$4:$M$203,MATCH(D843,식자재단가!$C$4:$C$203,0)),"과세"))</f>
        <v/>
      </c>
      <c r="K843" s="28" t="str">
        <f aca="false">IF(I843="","",IF(J843="과세",ROUND(I843*0.1,0),0))</f>
        <v/>
      </c>
      <c r="L843" s="28" t="str">
        <f aca="false">IF(I843="","",I843+K843)</f>
        <v/>
      </c>
      <c r="M843" s="10"/>
      <c r="N843" s="80"/>
      <c r="O843" s="80"/>
      <c r="P843" s="59" t="str">
        <f aca="false">IF(E843="","",IFERROR(INDEX(기본설정!$H$4:$H$14,MATCH(E843,기본설정!$G$4:$G$14,0)),""))</f>
        <v/>
      </c>
    </row>
    <row r="844" customFormat="false" ht="15" hidden="false" customHeight="false" outlineLevel="0" collapsed="false">
      <c r="A844" s="73"/>
      <c r="B844" s="10"/>
      <c r="C844" s="80"/>
      <c r="D844" s="80"/>
      <c r="E844" s="81" t="str">
        <f aca="false">IF(D844="","",IFERROR(INDEX(식자재단가!$B$4:$B$203,MATCH(D844,식자재단가!$C$4:$C$203,0)),""))</f>
        <v/>
      </c>
      <c r="F844" s="76"/>
      <c r="G844" s="59" t="str">
        <f aca="false">IF(D844="","",IFERROR(INDEX(식자재단가!$F$4:$F$203,MATCH(D844,식자재단가!$C$4:$C$203,0)),""))</f>
        <v/>
      </c>
      <c r="H844" s="50"/>
      <c r="I844" s="82" t="str">
        <f aca="false">IF(OR(F844="",H844=""),"",F844*H844)</f>
        <v/>
      </c>
      <c r="J844" s="83" t="str">
        <f aca="false">IF(D844="","",IFERROR(INDEX(식자재단가!$M$4:$M$203,MATCH(D844,식자재단가!$C$4:$C$203,0)),"과세"))</f>
        <v/>
      </c>
      <c r="K844" s="28" t="str">
        <f aca="false">IF(I844="","",IF(J844="과세",ROUND(I844*0.1,0),0))</f>
        <v/>
      </c>
      <c r="L844" s="28" t="str">
        <f aca="false">IF(I844="","",I844+K844)</f>
        <v/>
      </c>
      <c r="M844" s="10"/>
      <c r="N844" s="80"/>
      <c r="O844" s="80"/>
      <c r="P844" s="59" t="str">
        <f aca="false">IF(E844="","",IFERROR(INDEX(기본설정!$H$4:$H$14,MATCH(E844,기본설정!$G$4:$G$14,0)),""))</f>
        <v/>
      </c>
    </row>
    <row r="845" customFormat="false" ht="15" hidden="false" customHeight="false" outlineLevel="0" collapsed="false">
      <c r="A845" s="73"/>
      <c r="B845" s="10"/>
      <c r="C845" s="80"/>
      <c r="D845" s="80"/>
      <c r="E845" s="81" t="str">
        <f aca="false">IF(D845="","",IFERROR(INDEX(식자재단가!$B$4:$B$203,MATCH(D845,식자재단가!$C$4:$C$203,0)),""))</f>
        <v/>
      </c>
      <c r="F845" s="76"/>
      <c r="G845" s="59" t="str">
        <f aca="false">IF(D845="","",IFERROR(INDEX(식자재단가!$F$4:$F$203,MATCH(D845,식자재단가!$C$4:$C$203,0)),""))</f>
        <v/>
      </c>
      <c r="H845" s="50"/>
      <c r="I845" s="82" t="str">
        <f aca="false">IF(OR(F845="",H845=""),"",F845*H845)</f>
        <v/>
      </c>
      <c r="J845" s="83" t="str">
        <f aca="false">IF(D845="","",IFERROR(INDEX(식자재단가!$M$4:$M$203,MATCH(D845,식자재단가!$C$4:$C$203,0)),"과세"))</f>
        <v/>
      </c>
      <c r="K845" s="28" t="str">
        <f aca="false">IF(I845="","",IF(J845="과세",ROUND(I845*0.1,0),0))</f>
        <v/>
      </c>
      <c r="L845" s="28" t="str">
        <f aca="false">IF(I845="","",I845+K845)</f>
        <v/>
      </c>
      <c r="M845" s="10"/>
      <c r="N845" s="80"/>
      <c r="O845" s="80"/>
      <c r="P845" s="59" t="str">
        <f aca="false">IF(E845="","",IFERROR(INDEX(기본설정!$H$4:$H$14,MATCH(E845,기본설정!$G$4:$G$14,0)),""))</f>
        <v/>
      </c>
    </row>
    <row r="846" customFormat="false" ht="15" hidden="false" customHeight="false" outlineLevel="0" collapsed="false">
      <c r="A846" s="73"/>
      <c r="B846" s="10"/>
      <c r="C846" s="80"/>
      <c r="D846" s="80"/>
      <c r="E846" s="81" t="str">
        <f aca="false">IF(D846="","",IFERROR(INDEX(식자재단가!$B$4:$B$203,MATCH(D846,식자재단가!$C$4:$C$203,0)),""))</f>
        <v/>
      </c>
      <c r="F846" s="76"/>
      <c r="G846" s="59" t="str">
        <f aca="false">IF(D846="","",IFERROR(INDEX(식자재단가!$F$4:$F$203,MATCH(D846,식자재단가!$C$4:$C$203,0)),""))</f>
        <v/>
      </c>
      <c r="H846" s="50"/>
      <c r="I846" s="82" t="str">
        <f aca="false">IF(OR(F846="",H846=""),"",F846*H846)</f>
        <v/>
      </c>
      <c r="J846" s="83" t="str">
        <f aca="false">IF(D846="","",IFERROR(INDEX(식자재단가!$M$4:$M$203,MATCH(D846,식자재단가!$C$4:$C$203,0)),"과세"))</f>
        <v/>
      </c>
      <c r="K846" s="28" t="str">
        <f aca="false">IF(I846="","",IF(J846="과세",ROUND(I846*0.1,0),0))</f>
        <v/>
      </c>
      <c r="L846" s="28" t="str">
        <f aca="false">IF(I846="","",I846+K846)</f>
        <v/>
      </c>
      <c r="M846" s="10"/>
      <c r="N846" s="80"/>
      <c r="O846" s="80"/>
      <c r="P846" s="59" t="str">
        <f aca="false">IF(E846="","",IFERROR(INDEX(기본설정!$H$4:$H$14,MATCH(E846,기본설정!$G$4:$G$14,0)),""))</f>
        <v/>
      </c>
    </row>
    <row r="847" customFormat="false" ht="15" hidden="false" customHeight="false" outlineLevel="0" collapsed="false">
      <c r="A847" s="73"/>
      <c r="B847" s="10"/>
      <c r="C847" s="80"/>
      <c r="D847" s="80"/>
      <c r="E847" s="81" t="str">
        <f aca="false">IF(D847="","",IFERROR(INDEX(식자재단가!$B$4:$B$203,MATCH(D847,식자재단가!$C$4:$C$203,0)),""))</f>
        <v/>
      </c>
      <c r="F847" s="76"/>
      <c r="G847" s="59" t="str">
        <f aca="false">IF(D847="","",IFERROR(INDEX(식자재단가!$F$4:$F$203,MATCH(D847,식자재단가!$C$4:$C$203,0)),""))</f>
        <v/>
      </c>
      <c r="H847" s="50"/>
      <c r="I847" s="82" t="str">
        <f aca="false">IF(OR(F847="",H847=""),"",F847*H847)</f>
        <v/>
      </c>
      <c r="J847" s="83" t="str">
        <f aca="false">IF(D847="","",IFERROR(INDEX(식자재단가!$M$4:$M$203,MATCH(D847,식자재단가!$C$4:$C$203,0)),"과세"))</f>
        <v/>
      </c>
      <c r="K847" s="28" t="str">
        <f aca="false">IF(I847="","",IF(J847="과세",ROUND(I847*0.1,0),0))</f>
        <v/>
      </c>
      <c r="L847" s="28" t="str">
        <f aca="false">IF(I847="","",I847+K847)</f>
        <v/>
      </c>
      <c r="M847" s="10"/>
      <c r="N847" s="80"/>
      <c r="O847" s="80"/>
      <c r="P847" s="59" t="str">
        <f aca="false">IF(E847="","",IFERROR(INDEX(기본설정!$H$4:$H$14,MATCH(E847,기본설정!$G$4:$G$14,0)),""))</f>
        <v/>
      </c>
    </row>
    <row r="848" customFormat="false" ht="15" hidden="false" customHeight="false" outlineLevel="0" collapsed="false">
      <c r="A848" s="73"/>
      <c r="B848" s="10"/>
      <c r="C848" s="80"/>
      <c r="D848" s="80"/>
      <c r="E848" s="81" t="str">
        <f aca="false">IF(D848="","",IFERROR(INDEX(식자재단가!$B$4:$B$203,MATCH(D848,식자재단가!$C$4:$C$203,0)),""))</f>
        <v/>
      </c>
      <c r="F848" s="76"/>
      <c r="G848" s="59" t="str">
        <f aca="false">IF(D848="","",IFERROR(INDEX(식자재단가!$F$4:$F$203,MATCH(D848,식자재단가!$C$4:$C$203,0)),""))</f>
        <v/>
      </c>
      <c r="H848" s="50"/>
      <c r="I848" s="82" t="str">
        <f aca="false">IF(OR(F848="",H848=""),"",F848*H848)</f>
        <v/>
      </c>
      <c r="J848" s="83" t="str">
        <f aca="false">IF(D848="","",IFERROR(INDEX(식자재단가!$M$4:$M$203,MATCH(D848,식자재단가!$C$4:$C$203,0)),"과세"))</f>
        <v/>
      </c>
      <c r="K848" s="28" t="str">
        <f aca="false">IF(I848="","",IF(J848="과세",ROUND(I848*0.1,0),0))</f>
        <v/>
      </c>
      <c r="L848" s="28" t="str">
        <f aca="false">IF(I848="","",I848+K848)</f>
        <v/>
      </c>
      <c r="M848" s="10"/>
      <c r="N848" s="80"/>
      <c r="O848" s="80"/>
      <c r="P848" s="59" t="str">
        <f aca="false">IF(E848="","",IFERROR(INDEX(기본설정!$H$4:$H$14,MATCH(E848,기본설정!$G$4:$G$14,0)),""))</f>
        <v/>
      </c>
    </row>
    <row r="849" customFormat="false" ht="15" hidden="false" customHeight="false" outlineLevel="0" collapsed="false">
      <c r="A849" s="73"/>
      <c r="B849" s="10"/>
      <c r="C849" s="80"/>
      <c r="D849" s="80"/>
      <c r="E849" s="81" t="str">
        <f aca="false">IF(D849="","",IFERROR(INDEX(식자재단가!$B$4:$B$203,MATCH(D849,식자재단가!$C$4:$C$203,0)),""))</f>
        <v/>
      </c>
      <c r="F849" s="76"/>
      <c r="G849" s="59" t="str">
        <f aca="false">IF(D849="","",IFERROR(INDEX(식자재단가!$F$4:$F$203,MATCH(D849,식자재단가!$C$4:$C$203,0)),""))</f>
        <v/>
      </c>
      <c r="H849" s="50"/>
      <c r="I849" s="82" t="str">
        <f aca="false">IF(OR(F849="",H849=""),"",F849*H849)</f>
        <v/>
      </c>
      <c r="J849" s="83" t="str">
        <f aca="false">IF(D849="","",IFERROR(INDEX(식자재단가!$M$4:$M$203,MATCH(D849,식자재단가!$C$4:$C$203,0)),"과세"))</f>
        <v/>
      </c>
      <c r="K849" s="28" t="str">
        <f aca="false">IF(I849="","",IF(J849="과세",ROUND(I849*0.1,0),0))</f>
        <v/>
      </c>
      <c r="L849" s="28" t="str">
        <f aca="false">IF(I849="","",I849+K849)</f>
        <v/>
      </c>
      <c r="M849" s="10"/>
      <c r="N849" s="80"/>
      <c r="O849" s="80"/>
      <c r="P849" s="59" t="str">
        <f aca="false">IF(E849="","",IFERROR(INDEX(기본설정!$H$4:$H$14,MATCH(E849,기본설정!$G$4:$G$14,0)),""))</f>
        <v/>
      </c>
    </row>
    <row r="850" customFormat="false" ht="15" hidden="false" customHeight="false" outlineLevel="0" collapsed="false">
      <c r="A850" s="73"/>
      <c r="B850" s="10"/>
      <c r="C850" s="80"/>
      <c r="D850" s="80"/>
      <c r="E850" s="81" t="str">
        <f aca="false">IF(D850="","",IFERROR(INDEX(식자재단가!$B$4:$B$203,MATCH(D850,식자재단가!$C$4:$C$203,0)),""))</f>
        <v/>
      </c>
      <c r="F850" s="76"/>
      <c r="G850" s="59" t="str">
        <f aca="false">IF(D850="","",IFERROR(INDEX(식자재단가!$F$4:$F$203,MATCH(D850,식자재단가!$C$4:$C$203,0)),""))</f>
        <v/>
      </c>
      <c r="H850" s="50"/>
      <c r="I850" s="82" t="str">
        <f aca="false">IF(OR(F850="",H850=""),"",F850*H850)</f>
        <v/>
      </c>
      <c r="J850" s="83" t="str">
        <f aca="false">IF(D850="","",IFERROR(INDEX(식자재단가!$M$4:$M$203,MATCH(D850,식자재단가!$C$4:$C$203,0)),"과세"))</f>
        <v/>
      </c>
      <c r="K850" s="28" t="str">
        <f aca="false">IF(I850="","",IF(J850="과세",ROUND(I850*0.1,0),0))</f>
        <v/>
      </c>
      <c r="L850" s="28" t="str">
        <f aca="false">IF(I850="","",I850+K850)</f>
        <v/>
      </c>
      <c r="M850" s="10"/>
      <c r="N850" s="80"/>
      <c r="O850" s="80"/>
      <c r="P850" s="59" t="str">
        <f aca="false">IF(E850="","",IFERROR(INDEX(기본설정!$H$4:$H$14,MATCH(E850,기본설정!$G$4:$G$14,0)),""))</f>
        <v/>
      </c>
    </row>
    <row r="851" customFormat="false" ht="15" hidden="false" customHeight="false" outlineLevel="0" collapsed="false">
      <c r="A851" s="73"/>
      <c r="B851" s="10"/>
      <c r="C851" s="80"/>
      <c r="D851" s="80"/>
      <c r="E851" s="81" t="str">
        <f aca="false">IF(D851="","",IFERROR(INDEX(식자재단가!$B$4:$B$203,MATCH(D851,식자재단가!$C$4:$C$203,0)),""))</f>
        <v/>
      </c>
      <c r="F851" s="76"/>
      <c r="G851" s="59" t="str">
        <f aca="false">IF(D851="","",IFERROR(INDEX(식자재단가!$F$4:$F$203,MATCH(D851,식자재단가!$C$4:$C$203,0)),""))</f>
        <v/>
      </c>
      <c r="H851" s="50"/>
      <c r="I851" s="82" t="str">
        <f aca="false">IF(OR(F851="",H851=""),"",F851*H851)</f>
        <v/>
      </c>
      <c r="J851" s="83" t="str">
        <f aca="false">IF(D851="","",IFERROR(INDEX(식자재단가!$M$4:$M$203,MATCH(D851,식자재단가!$C$4:$C$203,0)),"과세"))</f>
        <v/>
      </c>
      <c r="K851" s="28" t="str">
        <f aca="false">IF(I851="","",IF(J851="과세",ROUND(I851*0.1,0),0))</f>
        <v/>
      </c>
      <c r="L851" s="28" t="str">
        <f aca="false">IF(I851="","",I851+K851)</f>
        <v/>
      </c>
      <c r="M851" s="10"/>
      <c r="N851" s="80"/>
      <c r="O851" s="80"/>
      <c r="P851" s="59" t="str">
        <f aca="false">IF(E851="","",IFERROR(INDEX(기본설정!$H$4:$H$14,MATCH(E851,기본설정!$G$4:$G$14,0)),""))</f>
        <v/>
      </c>
    </row>
    <row r="852" customFormat="false" ht="15" hidden="false" customHeight="false" outlineLevel="0" collapsed="false">
      <c r="A852" s="73"/>
      <c r="B852" s="10"/>
      <c r="C852" s="80"/>
      <c r="D852" s="80"/>
      <c r="E852" s="81" t="str">
        <f aca="false">IF(D852="","",IFERROR(INDEX(식자재단가!$B$4:$B$203,MATCH(D852,식자재단가!$C$4:$C$203,0)),""))</f>
        <v/>
      </c>
      <c r="F852" s="76"/>
      <c r="G852" s="59" t="str">
        <f aca="false">IF(D852="","",IFERROR(INDEX(식자재단가!$F$4:$F$203,MATCH(D852,식자재단가!$C$4:$C$203,0)),""))</f>
        <v/>
      </c>
      <c r="H852" s="50"/>
      <c r="I852" s="82" t="str">
        <f aca="false">IF(OR(F852="",H852=""),"",F852*H852)</f>
        <v/>
      </c>
      <c r="J852" s="83" t="str">
        <f aca="false">IF(D852="","",IFERROR(INDEX(식자재단가!$M$4:$M$203,MATCH(D852,식자재단가!$C$4:$C$203,0)),"과세"))</f>
        <v/>
      </c>
      <c r="K852" s="28" t="str">
        <f aca="false">IF(I852="","",IF(J852="과세",ROUND(I852*0.1,0),0))</f>
        <v/>
      </c>
      <c r="L852" s="28" t="str">
        <f aca="false">IF(I852="","",I852+K852)</f>
        <v/>
      </c>
      <c r="M852" s="10"/>
      <c r="N852" s="80"/>
      <c r="O852" s="80"/>
      <c r="P852" s="59" t="str">
        <f aca="false">IF(E852="","",IFERROR(INDEX(기본설정!$H$4:$H$14,MATCH(E852,기본설정!$G$4:$G$14,0)),""))</f>
        <v/>
      </c>
    </row>
    <row r="853" customFormat="false" ht="15" hidden="false" customHeight="false" outlineLevel="0" collapsed="false">
      <c r="A853" s="73"/>
      <c r="B853" s="10"/>
      <c r="C853" s="80"/>
      <c r="D853" s="80"/>
      <c r="E853" s="81" t="str">
        <f aca="false">IF(D853="","",IFERROR(INDEX(식자재단가!$B$4:$B$203,MATCH(D853,식자재단가!$C$4:$C$203,0)),""))</f>
        <v/>
      </c>
      <c r="F853" s="76"/>
      <c r="G853" s="59" t="str">
        <f aca="false">IF(D853="","",IFERROR(INDEX(식자재단가!$F$4:$F$203,MATCH(D853,식자재단가!$C$4:$C$203,0)),""))</f>
        <v/>
      </c>
      <c r="H853" s="50"/>
      <c r="I853" s="82" t="str">
        <f aca="false">IF(OR(F853="",H853=""),"",F853*H853)</f>
        <v/>
      </c>
      <c r="J853" s="83" t="str">
        <f aca="false">IF(D853="","",IFERROR(INDEX(식자재단가!$M$4:$M$203,MATCH(D853,식자재단가!$C$4:$C$203,0)),"과세"))</f>
        <v/>
      </c>
      <c r="K853" s="28" t="str">
        <f aca="false">IF(I853="","",IF(J853="과세",ROUND(I853*0.1,0),0))</f>
        <v/>
      </c>
      <c r="L853" s="28" t="str">
        <f aca="false">IF(I853="","",I853+K853)</f>
        <v/>
      </c>
      <c r="M853" s="10"/>
      <c r="N853" s="80"/>
      <c r="O853" s="80"/>
      <c r="P853" s="59" t="str">
        <f aca="false">IF(E853="","",IFERROR(INDEX(기본설정!$H$4:$H$14,MATCH(E853,기본설정!$G$4:$G$14,0)),""))</f>
        <v/>
      </c>
    </row>
    <row r="854" customFormat="false" ht="15" hidden="false" customHeight="false" outlineLevel="0" collapsed="false">
      <c r="A854" s="73"/>
      <c r="B854" s="10"/>
      <c r="C854" s="80"/>
      <c r="D854" s="80"/>
      <c r="E854" s="81" t="str">
        <f aca="false">IF(D854="","",IFERROR(INDEX(식자재단가!$B$4:$B$203,MATCH(D854,식자재단가!$C$4:$C$203,0)),""))</f>
        <v/>
      </c>
      <c r="F854" s="76"/>
      <c r="G854" s="59" t="str">
        <f aca="false">IF(D854="","",IFERROR(INDEX(식자재단가!$F$4:$F$203,MATCH(D854,식자재단가!$C$4:$C$203,0)),""))</f>
        <v/>
      </c>
      <c r="H854" s="50"/>
      <c r="I854" s="82" t="str">
        <f aca="false">IF(OR(F854="",H854=""),"",F854*H854)</f>
        <v/>
      </c>
      <c r="J854" s="83" t="str">
        <f aca="false">IF(D854="","",IFERROR(INDEX(식자재단가!$M$4:$M$203,MATCH(D854,식자재단가!$C$4:$C$203,0)),"과세"))</f>
        <v/>
      </c>
      <c r="K854" s="28" t="str">
        <f aca="false">IF(I854="","",IF(J854="과세",ROUND(I854*0.1,0),0))</f>
        <v/>
      </c>
      <c r="L854" s="28" t="str">
        <f aca="false">IF(I854="","",I854+K854)</f>
        <v/>
      </c>
      <c r="M854" s="10"/>
      <c r="N854" s="80"/>
      <c r="O854" s="80"/>
      <c r="P854" s="59" t="str">
        <f aca="false">IF(E854="","",IFERROR(INDEX(기본설정!$H$4:$H$14,MATCH(E854,기본설정!$G$4:$G$14,0)),""))</f>
        <v/>
      </c>
    </row>
    <row r="855" customFormat="false" ht="15" hidden="false" customHeight="false" outlineLevel="0" collapsed="false">
      <c r="A855" s="73"/>
      <c r="B855" s="10"/>
      <c r="C855" s="80"/>
      <c r="D855" s="80"/>
      <c r="E855" s="81" t="str">
        <f aca="false">IF(D855="","",IFERROR(INDEX(식자재단가!$B$4:$B$203,MATCH(D855,식자재단가!$C$4:$C$203,0)),""))</f>
        <v/>
      </c>
      <c r="F855" s="76"/>
      <c r="G855" s="59" t="str">
        <f aca="false">IF(D855="","",IFERROR(INDEX(식자재단가!$F$4:$F$203,MATCH(D855,식자재단가!$C$4:$C$203,0)),""))</f>
        <v/>
      </c>
      <c r="H855" s="50"/>
      <c r="I855" s="82" t="str">
        <f aca="false">IF(OR(F855="",H855=""),"",F855*H855)</f>
        <v/>
      </c>
      <c r="J855" s="83" t="str">
        <f aca="false">IF(D855="","",IFERROR(INDEX(식자재단가!$M$4:$M$203,MATCH(D855,식자재단가!$C$4:$C$203,0)),"과세"))</f>
        <v/>
      </c>
      <c r="K855" s="28" t="str">
        <f aca="false">IF(I855="","",IF(J855="과세",ROUND(I855*0.1,0),0))</f>
        <v/>
      </c>
      <c r="L855" s="28" t="str">
        <f aca="false">IF(I855="","",I855+K855)</f>
        <v/>
      </c>
      <c r="M855" s="10"/>
      <c r="N855" s="80"/>
      <c r="O855" s="80"/>
      <c r="P855" s="59" t="str">
        <f aca="false">IF(E855="","",IFERROR(INDEX(기본설정!$H$4:$H$14,MATCH(E855,기본설정!$G$4:$G$14,0)),""))</f>
        <v/>
      </c>
    </row>
    <row r="856" customFormat="false" ht="15" hidden="false" customHeight="false" outlineLevel="0" collapsed="false">
      <c r="A856" s="73"/>
      <c r="B856" s="10"/>
      <c r="C856" s="80"/>
      <c r="D856" s="80"/>
      <c r="E856" s="81" t="str">
        <f aca="false">IF(D856="","",IFERROR(INDEX(식자재단가!$B$4:$B$203,MATCH(D856,식자재단가!$C$4:$C$203,0)),""))</f>
        <v/>
      </c>
      <c r="F856" s="76"/>
      <c r="G856" s="59" t="str">
        <f aca="false">IF(D856="","",IFERROR(INDEX(식자재단가!$F$4:$F$203,MATCH(D856,식자재단가!$C$4:$C$203,0)),""))</f>
        <v/>
      </c>
      <c r="H856" s="50"/>
      <c r="I856" s="82" t="str">
        <f aca="false">IF(OR(F856="",H856=""),"",F856*H856)</f>
        <v/>
      </c>
      <c r="J856" s="83" t="str">
        <f aca="false">IF(D856="","",IFERROR(INDEX(식자재단가!$M$4:$M$203,MATCH(D856,식자재단가!$C$4:$C$203,0)),"과세"))</f>
        <v/>
      </c>
      <c r="K856" s="28" t="str">
        <f aca="false">IF(I856="","",IF(J856="과세",ROUND(I856*0.1,0),0))</f>
        <v/>
      </c>
      <c r="L856" s="28" t="str">
        <f aca="false">IF(I856="","",I856+K856)</f>
        <v/>
      </c>
      <c r="M856" s="10"/>
      <c r="N856" s="80"/>
      <c r="O856" s="80"/>
      <c r="P856" s="59" t="str">
        <f aca="false">IF(E856="","",IFERROR(INDEX(기본설정!$H$4:$H$14,MATCH(E856,기본설정!$G$4:$G$14,0)),""))</f>
        <v/>
      </c>
    </row>
    <row r="857" customFormat="false" ht="15" hidden="false" customHeight="false" outlineLevel="0" collapsed="false">
      <c r="A857" s="73"/>
      <c r="B857" s="10"/>
      <c r="C857" s="80"/>
      <c r="D857" s="80"/>
      <c r="E857" s="81" t="str">
        <f aca="false">IF(D857="","",IFERROR(INDEX(식자재단가!$B$4:$B$203,MATCH(D857,식자재단가!$C$4:$C$203,0)),""))</f>
        <v/>
      </c>
      <c r="F857" s="76"/>
      <c r="G857" s="59" t="str">
        <f aca="false">IF(D857="","",IFERROR(INDEX(식자재단가!$F$4:$F$203,MATCH(D857,식자재단가!$C$4:$C$203,0)),""))</f>
        <v/>
      </c>
      <c r="H857" s="50"/>
      <c r="I857" s="82" t="str">
        <f aca="false">IF(OR(F857="",H857=""),"",F857*H857)</f>
        <v/>
      </c>
      <c r="J857" s="83" t="str">
        <f aca="false">IF(D857="","",IFERROR(INDEX(식자재단가!$M$4:$M$203,MATCH(D857,식자재단가!$C$4:$C$203,0)),"과세"))</f>
        <v/>
      </c>
      <c r="K857" s="28" t="str">
        <f aca="false">IF(I857="","",IF(J857="과세",ROUND(I857*0.1,0),0))</f>
        <v/>
      </c>
      <c r="L857" s="28" t="str">
        <f aca="false">IF(I857="","",I857+K857)</f>
        <v/>
      </c>
      <c r="M857" s="10"/>
      <c r="N857" s="80"/>
      <c r="O857" s="80"/>
      <c r="P857" s="59" t="str">
        <f aca="false">IF(E857="","",IFERROR(INDEX(기본설정!$H$4:$H$14,MATCH(E857,기본설정!$G$4:$G$14,0)),""))</f>
        <v/>
      </c>
    </row>
    <row r="858" customFormat="false" ht="15" hidden="false" customHeight="false" outlineLevel="0" collapsed="false">
      <c r="A858" s="73"/>
      <c r="B858" s="10"/>
      <c r="C858" s="80"/>
      <c r="D858" s="80"/>
      <c r="E858" s="81" t="str">
        <f aca="false">IF(D858="","",IFERROR(INDEX(식자재단가!$B$4:$B$203,MATCH(D858,식자재단가!$C$4:$C$203,0)),""))</f>
        <v/>
      </c>
      <c r="F858" s="76"/>
      <c r="G858" s="59" t="str">
        <f aca="false">IF(D858="","",IFERROR(INDEX(식자재단가!$F$4:$F$203,MATCH(D858,식자재단가!$C$4:$C$203,0)),""))</f>
        <v/>
      </c>
      <c r="H858" s="50"/>
      <c r="I858" s="82" t="str">
        <f aca="false">IF(OR(F858="",H858=""),"",F858*H858)</f>
        <v/>
      </c>
      <c r="J858" s="83" t="str">
        <f aca="false">IF(D858="","",IFERROR(INDEX(식자재단가!$M$4:$M$203,MATCH(D858,식자재단가!$C$4:$C$203,0)),"과세"))</f>
        <v/>
      </c>
      <c r="K858" s="28" t="str">
        <f aca="false">IF(I858="","",IF(J858="과세",ROUND(I858*0.1,0),0))</f>
        <v/>
      </c>
      <c r="L858" s="28" t="str">
        <f aca="false">IF(I858="","",I858+K858)</f>
        <v/>
      </c>
      <c r="M858" s="10"/>
      <c r="N858" s="80"/>
      <c r="O858" s="80"/>
      <c r="P858" s="59" t="str">
        <f aca="false">IF(E858="","",IFERROR(INDEX(기본설정!$H$4:$H$14,MATCH(E858,기본설정!$G$4:$G$14,0)),""))</f>
        <v/>
      </c>
    </row>
    <row r="859" customFormat="false" ht="15" hidden="false" customHeight="false" outlineLevel="0" collapsed="false">
      <c r="A859" s="73"/>
      <c r="B859" s="10"/>
      <c r="C859" s="80"/>
      <c r="D859" s="80"/>
      <c r="E859" s="81" t="str">
        <f aca="false">IF(D859="","",IFERROR(INDEX(식자재단가!$B$4:$B$203,MATCH(D859,식자재단가!$C$4:$C$203,0)),""))</f>
        <v/>
      </c>
      <c r="F859" s="76"/>
      <c r="G859" s="59" t="str">
        <f aca="false">IF(D859="","",IFERROR(INDEX(식자재단가!$F$4:$F$203,MATCH(D859,식자재단가!$C$4:$C$203,0)),""))</f>
        <v/>
      </c>
      <c r="H859" s="50"/>
      <c r="I859" s="82" t="str">
        <f aca="false">IF(OR(F859="",H859=""),"",F859*H859)</f>
        <v/>
      </c>
      <c r="J859" s="83" t="str">
        <f aca="false">IF(D859="","",IFERROR(INDEX(식자재단가!$M$4:$M$203,MATCH(D859,식자재단가!$C$4:$C$203,0)),"과세"))</f>
        <v/>
      </c>
      <c r="K859" s="28" t="str">
        <f aca="false">IF(I859="","",IF(J859="과세",ROUND(I859*0.1,0),0))</f>
        <v/>
      </c>
      <c r="L859" s="28" t="str">
        <f aca="false">IF(I859="","",I859+K859)</f>
        <v/>
      </c>
      <c r="M859" s="10"/>
      <c r="N859" s="80"/>
      <c r="O859" s="80"/>
      <c r="P859" s="59" t="str">
        <f aca="false">IF(E859="","",IFERROR(INDEX(기본설정!$H$4:$H$14,MATCH(E859,기본설정!$G$4:$G$14,0)),""))</f>
        <v/>
      </c>
    </row>
    <row r="860" customFormat="false" ht="15" hidden="false" customHeight="false" outlineLevel="0" collapsed="false">
      <c r="A860" s="73"/>
      <c r="B860" s="10"/>
      <c r="C860" s="80"/>
      <c r="D860" s="80"/>
      <c r="E860" s="81" t="str">
        <f aca="false">IF(D860="","",IFERROR(INDEX(식자재단가!$B$4:$B$203,MATCH(D860,식자재단가!$C$4:$C$203,0)),""))</f>
        <v/>
      </c>
      <c r="F860" s="76"/>
      <c r="G860" s="59" t="str">
        <f aca="false">IF(D860="","",IFERROR(INDEX(식자재단가!$F$4:$F$203,MATCH(D860,식자재단가!$C$4:$C$203,0)),""))</f>
        <v/>
      </c>
      <c r="H860" s="50"/>
      <c r="I860" s="82" t="str">
        <f aca="false">IF(OR(F860="",H860=""),"",F860*H860)</f>
        <v/>
      </c>
      <c r="J860" s="83" t="str">
        <f aca="false">IF(D860="","",IFERROR(INDEX(식자재단가!$M$4:$M$203,MATCH(D860,식자재단가!$C$4:$C$203,0)),"과세"))</f>
        <v/>
      </c>
      <c r="K860" s="28" t="str">
        <f aca="false">IF(I860="","",IF(J860="과세",ROUND(I860*0.1,0),0))</f>
        <v/>
      </c>
      <c r="L860" s="28" t="str">
        <f aca="false">IF(I860="","",I860+K860)</f>
        <v/>
      </c>
      <c r="M860" s="10"/>
      <c r="N860" s="80"/>
      <c r="O860" s="80"/>
      <c r="P860" s="59" t="str">
        <f aca="false">IF(E860="","",IFERROR(INDEX(기본설정!$H$4:$H$14,MATCH(E860,기본설정!$G$4:$G$14,0)),""))</f>
        <v/>
      </c>
    </row>
    <row r="861" customFormat="false" ht="15" hidden="false" customHeight="false" outlineLevel="0" collapsed="false">
      <c r="A861" s="73"/>
      <c r="B861" s="10"/>
      <c r="C861" s="80"/>
      <c r="D861" s="80"/>
      <c r="E861" s="81" t="str">
        <f aca="false">IF(D861="","",IFERROR(INDEX(식자재단가!$B$4:$B$203,MATCH(D861,식자재단가!$C$4:$C$203,0)),""))</f>
        <v/>
      </c>
      <c r="F861" s="76"/>
      <c r="G861" s="59" t="str">
        <f aca="false">IF(D861="","",IFERROR(INDEX(식자재단가!$F$4:$F$203,MATCH(D861,식자재단가!$C$4:$C$203,0)),""))</f>
        <v/>
      </c>
      <c r="H861" s="50"/>
      <c r="I861" s="82" t="str">
        <f aca="false">IF(OR(F861="",H861=""),"",F861*H861)</f>
        <v/>
      </c>
      <c r="J861" s="83" t="str">
        <f aca="false">IF(D861="","",IFERROR(INDEX(식자재단가!$M$4:$M$203,MATCH(D861,식자재단가!$C$4:$C$203,0)),"과세"))</f>
        <v/>
      </c>
      <c r="K861" s="28" t="str">
        <f aca="false">IF(I861="","",IF(J861="과세",ROUND(I861*0.1,0),0))</f>
        <v/>
      </c>
      <c r="L861" s="28" t="str">
        <f aca="false">IF(I861="","",I861+K861)</f>
        <v/>
      </c>
      <c r="M861" s="10"/>
      <c r="N861" s="80"/>
      <c r="O861" s="80"/>
      <c r="P861" s="59" t="str">
        <f aca="false">IF(E861="","",IFERROR(INDEX(기본설정!$H$4:$H$14,MATCH(E861,기본설정!$G$4:$G$14,0)),""))</f>
        <v/>
      </c>
    </row>
    <row r="862" customFormat="false" ht="15" hidden="false" customHeight="false" outlineLevel="0" collapsed="false">
      <c r="A862" s="73"/>
      <c r="B862" s="10"/>
      <c r="C862" s="80"/>
      <c r="D862" s="80"/>
      <c r="E862" s="81" t="str">
        <f aca="false">IF(D862="","",IFERROR(INDEX(식자재단가!$B$4:$B$203,MATCH(D862,식자재단가!$C$4:$C$203,0)),""))</f>
        <v/>
      </c>
      <c r="F862" s="76"/>
      <c r="G862" s="59" t="str">
        <f aca="false">IF(D862="","",IFERROR(INDEX(식자재단가!$F$4:$F$203,MATCH(D862,식자재단가!$C$4:$C$203,0)),""))</f>
        <v/>
      </c>
      <c r="H862" s="50"/>
      <c r="I862" s="82" t="str">
        <f aca="false">IF(OR(F862="",H862=""),"",F862*H862)</f>
        <v/>
      </c>
      <c r="J862" s="83" t="str">
        <f aca="false">IF(D862="","",IFERROR(INDEX(식자재단가!$M$4:$M$203,MATCH(D862,식자재단가!$C$4:$C$203,0)),"과세"))</f>
        <v/>
      </c>
      <c r="K862" s="28" t="str">
        <f aca="false">IF(I862="","",IF(J862="과세",ROUND(I862*0.1,0),0))</f>
        <v/>
      </c>
      <c r="L862" s="28" t="str">
        <f aca="false">IF(I862="","",I862+K862)</f>
        <v/>
      </c>
      <c r="M862" s="10"/>
      <c r="N862" s="80"/>
      <c r="O862" s="80"/>
      <c r="P862" s="59" t="str">
        <f aca="false">IF(E862="","",IFERROR(INDEX(기본설정!$H$4:$H$14,MATCH(E862,기본설정!$G$4:$G$14,0)),""))</f>
        <v/>
      </c>
    </row>
    <row r="863" customFormat="false" ht="15" hidden="false" customHeight="false" outlineLevel="0" collapsed="false">
      <c r="A863" s="73"/>
      <c r="B863" s="10"/>
      <c r="C863" s="80"/>
      <c r="D863" s="80"/>
      <c r="E863" s="81" t="str">
        <f aca="false">IF(D863="","",IFERROR(INDEX(식자재단가!$B$4:$B$203,MATCH(D863,식자재단가!$C$4:$C$203,0)),""))</f>
        <v/>
      </c>
      <c r="F863" s="76"/>
      <c r="G863" s="59" t="str">
        <f aca="false">IF(D863="","",IFERROR(INDEX(식자재단가!$F$4:$F$203,MATCH(D863,식자재단가!$C$4:$C$203,0)),""))</f>
        <v/>
      </c>
      <c r="H863" s="50"/>
      <c r="I863" s="82" t="str">
        <f aca="false">IF(OR(F863="",H863=""),"",F863*H863)</f>
        <v/>
      </c>
      <c r="J863" s="83" t="str">
        <f aca="false">IF(D863="","",IFERROR(INDEX(식자재단가!$M$4:$M$203,MATCH(D863,식자재단가!$C$4:$C$203,0)),"과세"))</f>
        <v/>
      </c>
      <c r="K863" s="28" t="str">
        <f aca="false">IF(I863="","",IF(J863="과세",ROUND(I863*0.1,0),0))</f>
        <v/>
      </c>
      <c r="L863" s="28" t="str">
        <f aca="false">IF(I863="","",I863+K863)</f>
        <v/>
      </c>
      <c r="M863" s="10"/>
      <c r="N863" s="80"/>
      <c r="O863" s="80"/>
      <c r="P863" s="59" t="str">
        <f aca="false">IF(E863="","",IFERROR(INDEX(기본설정!$H$4:$H$14,MATCH(E863,기본설정!$G$4:$G$14,0)),""))</f>
        <v/>
      </c>
    </row>
    <row r="864" customFormat="false" ht="15" hidden="false" customHeight="false" outlineLevel="0" collapsed="false">
      <c r="A864" s="73"/>
      <c r="B864" s="10"/>
      <c r="C864" s="80"/>
      <c r="D864" s="80"/>
      <c r="E864" s="81" t="str">
        <f aca="false">IF(D864="","",IFERROR(INDEX(식자재단가!$B$4:$B$203,MATCH(D864,식자재단가!$C$4:$C$203,0)),""))</f>
        <v/>
      </c>
      <c r="F864" s="76"/>
      <c r="G864" s="59" t="str">
        <f aca="false">IF(D864="","",IFERROR(INDEX(식자재단가!$F$4:$F$203,MATCH(D864,식자재단가!$C$4:$C$203,0)),""))</f>
        <v/>
      </c>
      <c r="H864" s="50"/>
      <c r="I864" s="82" t="str">
        <f aca="false">IF(OR(F864="",H864=""),"",F864*H864)</f>
        <v/>
      </c>
      <c r="J864" s="83" t="str">
        <f aca="false">IF(D864="","",IFERROR(INDEX(식자재단가!$M$4:$M$203,MATCH(D864,식자재단가!$C$4:$C$203,0)),"과세"))</f>
        <v/>
      </c>
      <c r="K864" s="28" t="str">
        <f aca="false">IF(I864="","",IF(J864="과세",ROUND(I864*0.1,0),0))</f>
        <v/>
      </c>
      <c r="L864" s="28" t="str">
        <f aca="false">IF(I864="","",I864+K864)</f>
        <v/>
      </c>
      <c r="M864" s="10"/>
      <c r="N864" s="80"/>
      <c r="O864" s="80"/>
      <c r="P864" s="59" t="str">
        <f aca="false">IF(E864="","",IFERROR(INDEX(기본설정!$H$4:$H$14,MATCH(E864,기본설정!$G$4:$G$14,0)),""))</f>
        <v/>
      </c>
    </row>
    <row r="865" customFormat="false" ht="15" hidden="false" customHeight="false" outlineLevel="0" collapsed="false">
      <c r="A865" s="73"/>
      <c r="B865" s="10"/>
      <c r="C865" s="80"/>
      <c r="D865" s="80"/>
      <c r="E865" s="81" t="str">
        <f aca="false">IF(D865="","",IFERROR(INDEX(식자재단가!$B$4:$B$203,MATCH(D865,식자재단가!$C$4:$C$203,0)),""))</f>
        <v/>
      </c>
      <c r="F865" s="76"/>
      <c r="G865" s="59" t="str">
        <f aca="false">IF(D865="","",IFERROR(INDEX(식자재단가!$F$4:$F$203,MATCH(D865,식자재단가!$C$4:$C$203,0)),""))</f>
        <v/>
      </c>
      <c r="H865" s="50"/>
      <c r="I865" s="82" t="str">
        <f aca="false">IF(OR(F865="",H865=""),"",F865*H865)</f>
        <v/>
      </c>
      <c r="J865" s="83" t="str">
        <f aca="false">IF(D865="","",IFERROR(INDEX(식자재단가!$M$4:$M$203,MATCH(D865,식자재단가!$C$4:$C$203,0)),"과세"))</f>
        <v/>
      </c>
      <c r="K865" s="28" t="str">
        <f aca="false">IF(I865="","",IF(J865="과세",ROUND(I865*0.1,0),0))</f>
        <v/>
      </c>
      <c r="L865" s="28" t="str">
        <f aca="false">IF(I865="","",I865+K865)</f>
        <v/>
      </c>
      <c r="M865" s="10"/>
      <c r="N865" s="80"/>
      <c r="O865" s="80"/>
      <c r="P865" s="59" t="str">
        <f aca="false">IF(E865="","",IFERROR(INDEX(기본설정!$H$4:$H$14,MATCH(E865,기본설정!$G$4:$G$14,0)),""))</f>
        <v/>
      </c>
    </row>
    <row r="866" customFormat="false" ht="15" hidden="false" customHeight="false" outlineLevel="0" collapsed="false">
      <c r="A866" s="73"/>
      <c r="B866" s="10"/>
      <c r="C866" s="80"/>
      <c r="D866" s="80"/>
      <c r="E866" s="81" t="str">
        <f aca="false">IF(D866="","",IFERROR(INDEX(식자재단가!$B$4:$B$203,MATCH(D866,식자재단가!$C$4:$C$203,0)),""))</f>
        <v/>
      </c>
      <c r="F866" s="76"/>
      <c r="G866" s="59" t="str">
        <f aca="false">IF(D866="","",IFERROR(INDEX(식자재단가!$F$4:$F$203,MATCH(D866,식자재단가!$C$4:$C$203,0)),""))</f>
        <v/>
      </c>
      <c r="H866" s="50"/>
      <c r="I866" s="82" t="str">
        <f aca="false">IF(OR(F866="",H866=""),"",F866*H866)</f>
        <v/>
      </c>
      <c r="J866" s="83" t="str">
        <f aca="false">IF(D866="","",IFERROR(INDEX(식자재단가!$M$4:$M$203,MATCH(D866,식자재단가!$C$4:$C$203,0)),"과세"))</f>
        <v/>
      </c>
      <c r="K866" s="28" t="str">
        <f aca="false">IF(I866="","",IF(J866="과세",ROUND(I866*0.1,0),0))</f>
        <v/>
      </c>
      <c r="L866" s="28" t="str">
        <f aca="false">IF(I866="","",I866+K866)</f>
        <v/>
      </c>
      <c r="M866" s="10"/>
      <c r="N866" s="80"/>
      <c r="O866" s="80"/>
      <c r="P866" s="59" t="str">
        <f aca="false">IF(E866="","",IFERROR(INDEX(기본설정!$H$4:$H$14,MATCH(E866,기본설정!$G$4:$G$14,0)),""))</f>
        <v/>
      </c>
    </row>
    <row r="867" customFormat="false" ht="15" hidden="false" customHeight="false" outlineLevel="0" collapsed="false">
      <c r="A867" s="73"/>
      <c r="B867" s="10"/>
      <c r="C867" s="80"/>
      <c r="D867" s="80"/>
      <c r="E867" s="81" t="str">
        <f aca="false">IF(D867="","",IFERROR(INDEX(식자재단가!$B$4:$B$203,MATCH(D867,식자재단가!$C$4:$C$203,0)),""))</f>
        <v/>
      </c>
      <c r="F867" s="76"/>
      <c r="G867" s="59" t="str">
        <f aca="false">IF(D867="","",IFERROR(INDEX(식자재단가!$F$4:$F$203,MATCH(D867,식자재단가!$C$4:$C$203,0)),""))</f>
        <v/>
      </c>
      <c r="H867" s="50"/>
      <c r="I867" s="82" t="str">
        <f aca="false">IF(OR(F867="",H867=""),"",F867*H867)</f>
        <v/>
      </c>
      <c r="J867" s="83" t="str">
        <f aca="false">IF(D867="","",IFERROR(INDEX(식자재단가!$M$4:$M$203,MATCH(D867,식자재단가!$C$4:$C$203,0)),"과세"))</f>
        <v/>
      </c>
      <c r="K867" s="28" t="str">
        <f aca="false">IF(I867="","",IF(J867="과세",ROUND(I867*0.1,0),0))</f>
        <v/>
      </c>
      <c r="L867" s="28" t="str">
        <f aca="false">IF(I867="","",I867+K867)</f>
        <v/>
      </c>
      <c r="M867" s="10"/>
      <c r="N867" s="80"/>
      <c r="O867" s="80"/>
      <c r="P867" s="59" t="str">
        <f aca="false">IF(E867="","",IFERROR(INDEX(기본설정!$H$4:$H$14,MATCH(E867,기본설정!$G$4:$G$14,0)),""))</f>
        <v/>
      </c>
    </row>
    <row r="868" customFormat="false" ht="15" hidden="false" customHeight="false" outlineLevel="0" collapsed="false">
      <c r="A868" s="73"/>
      <c r="B868" s="10"/>
      <c r="C868" s="80"/>
      <c r="D868" s="80"/>
      <c r="E868" s="81" t="str">
        <f aca="false">IF(D868="","",IFERROR(INDEX(식자재단가!$B$4:$B$203,MATCH(D868,식자재단가!$C$4:$C$203,0)),""))</f>
        <v/>
      </c>
      <c r="F868" s="76"/>
      <c r="G868" s="59" t="str">
        <f aca="false">IF(D868="","",IFERROR(INDEX(식자재단가!$F$4:$F$203,MATCH(D868,식자재단가!$C$4:$C$203,0)),""))</f>
        <v/>
      </c>
      <c r="H868" s="50"/>
      <c r="I868" s="82" t="str">
        <f aca="false">IF(OR(F868="",H868=""),"",F868*H868)</f>
        <v/>
      </c>
      <c r="J868" s="83" t="str">
        <f aca="false">IF(D868="","",IFERROR(INDEX(식자재단가!$M$4:$M$203,MATCH(D868,식자재단가!$C$4:$C$203,0)),"과세"))</f>
        <v/>
      </c>
      <c r="K868" s="28" t="str">
        <f aca="false">IF(I868="","",IF(J868="과세",ROUND(I868*0.1,0),0))</f>
        <v/>
      </c>
      <c r="L868" s="28" t="str">
        <f aca="false">IF(I868="","",I868+K868)</f>
        <v/>
      </c>
      <c r="M868" s="10"/>
      <c r="N868" s="80"/>
      <c r="O868" s="80"/>
      <c r="P868" s="59" t="str">
        <f aca="false">IF(E868="","",IFERROR(INDEX(기본설정!$H$4:$H$14,MATCH(E868,기본설정!$G$4:$G$14,0)),""))</f>
        <v/>
      </c>
    </row>
    <row r="869" customFormat="false" ht="15" hidden="false" customHeight="false" outlineLevel="0" collapsed="false">
      <c r="A869" s="73"/>
      <c r="B869" s="10"/>
      <c r="C869" s="80"/>
      <c r="D869" s="80"/>
      <c r="E869" s="81" t="str">
        <f aca="false">IF(D869="","",IFERROR(INDEX(식자재단가!$B$4:$B$203,MATCH(D869,식자재단가!$C$4:$C$203,0)),""))</f>
        <v/>
      </c>
      <c r="F869" s="76"/>
      <c r="G869" s="59" t="str">
        <f aca="false">IF(D869="","",IFERROR(INDEX(식자재단가!$F$4:$F$203,MATCH(D869,식자재단가!$C$4:$C$203,0)),""))</f>
        <v/>
      </c>
      <c r="H869" s="50"/>
      <c r="I869" s="82" t="str">
        <f aca="false">IF(OR(F869="",H869=""),"",F869*H869)</f>
        <v/>
      </c>
      <c r="J869" s="83" t="str">
        <f aca="false">IF(D869="","",IFERROR(INDEX(식자재단가!$M$4:$M$203,MATCH(D869,식자재단가!$C$4:$C$203,0)),"과세"))</f>
        <v/>
      </c>
      <c r="K869" s="28" t="str">
        <f aca="false">IF(I869="","",IF(J869="과세",ROUND(I869*0.1,0),0))</f>
        <v/>
      </c>
      <c r="L869" s="28" t="str">
        <f aca="false">IF(I869="","",I869+K869)</f>
        <v/>
      </c>
      <c r="M869" s="10"/>
      <c r="N869" s="80"/>
      <c r="O869" s="80"/>
      <c r="P869" s="59" t="str">
        <f aca="false">IF(E869="","",IFERROR(INDEX(기본설정!$H$4:$H$14,MATCH(E869,기본설정!$G$4:$G$14,0)),""))</f>
        <v/>
      </c>
    </row>
    <row r="870" customFormat="false" ht="15" hidden="false" customHeight="false" outlineLevel="0" collapsed="false">
      <c r="A870" s="73"/>
      <c r="B870" s="10"/>
      <c r="C870" s="80"/>
      <c r="D870" s="80"/>
      <c r="E870" s="81" t="str">
        <f aca="false">IF(D870="","",IFERROR(INDEX(식자재단가!$B$4:$B$203,MATCH(D870,식자재단가!$C$4:$C$203,0)),""))</f>
        <v/>
      </c>
      <c r="F870" s="76"/>
      <c r="G870" s="59" t="str">
        <f aca="false">IF(D870="","",IFERROR(INDEX(식자재단가!$F$4:$F$203,MATCH(D870,식자재단가!$C$4:$C$203,0)),""))</f>
        <v/>
      </c>
      <c r="H870" s="50"/>
      <c r="I870" s="82" t="str">
        <f aca="false">IF(OR(F870="",H870=""),"",F870*H870)</f>
        <v/>
      </c>
      <c r="J870" s="83" t="str">
        <f aca="false">IF(D870="","",IFERROR(INDEX(식자재단가!$M$4:$M$203,MATCH(D870,식자재단가!$C$4:$C$203,0)),"과세"))</f>
        <v/>
      </c>
      <c r="K870" s="28" t="str">
        <f aca="false">IF(I870="","",IF(J870="과세",ROUND(I870*0.1,0),0))</f>
        <v/>
      </c>
      <c r="L870" s="28" t="str">
        <f aca="false">IF(I870="","",I870+K870)</f>
        <v/>
      </c>
      <c r="M870" s="10"/>
      <c r="N870" s="80"/>
      <c r="O870" s="80"/>
      <c r="P870" s="59" t="str">
        <f aca="false">IF(E870="","",IFERROR(INDEX(기본설정!$H$4:$H$14,MATCH(E870,기본설정!$G$4:$G$14,0)),""))</f>
        <v/>
      </c>
    </row>
    <row r="871" customFormat="false" ht="15" hidden="false" customHeight="false" outlineLevel="0" collapsed="false">
      <c r="A871" s="73"/>
      <c r="B871" s="10"/>
      <c r="C871" s="80"/>
      <c r="D871" s="80"/>
      <c r="E871" s="81" t="str">
        <f aca="false">IF(D871="","",IFERROR(INDEX(식자재단가!$B$4:$B$203,MATCH(D871,식자재단가!$C$4:$C$203,0)),""))</f>
        <v/>
      </c>
      <c r="F871" s="76"/>
      <c r="G871" s="59" t="str">
        <f aca="false">IF(D871="","",IFERROR(INDEX(식자재단가!$F$4:$F$203,MATCH(D871,식자재단가!$C$4:$C$203,0)),""))</f>
        <v/>
      </c>
      <c r="H871" s="50"/>
      <c r="I871" s="82" t="str">
        <f aca="false">IF(OR(F871="",H871=""),"",F871*H871)</f>
        <v/>
      </c>
      <c r="J871" s="83" t="str">
        <f aca="false">IF(D871="","",IFERROR(INDEX(식자재단가!$M$4:$M$203,MATCH(D871,식자재단가!$C$4:$C$203,0)),"과세"))</f>
        <v/>
      </c>
      <c r="K871" s="28" t="str">
        <f aca="false">IF(I871="","",IF(J871="과세",ROUND(I871*0.1,0),0))</f>
        <v/>
      </c>
      <c r="L871" s="28" t="str">
        <f aca="false">IF(I871="","",I871+K871)</f>
        <v/>
      </c>
      <c r="M871" s="10"/>
      <c r="N871" s="80"/>
      <c r="O871" s="80"/>
      <c r="P871" s="59" t="str">
        <f aca="false">IF(E871="","",IFERROR(INDEX(기본설정!$H$4:$H$14,MATCH(E871,기본설정!$G$4:$G$14,0)),""))</f>
        <v/>
      </c>
    </row>
    <row r="872" customFormat="false" ht="15" hidden="false" customHeight="false" outlineLevel="0" collapsed="false">
      <c r="A872" s="73"/>
      <c r="B872" s="10"/>
      <c r="C872" s="80"/>
      <c r="D872" s="80"/>
      <c r="E872" s="81" t="str">
        <f aca="false">IF(D872="","",IFERROR(INDEX(식자재단가!$B$4:$B$203,MATCH(D872,식자재단가!$C$4:$C$203,0)),""))</f>
        <v/>
      </c>
      <c r="F872" s="76"/>
      <c r="G872" s="59" t="str">
        <f aca="false">IF(D872="","",IFERROR(INDEX(식자재단가!$F$4:$F$203,MATCH(D872,식자재단가!$C$4:$C$203,0)),""))</f>
        <v/>
      </c>
      <c r="H872" s="50"/>
      <c r="I872" s="82" t="str">
        <f aca="false">IF(OR(F872="",H872=""),"",F872*H872)</f>
        <v/>
      </c>
      <c r="J872" s="83" t="str">
        <f aca="false">IF(D872="","",IFERROR(INDEX(식자재단가!$M$4:$M$203,MATCH(D872,식자재단가!$C$4:$C$203,0)),"과세"))</f>
        <v/>
      </c>
      <c r="K872" s="28" t="str">
        <f aca="false">IF(I872="","",IF(J872="과세",ROUND(I872*0.1,0),0))</f>
        <v/>
      </c>
      <c r="L872" s="28" t="str">
        <f aca="false">IF(I872="","",I872+K872)</f>
        <v/>
      </c>
      <c r="M872" s="10"/>
      <c r="N872" s="80"/>
      <c r="O872" s="80"/>
      <c r="P872" s="59" t="str">
        <f aca="false">IF(E872="","",IFERROR(INDEX(기본설정!$H$4:$H$14,MATCH(E872,기본설정!$G$4:$G$14,0)),""))</f>
        <v/>
      </c>
    </row>
    <row r="873" customFormat="false" ht="15" hidden="false" customHeight="false" outlineLevel="0" collapsed="false">
      <c r="A873" s="73"/>
      <c r="B873" s="10"/>
      <c r="C873" s="80"/>
      <c r="D873" s="80"/>
      <c r="E873" s="81" t="str">
        <f aca="false">IF(D873="","",IFERROR(INDEX(식자재단가!$B$4:$B$203,MATCH(D873,식자재단가!$C$4:$C$203,0)),""))</f>
        <v/>
      </c>
      <c r="F873" s="76"/>
      <c r="G873" s="59" t="str">
        <f aca="false">IF(D873="","",IFERROR(INDEX(식자재단가!$F$4:$F$203,MATCH(D873,식자재단가!$C$4:$C$203,0)),""))</f>
        <v/>
      </c>
      <c r="H873" s="50"/>
      <c r="I873" s="82" t="str">
        <f aca="false">IF(OR(F873="",H873=""),"",F873*H873)</f>
        <v/>
      </c>
      <c r="J873" s="83" t="str">
        <f aca="false">IF(D873="","",IFERROR(INDEX(식자재단가!$M$4:$M$203,MATCH(D873,식자재단가!$C$4:$C$203,0)),"과세"))</f>
        <v/>
      </c>
      <c r="K873" s="28" t="str">
        <f aca="false">IF(I873="","",IF(J873="과세",ROUND(I873*0.1,0),0))</f>
        <v/>
      </c>
      <c r="L873" s="28" t="str">
        <f aca="false">IF(I873="","",I873+K873)</f>
        <v/>
      </c>
      <c r="M873" s="10"/>
      <c r="N873" s="80"/>
      <c r="O873" s="80"/>
      <c r="P873" s="59" t="str">
        <f aca="false">IF(E873="","",IFERROR(INDEX(기본설정!$H$4:$H$14,MATCH(E873,기본설정!$G$4:$G$14,0)),""))</f>
        <v/>
      </c>
    </row>
    <row r="874" customFormat="false" ht="15" hidden="false" customHeight="false" outlineLevel="0" collapsed="false">
      <c r="A874" s="73"/>
      <c r="B874" s="10"/>
      <c r="C874" s="80"/>
      <c r="D874" s="80"/>
      <c r="E874" s="81" t="str">
        <f aca="false">IF(D874="","",IFERROR(INDEX(식자재단가!$B$4:$B$203,MATCH(D874,식자재단가!$C$4:$C$203,0)),""))</f>
        <v/>
      </c>
      <c r="F874" s="76"/>
      <c r="G874" s="59" t="str">
        <f aca="false">IF(D874="","",IFERROR(INDEX(식자재단가!$F$4:$F$203,MATCH(D874,식자재단가!$C$4:$C$203,0)),""))</f>
        <v/>
      </c>
      <c r="H874" s="50"/>
      <c r="I874" s="82" t="str">
        <f aca="false">IF(OR(F874="",H874=""),"",F874*H874)</f>
        <v/>
      </c>
      <c r="J874" s="83" t="str">
        <f aca="false">IF(D874="","",IFERROR(INDEX(식자재단가!$M$4:$M$203,MATCH(D874,식자재단가!$C$4:$C$203,0)),"과세"))</f>
        <v/>
      </c>
      <c r="K874" s="28" t="str">
        <f aca="false">IF(I874="","",IF(J874="과세",ROUND(I874*0.1,0),0))</f>
        <v/>
      </c>
      <c r="L874" s="28" t="str">
        <f aca="false">IF(I874="","",I874+K874)</f>
        <v/>
      </c>
      <c r="M874" s="10"/>
      <c r="N874" s="80"/>
      <c r="O874" s="80"/>
      <c r="P874" s="59" t="str">
        <f aca="false">IF(E874="","",IFERROR(INDEX(기본설정!$H$4:$H$14,MATCH(E874,기본설정!$G$4:$G$14,0)),""))</f>
        <v/>
      </c>
    </row>
    <row r="875" customFormat="false" ht="15" hidden="false" customHeight="false" outlineLevel="0" collapsed="false">
      <c r="A875" s="73"/>
      <c r="B875" s="10"/>
      <c r="C875" s="80"/>
      <c r="D875" s="80"/>
      <c r="E875" s="81" t="str">
        <f aca="false">IF(D875="","",IFERROR(INDEX(식자재단가!$B$4:$B$203,MATCH(D875,식자재단가!$C$4:$C$203,0)),""))</f>
        <v/>
      </c>
      <c r="F875" s="76"/>
      <c r="G875" s="59" t="str">
        <f aca="false">IF(D875="","",IFERROR(INDEX(식자재단가!$F$4:$F$203,MATCH(D875,식자재단가!$C$4:$C$203,0)),""))</f>
        <v/>
      </c>
      <c r="H875" s="50"/>
      <c r="I875" s="82" t="str">
        <f aca="false">IF(OR(F875="",H875=""),"",F875*H875)</f>
        <v/>
      </c>
      <c r="J875" s="83" t="str">
        <f aca="false">IF(D875="","",IFERROR(INDEX(식자재단가!$M$4:$M$203,MATCH(D875,식자재단가!$C$4:$C$203,0)),"과세"))</f>
        <v/>
      </c>
      <c r="K875" s="28" t="str">
        <f aca="false">IF(I875="","",IF(J875="과세",ROUND(I875*0.1,0),0))</f>
        <v/>
      </c>
      <c r="L875" s="28" t="str">
        <f aca="false">IF(I875="","",I875+K875)</f>
        <v/>
      </c>
      <c r="M875" s="10"/>
      <c r="N875" s="80"/>
      <c r="O875" s="80"/>
      <c r="P875" s="59" t="str">
        <f aca="false">IF(E875="","",IFERROR(INDEX(기본설정!$H$4:$H$14,MATCH(E875,기본설정!$G$4:$G$14,0)),""))</f>
        <v/>
      </c>
    </row>
    <row r="876" customFormat="false" ht="15" hidden="false" customHeight="false" outlineLevel="0" collapsed="false">
      <c r="A876" s="73"/>
      <c r="B876" s="10"/>
      <c r="C876" s="80"/>
      <c r="D876" s="80"/>
      <c r="E876" s="81" t="str">
        <f aca="false">IF(D876="","",IFERROR(INDEX(식자재단가!$B$4:$B$203,MATCH(D876,식자재단가!$C$4:$C$203,0)),""))</f>
        <v/>
      </c>
      <c r="F876" s="76"/>
      <c r="G876" s="59" t="str">
        <f aca="false">IF(D876="","",IFERROR(INDEX(식자재단가!$F$4:$F$203,MATCH(D876,식자재단가!$C$4:$C$203,0)),""))</f>
        <v/>
      </c>
      <c r="H876" s="50"/>
      <c r="I876" s="82" t="str">
        <f aca="false">IF(OR(F876="",H876=""),"",F876*H876)</f>
        <v/>
      </c>
      <c r="J876" s="83" t="str">
        <f aca="false">IF(D876="","",IFERROR(INDEX(식자재단가!$M$4:$M$203,MATCH(D876,식자재단가!$C$4:$C$203,0)),"과세"))</f>
        <v/>
      </c>
      <c r="K876" s="28" t="str">
        <f aca="false">IF(I876="","",IF(J876="과세",ROUND(I876*0.1,0),0))</f>
        <v/>
      </c>
      <c r="L876" s="28" t="str">
        <f aca="false">IF(I876="","",I876+K876)</f>
        <v/>
      </c>
      <c r="M876" s="10"/>
      <c r="N876" s="80"/>
      <c r="O876" s="80"/>
      <c r="P876" s="59" t="str">
        <f aca="false">IF(E876="","",IFERROR(INDEX(기본설정!$H$4:$H$14,MATCH(E876,기본설정!$G$4:$G$14,0)),""))</f>
        <v/>
      </c>
    </row>
    <row r="877" customFormat="false" ht="15" hidden="false" customHeight="false" outlineLevel="0" collapsed="false">
      <c r="A877" s="73"/>
      <c r="B877" s="10"/>
      <c r="C877" s="80"/>
      <c r="D877" s="80"/>
      <c r="E877" s="81" t="str">
        <f aca="false">IF(D877="","",IFERROR(INDEX(식자재단가!$B$4:$B$203,MATCH(D877,식자재단가!$C$4:$C$203,0)),""))</f>
        <v/>
      </c>
      <c r="F877" s="76"/>
      <c r="G877" s="59" t="str">
        <f aca="false">IF(D877="","",IFERROR(INDEX(식자재단가!$F$4:$F$203,MATCH(D877,식자재단가!$C$4:$C$203,0)),""))</f>
        <v/>
      </c>
      <c r="H877" s="50"/>
      <c r="I877" s="82" t="str">
        <f aca="false">IF(OR(F877="",H877=""),"",F877*H877)</f>
        <v/>
      </c>
      <c r="J877" s="83" t="str">
        <f aca="false">IF(D877="","",IFERROR(INDEX(식자재단가!$M$4:$M$203,MATCH(D877,식자재단가!$C$4:$C$203,0)),"과세"))</f>
        <v/>
      </c>
      <c r="K877" s="28" t="str">
        <f aca="false">IF(I877="","",IF(J877="과세",ROUND(I877*0.1,0),0))</f>
        <v/>
      </c>
      <c r="L877" s="28" t="str">
        <f aca="false">IF(I877="","",I877+K877)</f>
        <v/>
      </c>
      <c r="M877" s="10"/>
      <c r="N877" s="80"/>
      <c r="O877" s="80"/>
      <c r="P877" s="59" t="str">
        <f aca="false">IF(E877="","",IFERROR(INDEX(기본설정!$H$4:$H$14,MATCH(E877,기본설정!$G$4:$G$14,0)),""))</f>
        <v/>
      </c>
    </row>
    <row r="878" customFormat="false" ht="15" hidden="false" customHeight="false" outlineLevel="0" collapsed="false">
      <c r="A878" s="73"/>
      <c r="B878" s="10"/>
      <c r="C878" s="80"/>
      <c r="D878" s="80"/>
      <c r="E878" s="81" t="str">
        <f aca="false">IF(D878="","",IFERROR(INDEX(식자재단가!$B$4:$B$203,MATCH(D878,식자재단가!$C$4:$C$203,0)),""))</f>
        <v/>
      </c>
      <c r="F878" s="76"/>
      <c r="G878" s="59" t="str">
        <f aca="false">IF(D878="","",IFERROR(INDEX(식자재단가!$F$4:$F$203,MATCH(D878,식자재단가!$C$4:$C$203,0)),""))</f>
        <v/>
      </c>
      <c r="H878" s="50"/>
      <c r="I878" s="82" t="str">
        <f aca="false">IF(OR(F878="",H878=""),"",F878*H878)</f>
        <v/>
      </c>
      <c r="J878" s="83" t="str">
        <f aca="false">IF(D878="","",IFERROR(INDEX(식자재단가!$M$4:$M$203,MATCH(D878,식자재단가!$C$4:$C$203,0)),"과세"))</f>
        <v/>
      </c>
      <c r="K878" s="28" t="str">
        <f aca="false">IF(I878="","",IF(J878="과세",ROUND(I878*0.1,0),0))</f>
        <v/>
      </c>
      <c r="L878" s="28" t="str">
        <f aca="false">IF(I878="","",I878+K878)</f>
        <v/>
      </c>
      <c r="M878" s="10"/>
      <c r="N878" s="80"/>
      <c r="O878" s="80"/>
      <c r="P878" s="59" t="str">
        <f aca="false">IF(E878="","",IFERROR(INDEX(기본설정!$H$4:$H$14,MATCH(E878,기본설정!$G$4:$G$14,0)),""))</f>
        <v/>
      </c>
    </row>
    <row r="879" customFormat="false" ht="15" hidden="false" customHeight="false" outlineLevel="0" collapsed="false">
      <c r="A879" s="73"/>
      <c r="B879" s="10"/>
      <c r="C879" s="80"/>
      <c r="D879" s="80"/>
      <c r="E879" s="81" t="str">
        <f aca="false">IF(D879="","",IFERROR(INDEX(식자재단가!$B$4:$B$203,MATCH(D879,식자재단가!$C$4:$C$203,0)),""))</f>
        <v/>
      </c>
      <c r="F879" s="76"/>
      <c r="G879" s="59" t="str">
        <f aca="false">IF(D879="","",IFERROR(INDEX(식자재단가!$F$4:$F$203,MATCH(D879,식자재단가!$C$4:$C$203,0)),""))</f>
        <v/>
      </c>
      <c r="H879" s="50"/>
      <c r="I879" s="82" t="str">
        <f aca="false">IF(OR(F879="",H879=""),"",F879*H879)</f>
        <v/>
      </c>
      <c r="J879" s="83" t="str">
        <f aca="false">IF(D879="","",IFERROR(INDEX(식자재단가!$M$4:$M$203,MATCH(D879,식자재단가!$C$4:$C$203,0)),"과세"))</f>
        <v/>
      </c>
      <c r="K879" s="28" t="str">
        <f aca="false">IF(I879="","",IF(J879="과세",ROUND(I879*0.1,0),0))</f>
        <v/>
      </c>
      <c r="L879" s="28" t="str">
        <f aca="false">IF(I879="","",I879+K879)</f>
        <v/>
      </c>
      <c r="M879" s="10"/>
      <c r="N879" s="80"/>
      <c r="O879" s="80"/>
      <c r="P879" s="59" t="str">
        <f aca="false">IF(E879="","",IFERROR(INDEX(기본설정!$H$4:$H$14,MATCH(E879,기본설정!$G$4:$G$14,0)),""))</f>
        <v/>
      </c>
    </row>
    <row r="880" customFormat="false" ht="15" hidden="false" customHeight="false" outlineLevel="0" collapsed="false">
      <c r="A880" s="73"/>
      <c r="B880" s="10"/>
      <c r="C880" s="80"/>
      <c r="D880" s="80"/>
      <c r="E880" s="81" t="str">
        <f aca="false">IF(D880="","",IFERROR(INDEX(식자재단가!$B$4:$B$203,MATCH(D880,식자재단가!$C$4:$C$203,0)),""))</f>
        <v/>
      </c>
      <c r="F880" s="76"/>
      <c r="G880" s="59" t="str">
        <f aca="false">IF(D880="","",IFERROR(INDEX(식자재단가!$F$4:$F$203,MATCH(D880,식자재단가!$C$4:$C$203,0)),""))</f>
        <v/>
      </c>
      <c r="H880" s="50"/>
      <c r="I880" s="82" t="str">
        <f aca="false">IF(OR(F880="",H880=""),"",F880*H880)</f>
        <v/>
      </c>
      <c r="J880" s="83" t="str">
        <f aca="false">IF(D880="","",IFERROR(INDEX(식자재단가!$M$4:$M$203,MATCH(D880,식자재단가!$C$4:$C$203,0)),"과세"))</f>
        <v/>
      </c>
      <c r="K880" s="28" t="str">
        <f aca="false">IF(I880="","",IF(J880="과세",ROUND(I880*0.1,0),0))</f>
        <v/>
      </c>
      <c r="L880" s="28" t="str">
        <f aca="false">IF(I880="","",I880+K880)</f>
        <v/>
      </c>
      <c r="M880" s="10"/>
      <c r="N880" s="80"/>
      <c r="O880" s="80"/>
      <c r="P880" s="59" t="str">
        <f aca="false">IF(E880="","",IFERROR(INDEX(기본설정!$H$4:$H$14,MATCH(E880,기본설정!$G$4:$G$14,0)),""))</f>
        <v/>
      </c>
    </row>
    <row r="881" customFormat="false" ht="15" hidden="false" customHeight="false" outlineLevel="0" collapsed="false">
      <c r="A881" s="73"/>
      <c r="B881" s="10"/>
      <c r="C881" s="80"/>
      <c r="D881" s="80"/>
      <c r="E881" s="81" t="str">
        <f aca="false">IF(D881="","",IFERROR(INDEX(식자재단가!$B$4:$B$203,MATCH(D881,식자재단가!$C$4:$C$203,0)),""))</f>
        <v/>
      </c>
      <c r="F881" s="76"/>
      <c r="G881" s="59" t="str">
        <f aca="false">IF(D881="","",IFERROR(INDEX(식자재단가!$F$4:$F$203,MATCH(D881,식자재단가!$C$4:$C$203,0)),""))</f>
        <v/>
      </c>
      <c r="H881" s="50"/>
      <c r="I881" s="82" t="str">
        <f aca="false">IF(OR(F881="",H881=""),"",F881*H881)</f>
        <v/>
      </c>
      <c r="J881" s="83" t="str">
        <f aca="false">IF(D881="","",IFERROR(INDEX(식자재단가!$M$4:$M$203,MATCH(D881,식자재단가!$C$4:$C$203,0)),"과세"))</f>
        <v/>
      </c>
      <c r="K881" s="28" t="str">
        <f aca="false">IF(I881="","",IF(J881="과세",ROUND(I881*0.1,0),0))</f>
        <v/>
      </c>
      <c r="L881" s="28" t="str">
        <f aca="false">IF(I881="","",I881+K881)</f>
        <v/>
      </c>
      <c r="M881" s="10"/>
      <c r="N881" s="80"/>
      <c r="O881" s="80"/>
      <c r="P881" s="59" t="str">
        <f aca="false">IF(E881="","",IFERROR(INDEX(기본설정!$H$4:$H$14,MATCH(E881,기본설정!$G$4:$G$14,0)),""))</f>
        <v/>
      </c>
    </row>
    <row r="882" customFormat="false" ht="15" hidden="false" customHeight="false" outlineLevel="0" collapsed="false">
      <c r="A882" s="73"/>
      <c r="B882" s="10"/>
      <c r="C882" s="80"/>
      <c r="D882" s="80"/>
      <c r="E882" s="81" t="str">
        <f aca="false">IF(D882="","",IFERROR(INDEX(식자재단가!$B$4:$B$203,MATCH(D882,식자재단가!$C$4:$C$203,0)),""))</f>
        <v/>
      </c>
      <c r="F882" s="76"/>
      <c r="G882" s="59" t="str">
        <f aca="false">IF(D882="","",IFERROR(INDEX(식자재단가!$F$4:$F$203,MATCH(D882,식자재단가!$C$4:$C$203,0)),""))</f>
        <v/>
      </c>
      <c r="H882" s="50"/>
      <c r="I882" s="82" t="str">
        <f aca="false">IF(OR(F882="",H882=""),"",F882*H882)</f>
        <v/>
      </c>
      <c r="J882" s="83" t="str">
        <f aca="false">IF(D882="","",IFERROR(INDEX(식자재단가!$M$4:$M$203,MATCH(D882,식자재단가!$C$4:$C$203,0)),"과세"))</f>
        <v/>
      </c>
      <c r="K882" s="28" t="str">
        <f aca="false">IF(I882="","",IF(J882="과세",ROUND(I882*0.1,0),0))</f>
        <v/>
      </c>
      <c r="L882" s="28" t="str">
        <f aca="false">IF(I882="","",I882+K882)</f>
        <v/>
      </c>
      <c r="M882" s="10"/>
      <c r="N882" s="80"/>
      <c r="O882" s="80"/>
      <c r="P882" s="59" t="str">
        <f aca="false">IF(E882="","",IFERROR(INDEX(기본설정!$H$4:$H$14,MATCH(E882,기본설정!$G$4:$G$14,0)),""))</f>
        <v/>
      </c>
    </row>
    <row r="883" customFormat="false" ht="15" hidden="false" customHeight="false" outlineLevel="0" collapsed="false">
      <c r="A883" s="73"/>
      <c r="B883" s="10"/>
      <c r="C883" s="80"/>
      <c r="D883" s="80"/>
      <c r="E883" s="81" t="str">
        <f aca="false">IF(D883="","",IFERROR(INDEX(식자재단가!$B$4:$B$203,MATCH(D883,식자재단가!$C$4:$C$203,0)),""))</f>
        <v/>
      </c>
      <c r="F883" s="76"/>
      <c r="G883" s="59" t="str">
        <f aca="false">IF(D883="","",IFERROR(INDEX(식자재단가!$F$4:$F$203,MATCH(D883,식자재단가!$C$4:$C$203,0)),""))</f>
        <v/>
      </c>
      <c r="H883" s="50"/>
      <c r="I883" s="82" t="str">
        <f aca="false">IF(OR(F883="",H883=""),"",F883*H883)</f>
        <v/>
      </c>
      <c r="J883" s="83" t="str">
        <f aca="false">IF(D883="","",IFERROR(INDEX(식자재단가!$M$4:$M$203,MATCH(D883,식자재단가!$C$4:$C$203,0)),"과세"))</f>
        <v/>
      </c>
      <c r="K883" s="28" t="str">
        <f aca="false">IF(I883="","",IF(J883="과세",ROUND(I883*0.1,0),0))</f>
        <v/>
      </c>
      <c r="L883" s="28" t="str">
        <f aca="false">IF(I883="","",I883+K883)</f>
        <v/>
      </c>
      <c r="M883" s="10"/>
      <c r="N883" s="80"/>
      <c r="O883" s="80"/>
      <c r="P883" s="59" t="str">
        <f aca="false">IF(E883="","",IFERROR(INDEX(기본설정!$H$4:$H$14,MATCH(E883,기본설정!$G$4:$G$14,0)),""))</f>
        <v/>
      </c>
    </row>
    <row r="884" customFormat="false" ht="15" hidden="false" customHeight="false" outlineLevel="0" collapsed="false">
      <c r="A884" s="73"/>
      <c r="B884" s="10"/>
      <c r="C884" s="80"/>
      <c r="D884" s="80"/>
      <c r="E884" s="81" t="str">
        <f aca="false">IF(D884="","",IFERROR(INDEX(식자재단가!$B$4:$B$203,MATCH(D884,식자재단가!$C$4:$C$203,0)),""))</f>
        <v/>
      </c>
      <c r="F884" s="76"/>
      <c r="G884" s="59" t="str">
        <f aca="false">IF(D884="","",IFERROR(INDEX(식자재단가!$F$4:$F$203,MATCH(D884,식자재단가!$C$4:$C$203,0)),""))</f>
        <v/>
      </c>
      <c r="H884" s="50"/>
      <c r="I884" s="82" t="str">
        <f aca="false">IF(OR(F884="",H884=""),"",F884*H884)</f>
        <v/>
      </c>
      <c r="J884" s="83" t="str">
        <f aca="false">IF(D884="","",IFERROR(INDEX(식자재단가!$M$4:$M$203,MATCH(D884,식자재단가!$C$4:$C$203,0)),"과세"))</f>
        <v/>
      </c>
      <c r="K884" s="28" t="str">
        <f aca="false">IF(I884="","",IF(J884="과세",ROUND(I884*0.1,0),0))</f>
        <v/>
      </c>
      <c r="L884" s="28" t="str">
        <f aca="false">IF(I884="","",I884+K884)</f>
        <v/>
      </c>
      <c r="M884" s="10"/>
      <c r="N884" s="80"/>
      <c r="O884" s="80"/>
      <c r="P884" s="59" t="str">
        <f aca="false">IF(E884="","",IFERROR(INDEX(기본설정!$H$4:$H$14,MATCH(E884,기본설정!$G$4:$G$14,0)),""))</f>
        <v/>
      </c>
    </row>
    <row r="885" customFormat="false" ht="15" hidden="false" customHeight="false" outlineLevel="0" collapsed="false">
      <c r="A885" s="73"/>
      <c r="B885" s="10"/>
      <c r="C885" s="80"/>
      <c r="D885" s="80"/>
      <c r="E885" s="81" t="str">
        <f aca="false">IF(D885="","",IFERROR(INDEX(식자재단가!$B$4:$B$203,MATCH(D885,식자재단가!$C$4:$C$203,0)),""))</f>
        <v/>
      </c>
      <c r="F885" s="76"/>
      <c r="G885" s="59" t="str">
        <f aca="false">IF(D885="","",IFERROR(INDEX(식자재단가!$F$4:$F$203,MATCH(D885,식자재단가!$C$4:$C$203,0)),""))</f>
        <v/>
      </c>
      <c r="H885" s="50"/>
      <c r="I885" s="82" t="str">
        <f aca="false">IF(OR(F885="",H885=""),"",F885*H885)</f>
        <v/>
      </c>
      <c r="J885" s="83" t="str">
        <f aca="false">IF(D885="","",IFERROR(INDEX(식자재단가!$M$4:$M$203,MATCH(D885,식자재단가!$C$4:$C$203,0)),"과세"))</f>
        <v/>
      </c>
      <c r="K885" s="28" t="str">
        <f aca="false">IF(I885="","",IF(J885="과세",ROUND(I885*0.1,0),0))</f>
        <v/>
      </c>
      <c r="L885" s="28" t="str">
        <f aca="false">IF(I885="","",I885+K885)</f>
        <v/>
      </c>
      <c r="M885" s="10"/>
      <c r="N885" s="80"/>
      <c r="O885" s="80"/>
      <c r="P885" s="59" t="str">
        <f aca="false">IF(E885="","",IFERROR(INDEX(기본설정!$H$4:$H$14,MATCH(E885,기본설정!$G$4:$G$14,0)),""))</f>
        <v/>
      </c>
    </row>
    <row r="886" customFormat="false" ht="15" hidden="false" customHeight="false" outlineLevel="0" collapsed="false">
      <c r="A886" s="73"/>
      <c r="B886" s="10"/>
      <c r="C886" s="80"/>
      <c r="D886" s="80"/>
      <c r="E886" s="81" t="str">
        <f aca="false">IF(D886="","",IFERROR(INDEX(식자재단가!$B$4:$B$203,MATCH(D886,식자재단가!$C$4:$C$203,0)),""))</f>
        <v/>
      </c>
      <c r="F886" s="76"/>
      <c r="G886" s="59" t="str">
        <f aca="false">IF(D886="","",IFERROR(INDEX(식자재단가!$F$4:$F$203,MATCH(D886,식자재단가!$C$4:$C$203,0)),""))</f>
        <v/>
      </c>
      <c r="H886" s="50"/>
      <c r="I886" s="82" t="str">
        <f aca="false">IF(OR(F886="",H886=""),"",F886*H886)</f>
        <v/>
      </c>
      <c r="J886" s="83" t="str">
        <f aca="false">IF(D886="","",IFERROR(INDEX(식자재단가!$M$4:$M$203,MATCH(D886,식자재단가!$C$4:$C$203,0)),"과세"))</f>
        <v/>
      </c>
      <c r="K886" s="28" t="str">
        <f aca="false">IF(I886="","",IF(J886="과세",ROUND(I886*0.1,0),0))</f>
        <v/>
      </c>
      <c r="L886" s="28" t="str">
        <f aca="false">IF(I886="","",I886+K886)</f>
        <v/>
      </c>
      <c r="M886" s="10"/>
      <c r="N886" s="80"/>
      <c r="O886" s="80"/>
      <c r="P886" s="59" t="str">
        <f aca="false">IF(E886="","",IFERROR(INDEX(기본설정!$H$4:$H$14,MATCH(E886,기본설정!$G$4:$G$14,0)),""))</f>
        <v/>
      </c>
    </row>
    <row r="887" customFormat="false" ht="15" hidden="false" customHeight="false" outlineLevel="0" collapsed="false">
      <c r="A887" s="73"/>
      <c r="B887" s="10"/>
      <c r="C887" s="80"/>
      <c r="D887" s="80"/>
      <c r="E887" s="81" t="str">
        <f aca="false">IF(D887="","",IFERROR(INDEX(식자재단가!$B$4:$B$203,MATCH(D887,식자재단가!$C$4:$C$203,0)),""))</f>
        <v/>
      </c>
      <c r="F887" s="76"/>
      <c r="G887" s="59" t="str">
        <f aca="false">IF(D887="","",IFERROR(INDEX(식자재단가!$F$4:$F$203,MATCH(D887,식자재단가!$C$4:$C$203,0)),""))</f>
        <v/>
      </c>
      <c r="H887" s="50"/>
      <c r="I887" s="82" t="str">
        <f aca="false">IF(OR(F887="",H887=""),"",F887*H887)</f>
        <v/>
      </c>
      <c r="J887" s="83" t="str">
        <f aca="false">IF(D887="","",IFERROR(INDEX(식자재단가!$M$4:$M$203,MATCH(D887,식자재단가!$C$4:$C$203,0)),"과세"))</f>
        <v/>
      </c>
      <c r="K887" s="28" t="str">
        <f aca="false">IF(I887="","",IF(J887="과세",ROUND(I887*0.1,0),0))</f>
        <v/>
      </c>
      <c r="L887" s="28" t="str">
        <f aca="false">IF(I887="","",I887+K887)</f>
        <v/>
      </c>
      <c r="M887" s="10"/>
      <c r="N887" s="80"/>
      <c r="O887" s="80"/>
      <c r="P887" s="59" t="str">
        <f aca="false">IF(E887="","",IFERROR(INDEX(기본설정!$H$4:$H$14,MATCH(E887,기본설정!$G$4:$G$14,0)),""))</f>
        <v/>
      </c>
    </row>
    <row r="888" customFormat="false" ht="15" hidden="false" customHeight="false" outlineLevel="0" collapsed="false">
      <c r="A888" s="73"/>
      <c r="B888" s="10"/>
      <c r="C888" s="80"/>
      <c r="D888" s="80"/>
      <c r="E888" s="81" t="str">
        <f aca="false">IF(D888="","",IFERROR(INDEX(식자재단가!$B$4:$B$203,MATCH(D888,식자재단가!$C$4:$C$203,0)),""))</f>
        <v/>
      </c>
      <c r="F888" s="76"/>
      <c r="G888" s="59" t="str">
        <f aca="false">IF(D888="","",IFERROR(INDEX(식자재단가!$F$4:$F$203,MATCH(D888,식자재단가!$C$4:$C$203,0)),""))</f>
        <v/>
      </c>
      <c r="H888" s="50"/>
      <c r="I888" s="82" t="str">
        <f aca="false">IF(OR(F888="",H888=""),"",F888*H888)</f>
        <v/>
      </c>
      <c r="J888" s="83" t="str">
        <f aca="false">IF(D888="","",IFERROR(INDEX(식자재단가!$M$4:$M$203,MATCH(D888,식자재단가!$C$4:$C$203,0)),"과세"))</f>
        <v/>
      </c>
      <c r="K888" s="28" t="str">
        <f aca="false">IF(I888="","",IF(J888="과세",ROUND(I888*0.1,0),0))</f>
        <v/>
      </c>
      <c r="L888" s="28" t="str">
        <f aca="false">IF(I888="","",I888+K888)</f>
        <v/>
      </c>
      <c r="M888" s="10"/>
      <c r="N888" s="80"/>
      <c r="O888" s="80"/>
      <c r="P888" s="59" t="str">
        <f aca="false">IF(E888="","",IFERROR(INDEX(기본설정!$H$4:$H$14,MATCH(E888,기본설정!$G$4:$G$14,0)),""))</f>
        <v/>
      </c>
    </row>
    <row r="889" customFormat="false" ht="15" hidden="false" customHeight="false" outlineLevel="0" collapsed="false">
      <c r="A889" s="73"/>
      <c r="B889" s="10"/>
      <c r="C889" s="80"/>
      <c r="D889" s="80"/>
      <c r="E889" s="81" t="str">
        <f aca="false">IF(D889="","",IFERROR(INDEX(식자재단가!$B$4:$B$203,MATCH(D889,식자재단가!$C$4:$C$203,0)),""))</f>
        <v/>
      </c>
      <c r="F889" s="76"/>
      <c r="G889" s="59" t="str">
        <f aca="false">IF(D889="","",IFERROR(INDEX(식자재단가!$F$4:$F$203,MATCH(D889,식자재단가!$C$4:$C$203,0)),""))</f>
        <v/>
      </c>
      <c r="H889" s="50"/>
      <c r="I889" s="82" t="str">
        <f aca="false">IF(OR(F889="",H889=""),"",F889*H889)</f>
        <v/>
      </c>
      <c r="J889" s="83" t="str">
        <f aca="false">IF(D889="","",IFERROR(INDEX(식자재단가!$M$4:$M$203,MATCH(D889,식자재단가!$C$4:$C$203,0)),"과세"))</f>
        <v/>
      </c>
      <c r="K889" s="28" t="str">
        <f aca="false">IF(I889="","",IF(J889="과세",ROUND(I889*0.1,0),0))</f>
        <v/>
      </c>
      <c r="L889" s="28" t="str">
        <f aca="false">IF(I889="","",I889+K889)</f>
        <v/>
      </c>
      <c r="M889" s="10"/>
      <c r="N889" s="80"/>
      <c r="O889" s="80"/>
      <c r="P889" s="59" t="str">
        <f aca="false">IF(E889="","",IFERROR(INDEX(기본설정!$H$4:$H$14,MATCH(E889,기본설정!$G$4:$G$14,0)),""))</f>
        <v/>
      </c>
    </row>
    <row r="890" customFormat="false" ht="15" hidden="false" customHeight="false" outlineLevel="0" collapsed="false">
      <c r="A890" s="73"/>
      <c r="B890" s="10"/>
      <c r="C890" s="80"/>
      <c r="D890" s="80"/>
      <c r="E890" s="81" t="str">
        <f aca="false">IF(D890="","",IFERROR(INDEX(식자재단가!$B$4:$B$203,MATCH(D890,식자재단가!$C$4:$C$203,0)),""))</f>
        <v/>
      </c>
      <c r="F890" s="76"/>
      <c r="G890" s="59" t="str">
        <f aca="false">IF(D890="","",IFERROR(INDEX(식자재단가!$F$4:$F$203,MATCH(D890,식자재단가!$C$4:$C$203,0)),""))</f>
        <v/>
      </c>
      <c r="H890" s="50"/>
      <c r="I890" s="82" t="str">
        <f aca="false">IF(OR(F890="",H890=""),"",F890*H890)</f>
        <v/>
      </c>
      <c r="J890" s="83" t="str">
        <f aca="false">IF(D890="","",IFERROR(INDEX(식자재단가!$M$4:$M$203,MATCH(D890,식자재단가!$C$4:$C$203,0)),"과세"))</f>
        <v/>
      </c>
      <c r="K890" s="28" t="str">
        <f aca="false">IF(I890="","",IF(J890="과세",ROUND(I890*0.1,0),0))</f>
        <v/>
      </c>
      <c r="L890" s="28" t="str">
        <f aca="false">IF(I890="","",I890+K890)</f>
        <v/>
      </c>
      <c r="M890" s="10"/>
      <c r="N890" s="80"/>
      <c r="O890" s="80"/>
      <c r="P890" s="59" t="str">
        <f aca="false">IF(E890="","",IFERROR(INDEX(기본설정!$H$4:$H$14,MATCH(E890,기본설정!$G$4:$G$14,0)),""))</f>
        <v/>
      </c>
    </row>
    <row r="891" customFormat="false" ht="15" hidden="false" customHeight="false" outlineLevel="0" collapsed="false">
      <c r="A891" s="73"/>
      <c r="B891" s="10"/>
      <c r="C891" s="80"/>
      <c r="D891" s="80"/>
      <c r="E891" s="81" t="str">
        <f aca="false">IF(D891="","",IFERROR(INDEX(식자재단가!$B$4:$B$203,MATCH(D891,식자재단가!$C$4:$C$203,0)),""))</f>
        <v/>
      </c>
      <c r="F891" s="76"/>
      <c r="G891" s="59" t="str">
        <f aca="false">IF(D891="","",IFERROR(INDEX(식자재단가!$F$4:$F$203,MATCH(D891,식자재단가!$C$4:$C$203,0)),""))</f>
        <v/>
      </c>
      <c r="H891" s="50"/>
      <c r="I891" s="82" t="str">
        <f aca="false">IF(OR(F891="",H891=""),"",F891*H891)</f>
        <v/>
      </c>
      <c r="J891" s="83" t="str">
        <f aca="false">IF(D891="","",IFERROR(INDEX(식자재단가!$M$4:$M$203,MATCH(D891,식자재단가!$C$4:$C$203,0)),"과세"))</f>
        <v/>
      </c>
      <c r="K891" s="28" t="str">
        <f aca="false">IF(I891="","",IF(J891="과세",ROUND(I891*0.1,0),0))</f>
        <v/>
      </c>
      <c r="L891" s="28" t="str">
        <f aca="false">IF(I891="","",I891+K891)</f>
        <v/>
      </c>
      <c r="M891" s="10"/>
      <c r="N891" s="80"/>
      <c r="O891" s="80"/>
      <c r="P891" s="59" t="str">
        <f aca="false">IF(E891="","",IFERROR(INDEX(기본설정!$H$4:$H$14,MATCH(E891,기본설정!$G$4:$G$14,0)),""))</f>
        <v/>
      </c>
    </row>
    <row r="892" customFormat="false" ht="15" hidden="false" customHeight="false" outlineLevel="0" collapsed="false">
      <c r="A892" s="73"/>
      <c r="B892" s="10"/>
      <c r="C892" s="80"/>
      <c r="D892" s="80"/>
      <c r="E892" s="81" t="str">
        <f aca="false">IF(D892="","",IFERROR(INDEX(식자재단가!$B$4:$B$203,MATCH(D892,식자재단가!$C$4:$C$203,0)),""))</f>
        <v/>
      </c>
      <c r="F892" s="76"/>
      <c r="G892" s="59" t="str">
        <f aca="false">IF(D892="","",IFERROR(INDEX(식자재단가!$F$4:$F$203,MATCH(D892,식자재단가!$C$4:$C$203,0)),""))</f>
        <v/>
      </c>
      <c r="H892" s="50"/>
      <c r="I892" s="82" t="str">
        <f aca="false">IF(OR(F892="",H892=""),"",F892*H892)</f>
        <v/>
      </c>
      <c r="J892" s="83" t="str">
        <f aca="false">IF(D892="","",IFERROR(INDEX(식자재단가!$M$4:$M$203,MATCH(D892,식자재단가!$C$4:$C$203,0)),"과세"))</f>
        <v/>
      </c>
      <c r="K892" s="28" t="str">
        <f aca="false">IF(I892="","",IF(J892="과세",ROUND(I892*0.1,0),0))</f>
        <v/>
      </c>
      <c r="L892" s="28" t="str">
        <f aca="false">IF(I892="","",I892+K892)</f>
        <v/>
      </c>
      <c r="M892" s="10"/>
      <c r="N892" s="80"/>
      <c r="O892" s="80"/>
      <c r="P892" s="59" t="str">
        <f aca="false">IF(E892="","",IFERROR(INDEX(기본설정!$H$4:$H$14,MATCH(E892,기본설정!$G$4:$G$14,0)),""))</f>
        <v/>
      </c>
    </row>
    <row r="893" customFormat="false" ht="15" hidden="false" customHeight="false" outlineLevel="0" collapsed="false">
      <c r="A893" s="73"/>
      <c r="B893" s="10"/>
      <c r="C893" s="80"/>
      <c r="D893" s="80"/>
      <c r="E893" s="81" t="str">
        <f aca="false">IF(D893="","",IFERROR(INDEX(식자재단가!$B$4:$B$203,MATCH(D893,식자재단가!$C$4:$C$203,0)),""))</f>
        <v/>
      </c>
      <c r="F893" s="76"/>
      <c r="G893" s="59" t="str">
        <f aca="false">IF(D893="","",IFERROR(INDEX(식자재단가!$F$4:$F$203,MATCH(D893,식자재단가!$C$4:$C$203,0)),""))</f>
        <v/>
      </c>
      <c r="H893" s="50"/>
      <c r="I893" s="82" t="str">
        <f aca="false">IF(OR(F893="",H893=""),"",F893*H893)</f>
        <v/>
      </c>
      <c r="J893" s="83" t="str">
        <f aca="false">IF(D893="","",IFERROR(INDEX(식자재단가!$M$4:$M$203,MATCH(D893,식자재단가!$C$4:$C$203,0)),"과세"))</f>
        <v/>
      </c>
      <c r="K893" s="28" t="str">
        <f aca="false">IF(I893="","",IF(J893="과세",ROUND(I893*0.1,0),0))</f>
        <v/>
      </c>
      <c r="L893" s="28" t="str">
        <f aca="false">IF(I893="","",I893+K893)</f>
        <v/>
      </c>
      <c r="M893" s="10"/>
      <c r="N893" s="80"/>
      <c r="O893" s="80"/>
      <c r="P893" s="59" t="str">
        <f aca="false">IF(E893="","",IFERROR(INDEX(기본설정!$H$4:$H$14,MATCH(E893,기본설정!$G$4:$G$14,0)),""))</f>
        <v/>
      </c>
    </row>
    <row r="894" customFormat="false" ht="15" hidden="false" customHeight="false" outlineLevel="0" collapsed="false">
      <c r="A894" s="73"/>
      <c r="B894" s="10"/>
      <c r="C894" s="80"/>
      <c r="D894" s="80"/>
      <c r="E894" s="81" t="str">
        <f aca="false">IF(D894="","",IFERROR(INDEX(식자재단가!$B$4:$B$203,MATCH(D894,식자재단가!$C$4:$C$203,0)),""))</f>
        <v/>
      </c>
      <c r="F894" s="76"/>
      <c r="G894" s="59" t="str">
        <f aca="false">IF(D894="","",IFERROR(INDEX(식자재단가!$F$4:$F$203,MATCH(D894,식자재단가!$C$4:$C$203,0)),""))</f>
        <v/>
      </c>
      <c r="H894" s="50"/>
      <c r="I894" s="82" t="str">
        <f aca="false">IF(OR(F894="",H894=""),"",F894*H894)</f>
        <v/>
      </c>
      <c r="J894" s="83" t="str">
        <f aca="false">IF(D894="","",IFERROR(INDEX(식자재단가!$M$4:$M$203,MATCH(D894,식자재단가!$C$4:$C$203,0)),"과세"))</f>
        <v/>
      </c>
      <c r="K894" s="28" t="str">
        <f aca="false">IF(I894="","",IF(J894="과세",ROUND(I894*0.1,0),0))</f>
        <v/>
      </c>
      <c r="L894" s="28" t="str">
        <f aca="false">IF(I894="","",I894+K894)</f>
        <v/>
      </c>
      <c r="M894" s="10"/>
      <c r="N894" s="80"/>
      <c r="O894" s="80"/>
      <c r="P894" s="59" t="str">
        <f aca="false">IF(E894="","",IFERROR(INDEX(기본설정!$H$4:$H$14,MATCH(E894,기본설정!$G$4:$G$14,0)),""))</f>
        <v/>
      </c>
    </row>
    <row r="895" customFormat="false" ht="15" hidden="false" customHeight="false" outlineLevel="0" collapsed="false">
      <c r="A895" s="73"/>
      <c r="B895" s="10"/>
      <c r="C895" s="80"/>
      <c r="D895" s="80"/>
      <c r="E895" s="81" t="str">
        <f aca="false">IF(D895="","",IFERROR(INDEX(식자재단가!$B$4:$B$203,MATCH(D895,식자재단가!$C$4:$C$203,0)),""))</f>
        <v/>
      </c>
      <c r="F895" s="76"/>
      <c r="G895" s="59" t="str">
        <f aca="false">IF(D895="","",IFERROR(INDEX(식자재단가!$F$4:$F$203,MATCH(D895,식자재단가!$C$4:$C$203,0)),""))</f>
        <v/>
      </c>
      <c r="H895" s="50"/>
      <c r="I895" s="82" t="str">
        <f aca="false">IF(OR(F895="",H895=""),"",F895*H895)</f>
        <v/>
      </c>
      <c r="J895" s="83" t="str">
        <f aca="false">IF(D895="","",IFERROR(INDEX(식자재단가!$M$4:$M$203,MATCH(D895,식자재단가!$C$4:$C$203,0)),"과세"))</f>
        <v/>
      </c>
      <c r="K895" s="28" t="str">
        <f aca="false">IF(I895="","",IF(J895="과세",ROUND(I895*0.1,0),0))</f>
        <v/>
      </c>
      <c r="L895" s="28" t="str">
        <f aca="false">IF(I895="","",I895+K895)</f>
        <v/>
      </c>
      <c r="M895" s="10"/>
      <c r="N895" s="80"/>
      <c r="O895" s="80"/>
      <c r="P895" s="59" t="str">
        <f aca="false">IF(E895="","",IFERROR(INDEX(기본설정!$H$4:$H$14,MATCH(E895,기본설정!$G$4:$G$14,0)),""))</f>
        <v/>
      </c>
    </row>
    <row r="896" customFormat="false" ht="15" hidden="false" customHeight="false" outlineLevel="0" collapsed="false">
      <c r="A896" s="73"/>
      <c r="B896" s="10"/>
      <c r="C896" s="80"/>
      <c r="D896" s="80"/>
      <c r="E896" s="81" t="str">
        <f aca="false">IF(D896="","",IFERROR(INDEX(식자재단가!$B$4:$B$203,MATCH(D896,식자재단가!$C$4:$C$203,0)),""))</f>
        <v/>
      </c>
      <c r="F896" s="76"/>
      <c r="G896" s="59" t="str">
        <f aca="false">IF(D896="","",IFERROR(INDEX(식자재단가!$F$4:$F$203,MATCH(D896,식자재단가!$C$4:$C$203,0)),""))</f>
        <v/>
      </c>
      <c r="H896" s="50"/>
      <c r="I896" s="82" t="str">
        <f aca="false">IF(OR(F896="",H896=""),"",F896*H896)</f>
        <v/>
      </c>
      <c r="J896" s="83" t="str">
        <f aca="false">IF(D896="","",IFERROR(INDEX(식자재단가!$M$4:$M$203,MATCH(D896,식자재단가!$C$4:$C$203,0)),"과세"))</f>
        <v/>
      </c>
      <c r="K896" s="28" t="str">
        <f aca="false">IF(I896="","",IF(J896="과세",ROUND(I896*0.1,0),0))</f>
        <v/>
      </c>
      <c r="L896" s="28" t="str">
        <f aca="false">IF(I896="","",I896+K896)</f>
        <v/>
      </c>
      <c r="M896" s="10"/>
      <c r="N896" s="80"/>
      <c r="O896" s="80"/>
      <c r="P896" s="59" t="str">
        <f aca="false">IF(E896="","",IFERROR(INDEX(기본설정!$H$4:$H$14,MATCH(E896,기본설정!$G$4:$G$14,0)),""))</f>
        <v/>
      </c>
    </row>
    <row r="897" customFormat="false" ht="15" hidden="false" customHeight="false" outlineLevel="0" collapsed="false">
      <c r="A897" s="73"/>
      <c r="B897" s="10"/>
      <c r="C897" s="80"/>
      <c r="D897" s="80"/>
      <c r="E897" s="81" t="str">
        <f aca="false">IF(D897="","",IFERROR(INDEX(식자재단가!$B$4:$B$203,MATCH(D897,식자재단가!$C$4:$C$203,0)),""))</f>
        <v/>
      </c>
      <c r="F897" s="76"/>
      <c r="G897" s="59" t="str">
        <f aca="false">IF(D897="","",IFERROR(INDEX(식자재단가!$F$4:$F$203,MATCH(D897,식자재단가!$C$4:$C$203,0)),""))</f>
        <v/>
      </c>
      <c r="H897" s="50"/>
      <c r="I897" s="82" t="str">
        <f aca="false">IF(OR(F897="",H897=""),"",F897*H897)</f>
        <v/>
      </c>
      <c r="J897" s="83" t="str">
        <f aca="false">IF(D897="","",IFERROR(INDEX(식자재단가!$M$4:$M$203,MATCH(D897,식자재단가!$C$4:$C$203,0)),"과세"))</f>
        <v/>
      </c>
      <c r="K897" s="28" t="str">
        <f aca="false">IF(I897="","",IF(J897="과세",ROUND(I897*0.1,0),0))</f>
        <v/>
      </c>
      <c r="L897" s="28" t="str">
        <f aca="false">IF(I897="","",I897+K897)</f>
        <v/>
      </c>
      <c r="M897" s="10"/>
      <c r="N897" s="80"/>
      <c r="O897" s="80"/>
      <c r="P897" s="59" t="str">
        <f aca="false">IF(E897="","",IFERROR(INDEX(기본설정!$H$4:$H$14,MATCH(E897,기본설정!$G$4:$G$14,0)),""))</f>
        <v/>
      </c>
    </row>
    <row r="898" customFormat="false" ht="15" hidden="false" customHeight="false" outlineLevel="0" collapsed="false">
      <c r="A898" s="73"/>
      <c r="B898" s="10"/>
      <c r="C898" s="80"/>
      <c r="D898" s="80"/>
      <c r="E898" s="81" t="str">
        <f aca="false">IF(D898="","",IFERROR(INDEX(식자재단가!$B$4:$B$203,MATCH(D898,식자재단가!$C$4:$C$203,0)),""))</f>
        <v/>
      </c>
      <c r="F898" s="76"/>
      <c r="G898" s="59" t="str">
        <f aca="false">IF(D898="","",IFERROR(INDEX(식자재단가!$F$4:$F$203,MATCH(D898,식자재단가!$C$4:$C$203,0)),""))</f>
        <v/>
      </c>
      <c r="H898" s="50"/>
      <c r="I898" s="82" t="str">
        <f aca="false">IF(OR(F898="",H898=""),"",F898*H898)</f>
        <v/>
      </c>
      <c r="J898" s="83" t="str">
        <f aca="false">IF(D898="","",IFERROR(INDEX(식자재단가!$M$4:$M$203,MATCH(D898,식자재단가!$C$4:$C$203,0)),"과세"))</f>
        <v/>
      </c>
      <c r="K898" s="28" t="str">
        <f aca="false">IF(I898="","",IF(J898="과세",ROUND(I898*0.1,0),0))</f>
        <v/>
      </c>
      <c r="L898" s="28" t="str">
        <f aca="false">IF(I898="","",I898+K898)</f>
        <v/>
      </c>
      <c r="M898" s="10"/>
      <c r="N898" s="80"/>
      <c r="O898" s="80"/>
      <c r="P898" s="59" t="str">
        <f aca="false">IF(E898="","",IFERROR(INDEX(기본설정!$H$4:$H$14,MATCH(E898,기본설정!$G$4:$G$14,0)),""))</f>
        <v/>
      </c>
    </row>
    <row r="899" customFormat="false" ht="15" hidden="false" customHeight="false" outlineLevel="0" collapsed="false">
      <c r="A899" s="73"/>
      <c r="B899" s="10"/>
      <c r="C899" s="80"/>
      <c r="D899" s="80"/>
      <c r="E899" s="81" t="str">
        <f aca="false">IF(D899="","",IFERROR(INDEX(식자재단가!$B$4:$B$203,MATCH(D899,식자재단가!$C$4:$C$203,0)),""))</f>
        <v/>
      </c>
      <c r="F899" s="76"/>
      <c r="G899" s="59" t="str">
        <f aca="false">IF(D899="","",IFERROR(INDEX(식자재단가!$F$4:$F$203,MATCH(D899,식자재단가!$C$4:$C$203,0)),""))</f>
        <v/>
      </c>
      <c r="H899" s="50"/>
      <c r="I899" s="82" t="str">
        <f aca="false">IF(OR(F899="",H899=""),"",F899*H899)</f>
        <v/>
      </c>
      <c r="J899" s="83" t="str">
        <f aca="false">IF(D899="","",IFERROR(INDEX(식자재단가!$M$4:$M$203,MATCH(D899,식자재단가!$C$4:$C$203,0)),"과세"))</f>
        <v/>
      </c>
      <c r="K899" s="28" t="str">
        <f aca="false">IF(I899="","",IF(J899="과세",ROUND(I899*0.1,0),0))</f>
        <v/>
      </c>
      <c r="L899" s="28" t="str">
        <f aca="false">IF(I899="","",I899+K899)</f>
        <v/>
      </c>
      <c r="M899" s="10"/>
      <c r="N899" s="80"/>
      <c r="O899" s="80"/>
      <c r="P899" s="59" t="str">
        <f aca="false">IF(E899="","",IFERROR(INDEX(기본설정!$H$4:$H$14,MATCH(E899,기본설정!$G$4:$G$14,0)),""))</f>
        <v/>
      </c>
    </row>
    <row r="900" customFormat="false" ht="15" hidden="false" customHeight="false" outlineLevel="0" collapsed="false">
      <c r="A900" s="73"/>
      <c r="B900" s="10"/>
      <c r="C900" s="80"/>
      <c r="D900" s="80"/>
      <c r="E900" s="81" t="str">
        <f aca="false">IF(D900="","",IFERROR(INDEX(식자재단가!$B$4:$B$203,MATCH(D900,식자재단가!$C$4:$C$203,0)),""))</f>
        <v/>
      </c>
      <c r="F900" s="76"/>
      <c r="G900" s="59" t="str">
        <f aca="false">IF(D900="","",IFERROR(INDEX(식자재단가!$F$4:$F$203,MATCH(D900,식자재단가!$C$4:$C$203,0)),""))</f>
        <v/>
      </c>
      <c r="H900" s="50"/>
      <c r="I900" s="82" t="str">
        <f aca="false">IF(OR(F900="",H900=""),"",F900*H900)</f>
        <v/>
      </c>
      <c r="J900" s="83" t="str">
        <f aca="false">IF(D900="","",IFERROR(INDEX(식자재단가!$M$4:$M$203,MATCH(D900,식자재단가!$C$4:$C$203,0)),"과세"))</f>
        <v/>
      </c>
      <c r="K900" s="28" t="str">
        <f aca="false">IF(I900="","",IF(J900="과세",ROUND(I900*0.1,0),0))</f>
        <v/>
      </c>
      <c r="L900" s="28" t="str">
        <f aca="false">IF(I900="","",I900+K900)</f>
        <v/>
      </c>
      <c r="M900" s="10"/>
      <c r="N900" s="80"/>
      <c r="O900" s="80"/>
      <c r="P900" s="59" t="str">
        <f aca="false">IF(E900="","",IFERROR(INDEX(기본설정!$H$4:$H$14,MATCH(E900,기본설정!$G$4:$G$14,0)),""))</f>
        <v/>
      </c>
    </row>
    <row r="901" customFormat="false" ht="15" hidden="false" customHeight="false" outlineLevel="0" collapsed="false">
      <c r="A901" s="73"/>
      <c r="B901" s="10"/>
      <c r="C901" s="80"/>
      <c r="D901" s="80"/>
      <c r="E901" s="81" t="str">
        <f aca="false">IF(D901="","",IFERROR(INDEX(식자재단가!$B$4:$B$203,MATCH(D901,식자재단가!$C$4:$C$203,0)),""))</f>
        <v/>
      </c>
      <c r="F901" s="76"/>
      <c r="G901" s="59" t="str">
        <f aca="false">IF(D901="","",IFERROR(INDEX(식자재단가!$F$4:$F$203,MATCH(D901,식자재단가!$C$4:$C$203,0)),""))</f>
        <v/>
      </c>
      <c r="H901" s="50"/>
      <c r="I901" s="82" t="str">
        <f aca="false">IF(OR(F901="",H901=""),"",F901*H901)</f>
        <v/>
      </c>
      <c r="J901" s="83" t="str">
        <f aca="false">IF(D901="","",IFERROR(INDEX(식자재단가!$M$4:$M$203,MATCH(D901,식자재단가!$C$4:$C$203,0)),"과세"))</f>
        <v/>
      </c>
      <c r="K901" s="28" t="str">
        <f aca="false">IF(I901="","",IF(J901="과세",ROUND(I901*0.1,0),0))</f>
        <v/>
      </c>
      <c r="L901" s="28" t="str">
        <f aca="false">IF(I901="","",I901+K901)</f>
        <v/>
      </c>
      <c r="M901" s="10"/>
      <c r="N901" s="80"/>
      <c r="O901" s="80"/>
      <c r="P901" s="59" t="str">
        <f aca="false">IF(E901="","",IFERROR(INDEX(기본설정!$H$4:$H$14,MATCH(E901,기본설정!$G$4:$G$14,0)),""))</f>
        <v/>
      </c>
    </row>
    <row r="902" customFormat="false" ht="15" hidden="false" customHeight="false" outlineLevel="0" collapsed="false">
      <c r="A902" s="73"/>
      <c r="B902" s="10"/>
      <c r="C902" s="80"/>
      <c r="D902" s="80"/>
      <c r="E902" s="81" t="str">
        <f aca="false">IF(D902="","",IFERROR(INDEX(식자재단가!$B$4:$B$203,MATCH(D902,식자재단가!$C$4:$C$203,0)),""))</f>
        <v/>
      </c>
      <c r="F902" s="76"/>
      <c r="G902" s="59" t="str">
        <f aca="false">IF(D902="","",IFERROR(INDEX(식자재단가!$F$4:$F$203,MATCH(D902,식자재단가!$C$4:$C$203,0)),""))</f>
        <v/>
      </c>
      <c r="H902" s="50"/>
      <c r="I902" s="82" t="str">
        <f aca="false">IF(OR(F902="",H902=""),"",F902*H902)</f>
        <v/>
      </c>
      <c r="J902" s="83" t="str">
        <f aca="false">IF(D902="","",IFERROR(INDEX(식자재단가!$M$4:$M$203,MATCH(D902,식자재단가!$C$4:$C$203,0)),"과세"))</f>
        <v/>
      </c>
      <c r="K902" s="28" t="str">
        <f aca="false">IF(I902="","",IF(J902="과세",ROUND(I902*0.1,0),0))</f>
        <v/>
      </c>
      <c r="L902" s="28" t="str">
        <f aca="false">IF(I902="","",I902+K902)</f>
        <v/>
      </c>
      <c r="M902" s="10"/>
      <c r="N902" s="80"/>
      <c r="O902" s="80"/>
      <c r="P902" s="59" t="str">
        <f aca="false">IF(E902="","",IFERROR(INDEX(기본설정!$H$4:$H$14,MATCH(E902,기본설정!$G$4:$G$14,0)),""))</f>
        <v/>
      </c>
    </row>
    <row r="903" customFormat="false" ht="15" hidden="false" customHeight="false" outlineLevel="0" collapsed="false">
      <c r="A903" s="73"/>
      <c r="B903" s="10"/>
      <c r="C903" s="80"/>
      <c r="D903" s="80"/>
      <c r="E903" s="81" t="str">
        <f aca="false">IF(D903="","",IFERROR(INDEX(식자재단가!$B$4:$B$203,MATCH(D903,식자재단가!$C$4:$C$203,0)),""))</f>
        <v/>
      </c>
      <c r="F903" s="76"/>
      <c r="G903" s="59" t="str">
        <f aca="false">IF(D903="","",IFERROR(INDEX(식자재단가!$F$4:$F$203,MATCH(D903,식자재단가!$C$4:$C$203,0)),""))</f>
        <v/>
      </c>
      <c r="H903" s="50"/>
      <c r="I903" s="82" t="str">
        <f aca="false">IF(OR(F903="",H903=""),"",F903*H903)</f>
        <v/>
      </c>
      <c r="J903" s="83" t="str">
        <f aca="false">IF(D903="","",IFERROR(INDEX(식자재단가!$M$4:$M$203,MATCH(D903,식자재단가!$C$4:$C$203,0)),"과세"))</f>
        <v/>
      </c>
      <c r="K903" s="28" t="str">
        <f aca="false">IF(I903="","",IF(J903="과세",ROUND(I903*0.1,0),0))</f>
        <v/>
      </c>
      <c r="L903" s="28" t="str">
        <f aca="false">IF(I903="","",I903+K903)</f>
        <v/>
      </c>
      <c r="M903" s="10"/>
      <c r="N903" s="80"/>
      <c r="O903" s="80"/>
      <c r="P903" s="59" t="str">
        <f aca="false">IF(E903="","",IFERROR(INDEX(기본설정!$H$4:$H$14,MATCH(E903,기본설정!$G$4:$G$14,0)),""))</f>
        <v/>
      </c>
    </row>
    <row r="904" customFormat="false" ht="15" hidden="false" customHeight="false" outlineLevel="0" collapsed="false">
      <c r="A904" s="73"/>
      <c r="B904" s="10"/>
      <c r="C904" s="80"/>
      <c r="D904" s="80"/>
      <c r="E904" s="81" t="str">
        <f aca="false">IF(D904="","",IFERROR(INDEX(식자재단가!$B$4:$B$203,MATCH(D904,식자재단가!$C$4:$C$203,0)),""))</f>
        <v/>
      </c>
      <c r="F904" s="76"/>
      <c r="G904" s="59" t="str">
        <f aca="false">IF(D904="","",IFERROR(INDEX(식자재단가!$F$4:$F$203,MATCH(D904,식자재단가!$C$4:$C$203,0)),""))</f>
        <v/>
      </c>
      <c r="H904" s="50"/>
      <c r="I904" s="82" t="str">
        <f aca="false">IF(OR(F904="",H904=""),"",F904*H904)</f>
        <v/>
      </c>
      <c r="J904" s="83" t="str">
        <f aca="false">IF(D904="","",IFERROR(INDEX(식자재단가!$M$4:$M$203,MATCH(D904,식자재단가!$C$4:$C$203,0)),"과세"))</f>
        <v/>
      </c>
      <c r="K904" s="28" t="str">
        <f aca="false">IF(I904="","",IF(J904="과세",ROUND(I904*0.1,0),0))</f>
        <v/>
      </c>
      <c r="L904" s="28" t="str">
        <f aca="false">IF(I904="","",I904+K904)</f>
        <v/>
      </c>
      <c r="M904" s="10"/>
      <c r="N904" s="80"/>
      <c r="O904" s="80"/>
      <c r="P904" s="59" t="str">
        <f aca="false">IF(E904="","",IFERROR(INDEX(기본설정!$H$4:$H$14,MATCH(E904,기본설정!$G$4:$G$14,0)),""))</f>
        <v/>
      </c>
    </row>
    <row r="905" customFormat="false" ht="15" hidden="false" customHeight="false" outlineLevel="0" collapsed="false">
      <c r="A905" s="73"/>
      <c r="B905" s="10"/>
      <c r="C905" s="80"/>
      <c r="D905" s="80"/>
      <c r="E905" s="81" t="str">
        <f aca="false">IF(D905="","",IFERROR(INDEX(식자재단가!$B$4:$B$203,MATCH(D905,식자재단가!$C$4:$C$203,0)),""))</f>
        <v/>
      </c>
      <c r="F905" s="76"/>
      <c r="G905" s="59" t="str">
        <f aca="false">IF(D905="","",IFERROR(INDEX(식자재단가!$F$4:$F$203,MATCH(D905,식자재단가!$C$4:$C$203,0)),""))</f>
        <v/>
      </c>
      <c r="H905" s="50"/>
      <c r="I905" s="82" t="str">
        <f aca="false">IF(OR(F905="",H905=""),"",F905*H905)</f>
        <v/>
      </c>
      <c r="J905" s="83" t="str">
        <f aca="false">IF(D905="","",IFERROR(INDEX(식자재단가!$M$4:$M$203,MATCH(D905,식자재단가!$C$4:$C$203,0)),"과세"))</f>
        <v/>
      </c>
      <c r="K905" s="28" t="str">
        <f aca="false">IF(I905="","",IF(J905="과세",ROUND(I905*0.1,0),0))</f>
        <v/>
      </c>
      <c r="L905" s="28" t="str">
        <f aca="false">IF(I905="","",I905+K905)</f>
        <v/>
      </c>
      <c r="M905" s="10"/>
      <c r="N905" s="80"/>
      <c r="O905" s="80"/>
      <c r="P905" s="59" t="str">
        <f aca="false">IF(E905="","",IFERROR(INDEX(기본설정!$H$4:$H$14,MATCH(E905,기본설정!$G$4:$G$14,0)),""))</f>
        <v/>
      </c>
    </row>
    <row r="906" customFormat="false" ht="15" hidden="false" customHeight="false" outlineLevel="0" collapsed="false">
      <c r="A906" s="73"/>
      <c r="B906" s="10"/>
      <c r="C906" s="80"/>
      <c r="D906" s="80"/>
      <c r="E906" s="81" t="str">
        <f aca="false">IF(D906="","",IFERROR(INDEX(식자재단가!$B$4:$B$203,MATCH(D906,식자재단가!$C$4:$C$203,0)),""))</f>
        <v/>
      </c>
      <c r="F906" s="76"/>
      <c r="G906" s="59" t="str">
        <f aca="false">IF(D906="","",IFERROR(INDEX(식자재단가!$F$4:$F$203,MATCH(D906,식자재단가!$C$4:$C$203,0)),""))</f>
        <v/>
      </c>
      <c r="H906" s="50"/>
      <c r="I906" s="82" t="str">
        <f aca="false">IF(OR(F906="",H906=""),"",F906*H906)</f>
        <v/>
      </c>
      <c r="J906" s="83" t="str">
        <f aca="false">IF(D906="","",IFERROR(INDEX(식자재단가!$M$4:$M$203,MATCH(D906,식자재단가!$C$4:$C$203,0)),"과세"))</f>
        <v/>
      </c>
      <c r="K906" s="28" t="str">
        <f aca="false">IF(I906="","",IF(J906="과세",ROUND(I906*0.1,0),0))</f>
        <v/>
      </c>
      <c r="L906" s="28" t="str">
        <f aca="false">IF(I906="","",I906+K906)</f>
        <v/>
      </c>
      <c r="M906" s="10"/>
      <c r="N906" s="80"/>
      <c r="O906" s="80"/>
      <c r="P906" s="59" t="str">
        <f aca="false">IF(E906="","",IFERROR(INDEX(기본설정!$H$4:$H$14,MATCH(E906,기본설정!$G$4:$G$14,0)),""))</f>
        <v/>
      </c>
    </row>
    <row r="907" customFormat="false" ht="15" hidden="false" customHeight="false" outlineLevel="0" collapsed="false">
      <c r="A907" s="73"/>
      <c r="B907" s="10"/>
      <c r="C907" s="80"/>
      <c r="D907" s="80"/>
      <c r="E907" s="81" t="str">
        <f aca="false">IF(D907="","",IFERROR(INDEX(식자재단가!$B$4:$B$203,MATCH(D907,식자재단가!$C$4:$C$203,0)),""))</f>
        <v/>
      </c>
      <c r="F907" s="76"/>
      <c r="G907" s="59" t="str">
        <f aca="false">IF(D907="","",IFERROR(INDEX(식자재단가!$F$4:$F$203,MATCH(D907,식자재단가!$C$4:$C$203,0)),""))</f>
        <v/>
      </c>
      <c r="H907" s="50"/>
      <c r="I907" s="82" t="str">
        <f aca="false">IF(OR(F907="",H907=""),"",F907*H907)</f>
        <v/>
      </c>
      <c r="J907" s="83" t="str">
        <f aca="false">IF(D907="","",IFERROR(INDEX(식자재단가!$M$4:$M$203,MATCH(D907,식자재단가!$C$4:$C$203,0)),"과세"))</f>
        <v/>
      </c>
      <c r="K907" s="28" t="str">
        <f aca="false">IF(I907="","",IF(J907="과세",ROUND(I907*0.1,0),0))</f>
        <v/>
      </c>
      <c r="L907" s="28" t="str">
        <f aca="false">IF(I907="","",I907+K907)</f>
        <v/>
      </c>
      <c r="M907" s="10"/>
      <c r="N907" s="80"/>
      <c r="O907" s="80"/>
      <c r="P907" s="59" t="str">
        <f aca="false">IF(E907="","",IFERROR(INDEX(기본설정!$H$4:$H$14,MATCH(E907,기본설정!$G$4:$G$14,0)),""))</f>
        <v/>
      </c>
    </row>
    <row r="908" customFormat="false" ht="15" hidden="false" customHeight="false" outlineLevel="0" collapsed="false">
      <c r="A908" s="73"/>
      <c r="B908" s="10"/>
      <c r="C908" s="80"/>
      <c r="D908" s="80"/>
      <c r="E908" s="81" t="str">
        <f aca="false">IF(D908="","",IFERROR(INDEX(식자재단가!$B$4:$B$203,MATCH(D908,식자재단가!$C$4:$C$203,0)),""))</f>
        <v/>
      </c>
      <c r="F908" s="76"/>
      <c r="G908" s="59" t="str">
        <f aca="false">IF(D908="","",IFERROR(INDEX(식자재단가!$F$4:$F$203,MATCH(D908,식자재단가!$C$4:$C$203,0)),""))</f>
        <v/>
      </c>
      <c r="H908" s="50"/>
      <c r="I908" s="82" t="str">
        <f aca="false">IF(OR(F908="",H908=""),"",F908*H908)</f>
        <v/>
      </c>
      <c r="J908" s="83" t="str">
        <f aca="false">IF(D908="","",IFERROR(INDEX(식자재단가!$M$4:$M$203,MATCH(D908,식자재단가!$C$4:$C$203,0)),"과세"))</f>
        <v/>
      </c>
      <c r="K908" s="28" t="str">
        <f aca="false">IF(I908="","",IF(J908="과세",ROUND(I908*0.1,0),0))</f>
        <v/>
      </c>
      <c r="L908" s="28" t="str">
        <f aca="false">IF(I908="","",I908+K908)</f>
        <v/>
      </c>
      <c r="M908" s="10"/>
      <c r="N908" s="80"/>
      <c r="O908" s="80"/>
      <c r="P908" s="59" t="str">
        <f aca="false">IF(E908="","",IFERROR(INDEX(기본설정!$H$4:$H$14,MATCH(E908,기본설정!$G$4:$G$14,0)),""))</f>
        <v/>
      </c>
    </row>
    <row r="909" customFormat="false" ht="15" hidden="false" customHeight="false" outlineLevel="0" collapsed="false">
      <c r="A909" s="73"/>
      <c r="B909" s="10"/>
      <c r="C909" s="80"/>
      <c r="D909" s="80"/>
      <c r="E909" s="81" t="str">
        <f aca="false">IF(D909="","",IFERROR(INDEX(식자재단가!$B$4:$B$203,MATCH(D909,식자재단가!$C$4:$C$203,0)),""))</f>
        <v/>
      </c>
      <c r="F909" s="76"/>
      <c r="G909" s="59" t="str">
        <f aca="false">IF(D909="","",IFERROR(INDEX(식자재단가!$F$4:$F$203,MATCH(D909,식자재단가!$C$4:$C$203,0)),""))</f>
        <v/>
      </c>
      <c r="H909" s="50"/>
      <c r="I909" s="82" t="str">
        <f aca="false">IF(OR(F909="",H909=""),"",F909*H909)</f>
        <v/>
      </c>
      <c r="J909" s="83" t="str">
        <f aca="false">IF(D909="","",IFERROR(INDEX(식자재단가!$M$4:$M$203,MATCH(D909,식자재단가!$C$4:$C$203,0)),"과세"))</f>
        <v/>
      </c>
      <c r="K909" s="28" t="str">
        <f aca="false">IF(I909="","",IF(J909="과세",ROUND(I909*0.1,0),0))</f>
        <v/>
      </c>
      <c r="L909" s="28" t="str">
        <f aca="false">IF(I909="","",I909+K909)</f>
        <v/>
      </c>
      <c r="M909" s="10"/>
      <c r="N909" s="80"/>
      <c r="O909" s="80"/>
      <c r="P909" s="59" t="str">
        <f aca="false">IF(E909="","",IFERROR(INDEX(기본설정!$H$4:$H$14,MATCH(E909,기본설정!$G$4:$G$14,0)),""))</f>
        <v/>
      </c>
    </row>
    <row r="910" customFormat="false" ht="15" hidden="false" customHeight="false" outlineLevel="0" collapsed="false">
      <c r="A910" s="73"/>
      <c r="B910" s="10"/>
      <c r="C910" s="80"/>
      <c r="D910" s="80"/>
      <c r="E910" s="81" t="str">
        <f aca="false">IF(D910="","",IFERROR(INDEX(식자재단가!$B$4:$B$203,MATCH(D910,식자재단가!$C$4:$C$203,0)),""))</f>
        <v/>
      </c>
      <c r="F910" s="76"/>
      <c r="G910" s="59" t="str">
        <f aca="false">IF(D910="","",IFERROR(INDEX(식자재단가!$F$4:$F$203,MATCH(D910,식자재단가!$C$4:$C$203,0)),""))</f>
        <v/>
      </c>
      <c r="H910" s="50"/>
      <c r="I910" s="82" t="str">
        <f aca="false">IF(OR(F910="",H910=""),"",F910*H910)</f>
        <v/>
      </c>
      <c r="J910" s="83" t="str">
        <f aca="false">IF(D910="","",IFERROR(INDEX(식자재단가!$M$4:$M$203,MATCH(D910,식자재단가!$C$4:$C$203,0)),"과세"))</f>
        <v/>
      </c>
      <c r="K910" s="28" t="str">
        <f aca="false">IF(I910="","",IF(J910="과세",ROUND(I910*0.1,0),0))</f>
        <v/>
      </c>
      <c r="L910" s="28" t="str">
        <f aca="false">IF(I910="","",I910+K910)</f>
        <v/>
      </c>
      <c r="M910" s="10"/>
      <c r="N910" s="80"/>
      <c r="O910" s="80"/>
      <c r="P910" s="59" t="str">
        <f aca="false">IF(E910="","",IFERROR(INDEX(기본설정!$H$4:$H$14,MATCH(E910,기본설정!$G$4:$G$14,0)),""))</f>
        <v/>
      </c>
    </row>
    <row r="911" customFormat="false" ht="15" hidden="false" customHeight="false" outlineLevel="0" collapsed="false">
      <c r="A911" s="73"/>
      <c r="B911" s="10"/>
      <c r="C911" s="80"/>
      <c r="D911" s="80"/>
      <c r="E911" s="81" t="str">
        <f aca="false">IF(D911="","",IFERROR(INDEX(식자재단가!$B$4:$B$203,MATCH(D911,식자재단가!$C$4:$C$203,0)),""))</f>
        <v/>
      </c>
      <c r="F911" s="76"/>
      <c r="G911" s="59" t="str">
        <f aca="false">IF(D911="","",IFERROR(INDEX(식자재단가!$F$4:$F$203,MATCH(D911,식자재단가!$C$4:$C$203,0)),""))</f>
        <v/>
      </c>
      <c r="H911" s="50"/>
      <c r="I911" s="82" t="str">
        <f aca="false">IF(OR(F911="",H911=""),"",F911*H911)</f>
        <v/>
      </c>
      <c r="J911" s="83" t="str">
        <f aca="false">IF(D911="","",IFERROR(INDEX(식자재단가!$M$4:$M$203,MATCH(D911,식자재단가!$C$4:$C$203,0)),"과세"))</f>
        <v/>
      </c>
      <c r="K911" s="28" t="str">
        <f aca="false">IF(I911="","",IF(J911="과세",ROUND(I911*0.1,0),0))</f>
        <v/>
      </c>
      <c r="L911" s="28" t="str">
        <f aca="false">IF(I911="","",I911+K911)</f>
        <v/>
      </c>
      <c r="M911" s="10"/>
      <c r="N911" s="80"/>
      <c r="O911" s="80"/>
      <c r="P911" s="59" t="str">
        <f aca="false">IF(E911="","",IFERROR(INDEX(기본설정!$H$4:$H$14,MATCH(E911,기본설정!$G$4:$G$14,0)),""))</f>
        <v/>
      </c>
    </row>
    <row r="912" customFormat="false" ht="15" hidden="false" customHeight="false" outlineLevel="0" collapsed="false">
      <c r="A912" s="73"/>
      <c r="B912" s="10"/>
      <c r="C912" s="80"/>
      <c r="D912" s="80"/>
      <c r="E912" s="81" t="str">
        <f aca="false">IF(D912="","",IFERROR(INDEX(식자재단가!$B$4:$B$203,MATCH(D912,식자재단가!$C$4:$C$203,0)),""))</f>
        <v/>
      </c>
      <c r="F912" s="76"/>
      <c r="G912" s="59" t="str">
        <f aca="false">IF(D912="","",IFERROR(INDEX(식자재단가!$F$4:$F$203,MATCH(D912,식자재단가!$C$4:$C$203,0)),""))</f>
        <v/>
      </c>
      <c r="H912" s="50"/>
      <c r="I912" s="82" t="str">
        <f aca="false">IF(OR(F912="",H912=""),"",F912*H912)</f>
        <v/>
      </c>
      <c r="J912" s="83" t="str">
        <f aca="false">IF(D912="","",IFERROR(INDEX(식자재단가!$M$4:$M$203,MATCH(D912,식자재단가!$C$4:$C$203,0)),"과세"))</f>
        <v/>
      </c>
      <c r="K912" s="28" t="str">
        <f aca="false">IF(I912="","",IF(J912="과세",ROUND(I912*0.1,0),0))</f>
        <v/>
      </c>
      <c r="L912" s="28" t="str">
        <f aca="false">IF(I912="","",I912+K912)</f>
        <v/>
      </c>
      <c r="M912" s="10"/>
      <c r="N912" s="80"/>
      <c r="O912" s="80"/>
      <c r="P912" s="59" t="str">
        <f aca="false">IF(E912="","",IFERROR(INDEX(기본설정!$H$4:$H$14,MATCH(E912,기본설정!$G$4:$G$14,0)),""))</f>
        <v/>
      </c>
    </row>
    <row r="913" customFormat="false" ht="15" hidden="false" customHeight="false" outlineLevel="0" collapsed="false">
      <c r="A913" s="73"/>
      <c r="B913" s="10"/>
      <c r="C913" s="80"/>
      <c r="D913" s="80"/>
      <c r="E913" s="81" t="str">
        <f aca="false">IF(D913="","",IFERROR(INDEX(식자재단가!$B$4:$B$203,MATCH(D913,식자재단가!$C$4:$C$203,0)),""))</f>
        <v/>
      </c>
      <c r="F913" s="76"/>
      <c r="G913" s="59" t="str">
        <f aca="false">IF(D913="","",IFERROR(INDEX(식자재단가!$F$4:$F$203,MATCH(D913,식자재단가!$C$4:$C$203,0)),""))</f>
        <v/>
      </c>
      <c r="H913" s="50"/>
      <c r="I913" s="82" t="str">
        <f aca="false">IF(OR(F913="",H913=""),"",F913*H913)</f>
        <v/>
      </c>
      <c r="J913" s="83" t="str">
        <f aca="false">IF(D913="","",IFERROR(INDEX(식자재단가!$M$4:$M$203,MATCH(D913,식자재단가!$C$4:$C$203,0)),"과세"))</f>
        <v/>
      </c>
      <c r="K913" s="28" t="str">
        <f aca="false">IF(I913="","",IF(J913="과세",ROUND(I913*0.1,0),0))</f>
        <v/>
      </c>
      <c r="L913" s="28" t="str">
        <f aca="false">IF(I913="","",I913+K913)</f>
        <v/>
      </c>
      <c r="M913" s="10"/>
      <c r="N913" s="80"/>
      <c r="O913" s="80"/>
      <c r="P913" s="59" t="str">
        <f aca="false">IF(E913="","",IFERROR(INDEX(기본설정!$H$4:$H$14,MATCH(E913,기본설정!$G$4:$G$14,0)),""))</f>
        <v/>
      </c>
    </row>
    <row r="914" customFormat="false" ht="15" hidden="false" customHeight="false" outlineLevel="0" collapsed="false">
      <c r="A914" s="73"/>
      <c r="B914" s="10"/>
      <c r="C914" s="80"/>
      <c r="D914" s="80"/>
      <c r="E914" s="81" t="str">
        <f aca="false">IF(D914="","",IFERROR(INDEX(식자재단가!$B$4:$B$203,MATCH(D914,식자재단가!$C$4:$C$203,0)),""))</f>
        <v/>
      </c>
      <c r="F914" s="76"/>
      <c r="G914" s="59" t="str">
        <f aca="false">IF(D914="","",IFERROR(INDEX(식자재단가!$F$4:$F$203,MATCH(D914,식자재단가!$C$4:$C$203,0)),""))</f>
        <v/>
      </c>
      <c r="H914" s="50"/>
      <c r="I914" s="82" t="str">
        <f aca="false">IF(OR(F914="",H914=""),"",F914*H914)</f>
        <v/>
      </c>
      <c r="J914" s="83" t="str">
        <f aca="false">IF(D914="","",IFERROR(INDEX(식자재단가!$M$4:$M$203,MATCH(D914,식자재단가!$C$4:$C$203,0)),"과세"))</f>
        <v/>
      </c>
      <c r="K914" s="28" t="str">
        <f aca="false">IF(I914="","",IF(J914="과세",ROUND(I914*0.1,0),0))</f>
        <v/>
      </c>
      <c r="L914" s="28" t="str">
        <f aca="false">IF(I914="","",I914+K914)</f>
        <v/>
      </c>
      <c r="M914" s="10"/>
      <c r="N914" s="80"/>
      <c r="O914" s="80"/>
      <c r="P914" s="59" t="str">
        <f aca="false">IF(E914="","",IFERROR(INDEX(기본설정!$H$4:$H$14,MATCH(E914,기본설정!$G$4:$G$14,0)),""))</f>
        <v/>
      </c>
    </row>
    <row r="915" customFormat="false" ht="15" hidden="false" customHeight="false" outlineLevel="0" collapsed="false">
      <c r="A915" s="73"/>
      <c r="B915" s="10"/>
      <c r="C915" s="80"/>
      <c r="D915" s="80"/>
      <c r="E915" s="81" t="str">
        <f aca="false">IF(D915="","",IFERROR(INDEX(식자재단가!$B$4:$B$203,MATCH(D915,식자재단가!$C$4:$C$203,0)),""))</f>
        <v/>
      </c>
      <c r="F915" s="76"/>
      <c r="G915" s="59" t="str">
        <f aca="false">IF(D915="","",IFERROR(INDEX(식자재단가!$F$4:$F$203,MATCH(D915,식자재단가!$C$4:$C$203,0)),""))</f>
        <v/>
      </c>
      <c r="H915" s="50"/>
      <c r="I915" s="82" t="str">
        <f aca="false">IF(OR(F915="",H915=""),"",F915*H915)</f>
        <v/>
      </c>
      <c r="J915" s="83" t="str">
        <f aca="false">IF(D915="","",IFERROR(INDEX(식자재단가!$M$4:$M$203,MATCH(D915,식자재단가!$C$4:$C$203,0)),"과세"))</f>
        <v/>
      </c>
      <c r="K915" s="28" t="str">
        <f aca="false">IF(I915="","",IF(J915="과세",ROUND(I915*0.1,0),0))</f>
        <v/>
      </c>
      <c r="L915" s="28" t="str">
        <f aca="false">IF(I915="","",I915+K915)</f>
        <v/>
      </c>
      <c r="M915" s="10"/>
      <c r="N915" s="80"/>
      <c r="O915" s="80"/>
      <c r="P915" s="59" t="str">
        <f aca="false">IF(E915="","",IFERROR(INDEX(기본설정!$H$4:$H$14,MATCH(E915,기본설정!$G$4:$G$14,0)),""))</f>
        <v/>
      </c>
    </row>
    <row r="916" customFormat="false" ht="15" hidden="false" customHeight="false" outlineLevel="0" collapsed="false">
      <c r="A916" s="73"/>
      <c r="B916" s="10"/>
      <c r="C916" s="80"/>
      <c r="D916" s="80"/>
      <c r="E916" s="81" t="str">
        <f aca="false">IF(D916="","",IFERROR(INDEX(식자재단가!$B$4:$B$203,MATCH(D916,식자재단가!$C$4:$C$203,0)),""))</f>
        <v/>
      </c>
      <c r="F916" s="76"/>
      <c r="G916" s="59" t="str">
        <f aca="false">IF(D916="","",IFERROR(INDEX(식자재단가!$F$4:$F$203,MATCH(D916,식자재단가!$C$4:$C$203,0)),""))</f>
        <v/>
      </c>
      <c r="H916" s="50"/>
      <c r="I916" s="82" t="str">
        <f aca="false">IF(OR(F916="",H916=""),"",F916*H916)</f>
        <v/>
      </c>
      <c r="J916" s="83" t="str">
        <f aca="false">IF(D916="","",IFERROR(INDEX(식자재단가!$M$4:$M$203,MATCH(D916,식자재단가!$C$4:$C$203,0)),"과세"))</f>
        <v/>
      </c>
      <c r="K916" s="28" t="str">
        <f aca="false">IF(I916="","",IF(J916="과세",ROUND(I916*0.1,0),0))</f>
        <v/>
      </c>
      <c r="L916" s="28" t="str">
        <f aca="false">IF(I916="","",I916+K916)</f>
        <v/>
      </c>
      <c r="M916" s="10"/>
      <c r="N916" s="80"/>
      <c r="O916" s="80"/>
      <c r="P916" s="59" t="str">
        <f aca="false">IF(E916="","",IFERROR(INDEX(기본설정!$H$4:$H$14,MATCH(E916,기본설정!$G$4:$G$14,0)),""))</f>
        <v/>
      </c>
    </row>
    <row r="917" customFormat="false" ht="15" hidden="false" customHeight="false" outlineLevel="0" collapsed="false">
      <c r="A917" s="73"/>
      <c r="B917" s="10"/>
      <c r="C917" s="80"/>
      <c r="D917" s="80"/>
      <c r="E917" s="81" t="str">
        <f aca="false">IF(D917="","",IFERROR(INDEX(식자재단가!$B$4:$B$203,MATCH(D917,식자재단가!$C$4:$C$203,0)),""))</f>
        <v/>
      </c>
      <c r="F917" s="76"/>
      <c r="G917" s="59" t="str">
        <f aca="false">IF(D917="","",IFERROR(INDEX(식자재단가!$F$4:$F$203,MATCH(D917,식자재단가!$C$4:$C$203,0)),""))</f>
        <v/>
      </c>
      <c r="H917" s="50"/>
      <c r="I917" s="82" t="str">
        <f aca="false">IF(OR(F917="",H917=""),"",F917*H917)</f>
        <v/>
      </c>
      <c r="J917" s="83" t="str">
        <f aca="false">IF(D917="","",IFERROR(INDEX(식자재단가!$M$4:$M$203,MATCH(D917,식자재단가!$C$4:$C$203,0)),"과세"))</f>
        <v/>
      </c>
      <c r="K917" s="28" t="str">
        <f aca="false">IF(I917="","",IF(J917="과세",ROUND(I917*0.1,0),0))</f>
        <v/>
      </c>
      <c r="L917" s="28" t="str">
        <f aca="false">IF(I917="","",I917+K917)</f>
        <v/>
      </c>
      <c r="M917" s="10"/>
      <c r="N917" s="80"/>
      <c r="O917" s="80"/>
      <c r="P917" s="59" t="str">
        <f aca="false">IF(E917="","",IFERROR(INDEX(기본설정!$H$4:$H$14,MATCH(E917,기본설정!$G$4:$G$14,0)),""))</f>
        <v/>
      </c>
    </row>
    <row r="918" customFormat="false" ht="15" hidden="false" customHeight="false" outlineLevel="0" collapsed="false">
      <c r="A918" s="73"/>
      <c r="B918" s="10"/>
      <c r="C918" s="80"/>
      <c r="D918" s="80"/>
      <c r="E918" s="81" t="str">
        <f aca="false">IF(D918="","",IFERROR(INDEX(식자재단가!$B$4:$B$203,MATCH(D918,식자재단가!$C$4:$C$203,0)),""))</f>
        <v/>
      </c>
      <c r="F918" s="76"/>
      <c r="G918" s="59" t="str">
        <f aca="false">IF(D918="","",IFERROR(INDEX(식자재단가!$F$4:$F$203,MATCH(D918,식자재단가!$C$4:$C$203,0)),""))</f>
        <v/>
      </c>
      <c r="H918" s="50"/>
      <c r="I918" s="82" t="str">
        <f aca="false">IF(OR(F918="",H918=""),"",F918*H918)</f>
        <v/>
      </c>
      <c r="J918" s="83" t="str">
        <f aca="false">IF(D918="","",IFERROR(INDEX(식자재단가!$M$4:$M$203,MATCH(D918,식자재단가!$C$4:$C$203,0)),"과세"))</f>
        <v/>
      </c>
      <c r="K918" s="28" t="str">
        <f aca="false">IF(I918="","",IF(J918="과세",ROUND(I918*0.1,0),0))</f>
        <v/>
      </c>
      <c r="L918" s="28" t="str">
        <f aca="false">IF(I918="","",I918+K918)</f>
        <v/>
      </c>
      <c r="M918" s="10"/>
      <c r="N918" s="80"/>
      <c r="O918" s="80"/>
      <c r="P918" s="59" t="str">
        <f aca="false">IF(E918="","",IFERROR(INDEX(기본설정!$H$4:$H$14,MATCH(E918,기본설정!$G$4:$G$14,0)),""))</f>
        <v/>
      </c>
    </row>
    <row r="919" customFormat="false" ht="15" hidden="false" customHeight="false" outlineLevel="0" collapsed="false">
      <c r="A919" s="73"/>
      <c r="B919" s="10"/>
      <c r="C919" s="80"/>
      <c r="D919" s="80"/>
      <c r="E919" s="81" t="str">
        <f aca="false">IF(D919="","",IFERROR(INDEX(식자재단가!$B$4:$B$203,MATCH(D919,식자재단가!$C$4:$C$203,0)),""))</f>
        <v/>
      </c>
      <c r="F919" s="76"/>
      <c r="G919" s="59" t="str">
        <f aca="false">IF(D919="","",IFERROR(INDEX(식자재단가!$F$4:$F$203,MATCH(D919,식자재단가!$C$4:$C$203,0)),""))</f>
        <v/>
      </c>
      <c r="H919" s="50"/>
      <c r="I919" s="82" t="str">
        <f aca="false">IF(OR(F919="",H919=""),"",F919*H919)</f>
        <v/>
      </c>
      <c r="J919" s="83" t="str">
        <f aca="false">IF(D919="","",IFERROR(INDEX(식자재단가!$M$4:$M$203,MATCH(D919,식자재단가!$C$4:$C$203,0)),"과세"))</f>
        <v/>
      </c>
      <c r="K919" s="28" t="str">
        <f aca="false">IF(I919="","",IF(J919="과세",ROUND(I919*0.1,0),0))</f>
        <v/>
      </c>
      <c r="L919" s="28" t="str">
        <f aca="false">IF(I919="","",I919+K919)</f>
        <v/>
      </c>
      <c r="M919" s="10"/>
      <c r="N919" s="80"/>
      <c r="O919" s="80"/>
      <c r="P919" s="59" t="str">
        <f aca="false">IF(E919="","",IFERROR(INDEX(기본설정!$H$4:$H$14,MATCH(E919,기본설정!$G$4:$G$14,0)),""))</f>
        <v/>
      </c>
    </row>
    <row r="920" customFormat="false" ht="15" hidden="false" customHeight="false" outlineLevel="0" collapsed="false">
      <c r="A920" s="73"/>
      <c r="B920" s="10"/>
      <c r="C920" s="80"/>
      <c r="D920" s="80"/>
      <c r="E920" s="81" t="str">
        <f aca="false">IF(D920="","",IFERROR(INDEX(식자재단가!$B$4:$B$203,MATCH(D920,식자재단가!$C$4:$C$203,0)),""))</f>
        <v/>
      </c>
      <c r="F920" s="76"/>
      <c r="G920" s="59" t="str">
        <f aca="false">IF(D920="","",IFERROR(INDEX(식자재단가!$F$4:$F$203,MATCH(D920,식자재단가!$C$4:$C$203,0)),""))</f>
        <v/>
      </c>
      <c r="H920" s="50"/>
      <c r="I920" s="82" t="str">
        <f aca="false">IF(OR(F920="",H920=""),"",F920*H920)</f>
        <v/>
      </c>
      <c r="J920" s="83" t="str">
        <f aca="false">IF(D920="","",IFERROR(INDEX(식자재단가!$M$4:$M$203,MATCH(D920,식자재단가!$C$4:$C$203,0)),"과세"))</f>
        <v/>
      </c>
      <c r="K920" s="28" t="str">
        <f aca="false">IF(I920="","",IF(J920="과세",ROUND(I920*0.1,0),0))</f>
        <v/>
      </c>
      <c r="L920" s="28" t="str">
        <f aca="false">IF(I920="","",I920+K920)</f>
        <v/>
      </c>
      <c r="M920" s="10"/>
      <c r="N920" s="80"/>
      <c r="O920" s="80"/>
      <c r="P920" s="59" t="str">
        <f aca="false">IF(E920="","",IFERROR(INDEX(기본설정!$H$4:$H$14,MATCH(E920,기본설정!$G$4:$G$14,0)),""))</f>
        <v/>
      </c>
    </row>
    <row r="921" customFormat="false" ht="15" hidden="false" customHeight="false" outlineLevel="0" collapsed="false">
      <c r="A921" s="73"/>
      <c r="B921" s="10"/>
      <c r="C921" s="80"/>
      <c r="D921" s="80"/>
      <c r="E921" s="81" t="str">
        <f aca="false">IF(D921="","",IFERROR(INDEX(식자재단가!$B$4:$B$203,MATCH(D921,식자재단가!$C$4:$C$203,0)),""))</f>
        <v/>
      </c>
      <c r="F921" s="76"/>
      <c r="G921" s="59" t="str">
        <f aca="false">IF(D921="","",IFERROR(INDEX(식자재단가!$F$4:$F$203,MATCH(D921,식자재단가!$C$4:$C$203,0)),""))</f>
        <v/>
      </c>
      <c r="H921" s="50"/>
      <c r="I921" s="82" t="str">
        <f aca="false">IF(OR(F921="",H921=""),"",F921*H921)</f>
        <v/>
      </c>
      <c r="J921" s="83" t="str">
        <f aca="false">IF(D921="","",IFERROR(INDEX(식자재단가!$M$4:$M$203,MATCH(D921,식자재단가!$C$4:$C$203,0)),"과세"))</f>
        <v/>
      </c>
      <c r="K921" s="28" t="str">
        <f aca="false">IF(I921="","",IF(J921="과세",ROUND(I921*0.1,0),0))</f>
        <v/>
      </c>
      <c r="L921" s="28" t="str">
        <f aca="false">IF(I921="","",I921+K921)</f>
        <v/>
      </c>
      <c r="M921" s="10"/>
      <c r="N921" s="80"/>
      <c r="O921" s="80"/>
      <c r="P921" s="59" t="str">
        <f aca="false">IF(E921="","",IFERROR(INDEX(기본설정!$H$4:$H$14,MATCH(E921,기본설정!$G$4:$G$14,0)),""))</f>
        <v/>
      </c>
    </row>
    <row r="922" customFormat="false" ht="15" hidden="false" customHeight="false" outlineLevel="0" collapsed="false">
      <c r="A922" s="73"/>
      <c r="B922" s="10"/>
      <c r="C922" s="80"/>
      <c r="D922" s="80"/>
      <c r="E922" s="81" t="str">
        <f aca="false">IF(D922="","",IFERROR(INDEX(식자재단가!$B$4:$B$203,MATCH(D922,식자재단가!$C$4:$C$203,0)),""))</f>
        <v/>
      </c>
      <c r="F922" s="76"/>
      <c r="G922" s="59" t="str">
        <f aca="false">IF(D922="","",IFERROR(INDEX(식자재단가!$F$4:$F$203,MATCH(D922,식자재단가!$C$4:$C$203,0)),""))</f>
        <v/>
      </c>
      <c r="H922" s="50"/>
      <c r="I922" s="82" t="str">
        <f aca="false">IF(OR(F922="",H922=""),"",F922*H922)</f>
        <v/>
      </c>
      <c r="J922" s="83" t="str">
        <f aca="false">IF(D922="","",IFERROR(INDEX(식자재단가!$M$4:$M$203,MATCH(D922,식자재단가!$C$4:$C$203,0)),"과세"))</f>
        <v/>
      </c>
      <c r="K922" s="28" t="str">
        <f aca="false">IF(I922="","",IF(J922="과세",ROUND(I922*0.1,0),0))</f>
        <v/>
      </c>
      <c r="L922" s="28" t="str">
        <f aca="false">IF(I922="","",I922+K922)</f>
        <v/>
      </c>
      <c r="M922" s="10"/>
      <c r="N922" s="80"/>
      <c r="O922" s="80"/>
      <c r="P922" s="59" t="str">
        <f aca="false">IF(E922="","",IFERROR(INDEX(기본설정!$H$4:$H$14,MATCH(E922,기본설정!$G$4:$G$14,0)),""))</f>
        <v/>
      </c>
    </row>
    <row r="923" customFormat="false" ht="15" hidden="false" customHeight="false" outlineLevel="0" collapsed="false">
      <c r="A923" s="73"/>
      <c r="B923" s="10"/>
      <c r="C923" s="80"/>
      <c r="D923" s="80"/>
      <c r="E923" s="81" t="str">
        <f aca="false">IF(D923="","",IFERROR(INDEX(식자재단가!$B$4:$B$203,MATCH(D923,식자재단가!$C$4:$C$203,0)),""))</f>
        <v/>
      </c>
      <c r="F923" s="76"/>
      <c r="G923" s="59" t="str">
        <f aca="false">IF(D923="","",IFERROR(INDEX(식자재단가!$F$4:$F$203,MATCH(D923,식자재단가!$C$4:$C$203,0)),""))</f>
        <v/>
      </c>
      <c r="H923" s="50"/>
      <c r="I923" s="82" t="str">
        <f aca="false">IF(OR(F923="",H923=""),"",F923*H923)</f>
        <v/>
      </c>
      <c r="J923" s="83" t="str">
        <f aca="false">IF(D923="","",IFERROR(INDEX(식자재단가!$M$4:$M$203,MATCH(D923,식자재단가!$C$4:$C$203,0)),"과세"))</f>
        <v/>
      </c>
      <c r="K923" s="28" t="str">
        <f aca="false">IF(I923="","",IF(J923="과세",ROUND(I923*0.1,0),0))</f>
        <v/>
      </c>
      <c r="L923" s="28" t="str">
        <f aca="false">IF(I923="","",I923+K923)</f>
        <v/>
      </c>
      <c r="M923" s="10"/>
      <c r="N923" s="80"/>
      <c r="O923" s="80"/>
      <c r="P923" s="59" t="str">
        <f aca="false">IF(E923="","",IFERROR(INDEX(기본설정!$H$4:$H$14,MATCH(E923,기본설정!$G$4:$G$14,0)),""))</f>
        <v/>
      </c>
    </row>
    <row r="924" customFormat="false" ht="15" hidden="false" customHeight="false" outlineLevel="0" collapsed="false">
      <c r="A924" s="73"/>
      <c r="B924" s="10"/>
      <c r="C924" s="80"/>
      <c r="D924" s="80"/>
      <c r="E924" s="81" t="str">
        <f aca="false">IF(D924="","",IFERROR(INDEX(식자재단가!$B$4:$B$203,MATCH(D924,식자재단가!$C$4:$C$203,0)),""))</f>
        <v/>
      </c>
      <c r="F924" s="76"/>
      <c r="G924" s="59" t="str">
        <f aca="false">IF(D924="","",IFERROR(INDEX(식자재단가!$F$4:$F$203,MATCH(D924,식자재단가!$C$4:$C$203,0)),""))</f>
        <v/>
      </c>
      <c r="H924" s="50"/>
      <c r="I924" s="82" t="str">
        <f aca="false">IF(OR(F924="",H924=""),"",F924*H924)</f>
        <v/>
      </c>
      <c r="J924" s="83" t="str">
        <f aca="false">IF(D924="","",IFERROR(INDEX(식자재단가!$M$4:$M$203,MATCH(D924,식자재단가!$C$4:$C$203,0)),"과세"))</f>
        <v/>
      </c>
      <c r="K924" s="28" t="str">
        <f aca="false">IF(I924="","",IF(J924="과세",ROUND(I924*0.1,0),0))</f>
        <v/>
      </c>
      <c r="L924" s="28" t="str">
        <f aca="false">IF(I924="","",I924+K924)</f>
        <v/>
      </c>
      <c r="M924" s="10"/>
      <c r="N924" s="80"/>
      <c r="O924" s="80"/>
      <c r="P924" s="59" t="str">
        <f aca="false">IF(E924="","",IFERROR(INDEX(기본설정!$H$4:$H$14,MATCH(E924,기본설정!$G$4:$G$14,0)),""))</f>
        <v/>
      </c>
    </row>
    <row r="925" customFormat="false" ht="15" hidden="false" customHeight="false" outlineLevel="0" collapsed="false">
      <c r="A925" s="73"/>
      <c r="B925" s="10"/>
      <c r="C925" s="80"/>
      <c r="D925" s="80"/>
      <c r="E925" s="81" t="str">
        <f aca="false">IF(D925="","",IFERROR(INDEX(식자재단가!$B$4:$B$203,MATCH(D925,식자재단가!$C$4:$C$203,0)),""))</f>
        <v/>
      </c>
      <c r="F925" s="76"/>
      <c r="G925" s="59" t="str">
        <f aca="false">IF(D925="","",IFERROR(INDEX(식자재단가!$F$4:$F$203,MATCH(D925,식자재단가!$C$4:$C$203,0)),""))</f>
        <v/>
      </c>
      <c r="H925" s="50"/>
      <c r="I925" s="82" t="str">
        <f aca="false">IF(OR(F925="",H925=""),"",F925*H925)</f>
        <v/>
      </c>
      <c r="J925" s="83" t="str">
        <f aca="false">IF(D925="","",IFERROR(INDEX(식자재단가!$M$4:$M$203,MATCH(D925,식자재단가!$C$4:$C$203,0)),"과세"))</f>
        <v/>
      </c>
      <c r="K925" s="28" t="str">
        <f aca="false">IF(I925="","",IF(J925="과세",ROUND(I925*0.1,0),0))</f>
        <v/>
      </c>
      <c r="L925" s="28" t="str">
        <f aca="false">IF(I925="","",I925+K925)</f>
        <v/>
      </c>
      <c r="M925" s="10"/>
      <c r="N925" s="80"/>
      <c r="O925" s="80"/>
      <c r="P925" s="59" t="str">
        <f aca="false">IF(E925="","",IFERROR(INDEX(기본설정!$H$4:$H$14,MATCH(E925,기본설정!$G$4:$G$14,0)),""))</f>
        <v/>
      </c>
    </row>
    <row r="926" customFormat="false" ht="15" hidden="false" customHeight="false" outlineLevel="0" collapsed="false">
      <c r="A926" s="73"/>
      <c r="B926" s="10"/>
      <c r="C926" s="80"/>
      <c r="D926" s="80"/>
      <c r="E926" s="81" t="str">
        <f aca="false">IF(D926="","",IFERROR(INDEX(식자재단가!$B$4:$B$203,MATCH(D926,식자재단가!$C$4:$C$203,0)),""))</f>
        <v/>
      </c>
      <c r="F926" s="76"/>
      <c r="G926" s="59" t="str">
        <f aca="false">IF(D926="","",IFERROR(INDEX(식자재단가!$F$4:$F$203,MATCH(D926,식자재단가!$C$4:$C$203,0)),""))</f>
        <v/>
      </c>
      <c r="H926" s="50"/>
      <c r="I926" s="82" t="str">
        <f aca="false">IF(OR(F926="",H926=""),"",F926*H926)</f>
        <v/>
      </c>
      <c r="J926" s="83" t="str">
        <f aca="false">IF(D926="","",IFERROR(INDEX(식자재단가!$M$4:$M$203,MATCH(D926,식자재단가!$C$4:$C$203,0)),"과세"))</f>
        <v/>
      </c>
      <c r="K926" s="28" t="str">
        <f aca="false">IF(I926="","",IF(J926="과세",ROUND(I926*0.1,0),0))</f>
        <v/>
      </c>
      <c r="L926" s="28" t="str">
        <f aca="false">IF(I926="","",I926+K926)</f>
        <v/>
      </c>
      <c r="M926" s="10"/>
      <c r="N926" s="80"/>
      <c r="O926" s="80"/>
      <c r="P926" s="59" t="str">
        <f aca="false">IF(E926="","",IFERROR(INDEX(기본설정!$H$4:$H$14,MATCH(E926,기본설정!$G$4:$G$14,0)),""))</f>
        <v/>
      </c>
    </row>
    <row r="927" customFormat="false" ht="15" hidden="false" customHeight="false" outlineLevel="0" collapsed="false">
      <c r="A927" s="73"/>
      <c r="B927" s="10"/>
      <c r="C927" s="80"/>
      <c r="D927" s="80"/>
      <c r="E927" s="81" t="str">
        <f aca="false">IF(D927="","",IFERROR(INDEX(식자재단가!$B$4:$B$203,MATCH(D927,식자재단가!$C$4:$C$203,0)),""))</f>
        <v/>
      </c>
      <c r="F927" s="76"/>
      <c r="G927" s="59" t="str">
        <f aca="false">IF(D927="","",IFERROR(INDEX(식자재단가!$F$4:$F$203,MATCH(D927,식자재단가!$C$4:$C$203,0)),""))</f>
        <v/>
      </c>
      <c r="H927" s="50"/>
      <c r="I927" s="82" t="str">
        <f aca="false">IF(OR(F927="",H927=""),"",F927*H927)</f>
        <v/>
      </c>
      <c r="J927" s="83" t="str">
        <f aca="false">IF(D927="","",IFERROR(INDEX(식자재단가!$M$4:$M$203,MATCH(D927,식자재단가!$C$4:$C$203,0)),"과세"))</f>
        <v/>
      </c>
      <c r="K927" s="28" t="str">
        <f aca="false">IF(I927="","",IF(J927="과세",ROUND(I927*0.1,0),0))</f>
        <v/>
      </c>
      <c r="L927" s="28" t="str">
        <f aca="false">IF(I927="","",I927+K927)</f>
        <v/>
      </c>
      <c r="M927" s="10"/>
      <c r="N927" s="80"/>
      <c r="O927" s="80"/>
      <c r="P927" s="59" t="str">
        <f aca="false">IF(E927="","",IFERROR(INDEX(기본설정!$H$4:$H$14,MATCH(E927,기본설정!$G$4:$G$14,0)),""))</f>
        <v/>
      </c>
    </row>
    <row r="928" customFormat="false" ht="15" hidden="false" customHeight="false" outlineLevel="0" collapsed="false">
      <c r="A928" s="73"/>
      <c r="B928" s="10"/>
      <c r="C928" s="80"/>
      <c r="D928" s="80"/>
      <c r="E928" s="81" t="str">
        <f aca="false">IF(D928="","",IFERROR(INDEX(식자재단가!$B$4:$B$203,MATCH(D928,식자재단가!$C$4:$C$203,0)),""))</f>
        <v/>
      </c>
      <c r="F928" s="76"/>
      <c r="G928" s="59" t="str">
        <f aca="false">IF(D928="","",IFERROR(INDEX(식자재단가!$F$4:$F$203,MATCH(D928,식자재단가!$C$4:$C$203,0)),""))</f>
        <v/>
      </c>
      <c r="H928" s="50"/>
      <c r="I928" s="82" t="str">
        <f aca="false">IF(OR(F928="",H928=""),"",F928*H928)</f>
        <v/>
      </c>
      <c r="J928" s="83" t="str">
        <f aca="false">IF(D928="","",IFERROR(INDEX(식자재단가!$M$4:$M$203,MATCH(D928,식자재단가!$C$4:$C$203,0)),"과세"))</f>
        <v/>
      </c>
      <c r="K928" s="28" t="str">
        <f aca="false">IF(I928="","",IF(J928="과세",ROUND(I928*0.1,0),0))</f>
        <v/>
      </c>
      <c r="L928" s="28" t="str">
        <f aca="false">IF(I928="","",I928+K928)</f>
        <v/>
      </c>
      <c r="M928" s="10"/>
      <c r="N928" s="80"/>
      <c r="O928" s="80"/>
      <c r="P928" s="59" t="str">
        <f aca="false">IF(E928="","",IFERROR(INDEX(기본설정!$H$4:$H$14,MATCH(E928,기본설정!$G$4:$G$14,0)),""))</f>
        <v/>
      </c>
    </row>
    <row r="929" customFormat="false" ht="15" hidden="false" customHeight="false" outlineLevel="0" collapsed="false">
      <c r="A929" s="73"/>
      <c r="B929" s="10"/>
      <c r="C929" s="80"/>
      <c r="D929" s="80"/>
      <c r="E929" s="81" t="str">
        <f aca="false">IF(D929="","",IFERROR(INDEX(식자재단가!$B$4:$B$203,MATCH(D929,식자재단가!$C$4:$C$203,0)),""))</f>
        <v/>
      </c>
      <c r="F929" s="76"/>
      <c r="G929" s="59" t="str">
        <f aca="false">IF(D929="","",IFERROR(INDEX(식자재단가!$F$4:$F$203,MATCH(D929,식자재단가!$C$4:$C$203,0)),""))</f>
        <v/>
      </c>
      <c r="H929" s="50"/>
      <c r="I929" s="82" t="str">
        <f aca="false">IF(OR(F929="",H929=""),"",F929*H929)</f>
        <v/>
      </c>
      <c r="J929" s="83" t="str">
        <f aca="false">IF(D929="","",IFERROR(INDEX(식자재단가!$M$4:$M$203,MATCH(D929,식자재단가!$C$4:$C$203,0)),"과세"))</f>
        <v/>
      </c>
      <c r="K929" s="28" t="str">
        <f aca="false">IF(I929="","",IF(J929="과세",ROUND(I929*0.1,0),0))</f>
        <v/>
      </c>
      <c r="L929" s="28" t="str">
        <f aca="false">IF(I929="","",I929+K929)</f>
        <v/>
      </c>
      <c r="M929" s="10"/>
      <c r="N929" s="80"/>
      <c r="O929" s="80"/>
      <c r="P929" s="59" t="str">
        <f aca="false">IF(E929="","",IFERROR(INDEX(기본설정!$H$4:$H$14,MATCH(E929,기본설정!$G$4:$G$14,0)),""))</f>
        <v/>
      </c>
    </row>
    <row r="930" customFormat="false" ht="15" hidden="false" customHeight="false" outlineLevel="0" collapsed="false">
      <c r="A930" s="73"/>
      <c r="B930" s="10"/>
      <c r="C930" s="80"/>
      <c r="D930" s="80"/>
      <c r="E930" s="81" t="str">
        <f aca="false">IF(D930="","",IFERROR(INDEX(식자재단가!$B$4:$B$203,MATCH(D930,식자재단가!$C$4:$C$203,0)),""))</f>
        <v/>
      </c>
      <c r="F930" s="76"/>
      <c r="G930" s="59" t="str">
        <f aca="false">IF(D930="","",IFERROR(INDEX(식자재단가!$F$4:$F$203,MATCH(D930,식자재단가!$C$4:$C$203,0)),""))</f>
        <v/>
      </c>
      <c r="H930" s="50"/>
      <c r="I930" s="82" t="str">
        <f aca="false">IF(OR(F930="",H930=""),"",F930*H930)</f>
        <v/>
      </c>
      <c r="J930" s="83" t="str">
        <f aca="false">IF(D930="","",IFERROR(INDEX(식자재단가!$M$4:$M$203,MATCH(D930,식자재단가!$C$4:$C$203,0)),"과세"))</f>
        <v/>
      </c>
      <c r="K930" s="28" t="str">
        <f aca="false">IF(I930="","",IF(J930="과세",ROUND(I930*0.1,0),0))</f>
        <v/>
      </c>
      <c r="L930" s="28" t="str">
        <f aca="false">IF(I930="","",I930+K930)</f>
        <v/>
      </c>
      <c r="M930" s="10"/>
      <c r="N930" s="80"/>
      <c r="O930" s="80"/>
      <c r="P930" s="59" t="str">
        <f aca="false">IF(E930="","",IFERROR(INDEX(기본설정!$H$4:$H$14,MATCH(E930,기본설정!$G$4:$G$14,0)),""))</f>
        <v/>
      </c>
    </row>
    <row r="931" customFormat="false" ht="15" hidden="false" customHeight="false" outlineLevel="0" collapsed="false">
      <c r="A931" s="73"/>
      <c r="B931" s="10"/>
      <c r="C931" s="80"/>
      <c r="D931" s="80"/>
      <c r="E931" s="81" t="str">
        <f aca="false">IF(D931="","",IFERROR(INDEX(식자재단가!$B$4:$B$203,MATCH(D931,식자재단가!$C$4:$C$203,0)),""))</f>
        <v/>
      </c>
      <c r="F931" s="76"/>
      <c r="G931" s="59" t="str">
        <f aca="false">IF(D931="","",IFERROR(INDEX(식자재단가!$F$4:$F$203,MATCH(D931,식자재단가!$C$4:$C$203,0)),""))</f>
        <v/>
      </c>
      <c r="H931" s="50"/>
      <c r="I931" s="82" t="str">
        <f aca="false">IF(OR(F931="",H931=""),"",F931*H931)</f>
        <v/>
      </c>
      <c r="J931" s="83" t="str">
        <f aca="false">IF(D931="","",IFERROR(INDEX(식자재단가!$M$4:$M$203,MATCH(D931,식자재단가!$C$4:$C$203,0)),"과세"))</f>
        <v/>
      </c>
      <c r="K931" s="28" t="str">
        <f aca="false">IF(I931="","",IF(J931="과세",ROUND(I931*0.1,0),0))</f>
        <v/>
      </c>
      <c r="L931" s="28" t="str">
        <f aca="false">IF(I931="","",I931+K931)</f>
        <v/>
      </c>
      <c r="M931" s="10"/>
      <c r="N931" s="80"/>
      <c r="O931" s="80"/>
      <c r="P931" s="59" t="str">
        <f aca="false">IF(E931="","",IFERROR(INDEX(기본설정!$H$4:$H$14,MATCH(E931,기본설정!$G$4:$G$14,0)),""))</f>
        <v/>
      </c>
    </row>
    <row r="932" customFormat="false" ht="15" hidden="false" customHeight="false" outlineLevel="0" collapsed="false">
      <c r="A932" s="73"/>
      <c r="B932" s="10"/>
      <c r="C932" s="80"/>
      <c r="D932" s="80"/>
      <c r="E932" s="81" t="str">
        <f aca="false">IF(D932="","",IFERROR(INDEX(식자재단가!$B$4:$B$203,MATCH(D932,식자재단가!$C$4:$C$203,0)),""))</f>
        <v/>
      </c>
      <c r="F932" s="76"/>
      <c r="G932" s="59" t="str">
        <f aca="false">IF(D932="","",IFERROR(INDEX(식자재단가!$F$4:$F$203,MATCH(D932,식자재단가!$C$4:$C$203,0)),""))</f>
        <v/>
      </c>
      <c r="H932" s="50"/>
      <c r="I932" s="82" t="str">
        <f aca="false">IF(OR(F932="",H932=""),"",F932*H932)</f>
        <v/>
      </c>
      <c r="J932" s="83" t="str">
        <f aca="false">IF(D932="","",IFERROR(INDEX(식자재단가!$M$4:$M$203,MATCH(D932,식자재단가!$C$4:$C$203,0)),"과세"))</f>
        <v/>
      </c>
      <c r="K932" s="28" t="str">
        <f aca="false">IF(I932="","",IF(J932="과세",ROUND(I932*0.1,0),0))</f>
        <v/>
      </c>
      <c r="L932" s="28" t="str">
        <f aca="false">IF(I932="","",I932+K932)</f>
        <v/>
      </c>
      <c r="M932" s="10"/>
      <c r="N932" s="80"/>
      <c r="O932" s="80"/>
      <c r="P932" s="59" t="str">
        <f aca="false">IF(E932="","",IFERROR(INDEX(기본설정!$H$4:$H$14,MATCH(E932,기본설정!$G$4:$G$14,0)),""))</f>
        <v/>
      </c>
    </row>
    <row r="933" customFormat="false" ht="15" hidden="false" customHeight="false" outlineLevel="0" collapsed="false">
      <c r="A933" s="73"/>
      <c r="B933" s="10"/>
      <c r="C933" s="80"/>
      <c r="D933" s="80"/>
      <c r="E933" s="81" t="str">
        <f aca="false">IF(D933="","",IFERROR(INDEX(식자재단가!$B$4:$B$203,MATCH(D933,식자재단가!$C$4:$C$203,0)),""))</f>
        <v/>
      </c>
      <c r="F933" s="76"/>
      <c r="G933" s="59" t="str">
        <f aca="false">IF(D933="","",IFERROR(INDEX(식자재단가!$F$4:$F$203,MATCH(D933,식자재단가!$C$4:$C$203,0)),""))</f>
        <v/>
      </c>
      <c r="H933" s="50"/>
      <c r="I933" s="82" t="str">
        <f aca="false">IF(OR(F933="",H933=""),"",F933*H933)</f>
        <v/>
      </c>
      <c r="J933" s="83" t="str">
        <f aca="false">IF(D933="","",IFERROR(INDEX(식자재단가!$M$4:$M$203,MATCH(D933,식자재단가!$C$4:$C$203,0)),"과세"))</f>
        <v/>
      </c>
      <c r="K933" s="28" t="str">
        <f aca="false">IF(I933="","",IF(J933="과세",ROUND(I933*0.1,0),0))</f>
        <v/>
      </c>
      <c r="L933" s="28" t="str">
        <f aca="false">IF(I933="","",I933+K933)</f>
        <v/>
      </c>
      <c r="M933" s="10"/>
      <c r="N933" s="80"/>
      <c r="O933" s="80"/>
      <c r="P933" s="59" t="str">
        <f aca="false">IF(E933="","",IFERROR(INDEX(기본설정!$H$4:$H$14,MATCH(E933,기본설정!$G$4:$G$14,0)),""))</f>
        <v/>
      </c>
    </row>
    <row r="934" customFormat="false" ht="15" hidden="false" customHeight="false" outlineLevel="0" collapsed="false">
      <c r="A934" s="73"/>
      <c r="B934" s="10"/>
      <c r="C934" s="80"/>
      <c r="D934" s="80"/>
      <c r="E934" s="81" t="str">
        <f aca="false">IF(D934="","",IFERROR(INDEX(식자재단가!$B$4:$B$203,MATCH(D934,식자재단가!$C$4:$C$203,0)),""))</f>
        <v/>
      </c>
      <c r="F934" s="76"/>
      <c r="G934" s="59" t="str">
        <f aca="false">IF(D934="","",IFERROR(INDEX(식자재단가!$F$4:$F$203,MATCH(D934,식자재단가!$C$4:$C$203,0)),""))</f>
        <v/>
      </c>
      <c r="H934" s="50"/>
      <c r="I934" s="82" t="str">
        <f aca="false">IF(OR(F934="",H934=""),"",F934*H934)</f>
        <v/>
      </c>
      <c r="J934" s="83" t="str">
        <f aca="false">IF(D934="","",IFERROR(INDEX(식자재단가!$M$4:$M$203,MATCH(D934,식자재단가!$C$4:$C$203,0)),"과세"))</f>
        <v/>
      </c>
      <c r="K934" s="28" t="str">
        <f aca="false">IF(I934="","",IF(J934="과세",ROUND(I934*0.1,0),0))</f>
        <v/>
      </c>
      <c r="L934" s="28" t="str">
        <f aca="false">IF(I934="","",I934+K934)</f>
        <v/>
      </c>
      <c r="M934" s="10"/>
      <c r="N934" s="80"/>
      <c r="O934" s="80"/>
      <c r="P934" s="59" t="str">
        <f aca="false">IF(E934="","",IFERROR(INDEX(기본설정!$H$4:$H$14,MATCH(E934,기본설정!$G$4:$G$14,0)),""))</f>
        <v/>
      </c>
    </row>
    <row r="935" customFormat="false" ht="15" hidden="false" customHeight="false" outlineLevel="0" collapsed="false">
      <c r="A935" s="73"/>
      <c r="B935" s="10"/>
      <c r="C935" s="80"/>
      <c r="D935" s="80"/>
      <c r="E935" s="81" t="str">
        <f aca="false">IF(D935="","",IFERROR(INDEX(식자재단가!$B$4:$B$203,MATCH(D935,식자재단가!$C$4:$C$203,0)),""))</f>
        <v/>
      </c>
      <c r="F935" s="76"/>
      <c r="G935" s="59" t="str">
        <f aca="false">IF(D935="","",IFERROR(INDEX(식자재단가!$F$4:$F$203,MATCH(D935,식자재단가!$C$4:$C$203,0)),""))</f>
        <v/>
      </c>
      <c r="H935" s="50"/>
      <c r="I935" s="82" t="str">
        <f aca="false">IF(OR(F935="",H935=""),"",F935*H935)</f>
        <v/>
      </c>
      <c r="J935" s="83" t="str">
        <f aca="false">IF(D935="","",IFERROR(INDEX(식자재단가!$M$4:$M$203,MATCH(D935,식자재단가!$C$4:$C$203,0)),"과세"))</f>
        <v/>
      </c>
      <c r="K935" s="28" t="str">
        <f aca="false">IF(I935="","",IF(J935="과세",ROUND(I935*0.1,0),0))</f>
        <v/>
      </c>
      <c r="L935" s="28" t="str">
        <f aca="false">IF(I935="","",I935+K935)</f>
        <v/>
      </c>
      <c r="M935" s="10"/>
      <c r="N935" s="80"/>
      <c r="O935" s="80"/>
      <c r="P935" s="59" t="str">
        <f aca="false">IF(E935="","",IFERROR(INDEX(기본설정!$H$4:$H$14,MATCH(E935,기본설정!$G$4:$G$14,0)),""))</f>
        <v/>
      </c>
    </row>
    <row r="936" customFormat="false" ht="15" hidden="false" customHeight="false" outlineLevel="0" collapsed="false">
      <c r="A936" s="73"/>
      <c r="B936" s="10"/>
      <c r="C936" s="80"/>
      <c r="D936" s="80"/>
      <c r="E936" s="81" t="str">
        <f aca="false">IF(D936="","",IFERROR(INDEX(식자재단가!$B$4:$B$203,MATCH(D936,식자재단가!$C$4:$C$203,0)),""))</f>
        <v/>
      </c>
      <c r="F936" s="76"/>
      <c r="G936" s="59" t="str">
        <f aca="false">IF(D936="","",IFERROR(INDEX(식자재단가!$F$4:$F$203,MATCH(D936,식자재단가!$C$4:$C$203,0)),""))</f>
        <v/>
      </c>
      <c r="H936" s="50"/>
      <c r="I936" s="82" t="str">
        <f aca="false">IF(OR(F936="",H936=""),"",F936*H936)</f>
        <v/>
      </c>
      <c r="J936" s="83" t="str">
        <f aca="false">IF(D936="","",IFERROR(INDEX(식자재단가!$M$4:$M$203,MATCH(D936,식자재단가!$C$4:$C$203,0)),"과세"))</f>
        <v/>
      </c>
      <c r="K936" s="28" t="str">
        <f aca="false">IF(I936="","",IF(J936="과세",ROUND(I936*0.1,0),0))</f>
        <v/>
      </c>
      <c r="L936" s="28" t="str">
        <f aca="false">IF(I936="","",I936+K936)</f>
        <v/>
      </c>
      <c r="M936" s="10"/>
      <c r="N936" s="80"/>
      <c r="O936" s="80"/>
      <c r="P936" s="59" t="str">
        <f aca="false">IF(E936="","",IFERROR(INDEX(기본설정!$H$4:$H$14,MATCH(E936,기본설정!$G$4:$G$14,0)),""))</f>
        <v/>
      </c>
    </row>
    <row r="937" customFormat="false" ht="15" hidden="false" customHeight="false" outlineLevel="0" collapsed="false">
      <c r="A937" s="73"/>
      <c r="B937" s="10"/>
      <c r="C937" s="80"/>
      <c r="D937" s="80"/>
      <c r="E937" s="81" t="str">
        <f aca="false">IF(D937="","",IFERROR(INDEX(식자재단가!$B$4:$B$203,MATCH(D937,식자재단가!$C$4:$C$203,0)),""))</f>
        <v/>
      </c>
      <c r="F937" s="76"/>
      <c r="G937" s="59" t="str">
        <f aca="false">IF(D937="","",IFERROR(INDEX(식자재단가!$F$4:$F$203,MATCH(D937,식자재단가!$C$4:$C$203,0)),""))</f>
        <v/>
      </c>
      <c r="H937" s="50"/>
      <c r="I937" s="82" t="str">
        <f aca="false">IF(OR(F937="",H937=""),"",F937*H937)</f>
        <v/>
      </c>
      <c r="J937" s="83" t="str">
        <f aca="false">IF(D937="","",IFERROR(INDEX(식자재단가!$M$4:$M$203,MATCH(D937,식자재단가!$C$4:$C$203,0)),"과세"))</f>
        <v/>
      </c>
      <c r="K937" s="28" t="str">
        <f aca="false">IF(I937="","",IF(J937="과세",ROUND(I937*0.1,0),0))</f>
        <v/>
      </c>
      <c r="L937" s="28" t="str">
        <f aca="false">IF(I937="","",I937+K937)</f>
        <v/>
      </c>
      <c r="M937" s="10"/>
      <c r="N937" s="80"/>
      <c r="O937" s="80"/>
      <c r="P937" s="59" t="str">
        <f aca="false">IF(E937="","",IFERROR(INDEX(기본설정!$H$4:$H$14,MATCH(E937,기본설정!$G$4:$G$14,0)),""))</f>
        <v/>
      </c>
    </row>
    <row r="938" customFormat="false" ht="15" hidden="false" customHeight="false" outlineLevel="0" collapsed="false">
      <c r="A938" s="73"/>
      <c r="B938" s="10"/>
      <c r="C938" s="80"/>
      <c r="D938" s="80"/>
      <c r="E938" s="81" t="str">
        <f aca="false">IF(D938="","",IFERROR(INDEX(식자재단가!$B$4:$B$203,MATCH(D938,식자재단가!$C$4:$C$203,0)),""))</f>
        <v/>
      </c>
      <c r="F938" s="76"/>
      <c r="G938" s="59" t="str">
        <f aca="false">IF(D938="","",IFERROR(INDEX(식자재단가!$F$4:$F$203,MATCH(D938,식자재단가!$C$4:$C$203,0)),""))</f>
        <v/>
      </c>
      <c r="H938" s="50"/>
      <c r="I938" s="82" t="str">
        <f aca="false">IF(OR(F938="",H938=""),"",F938*H938)</f>
        <v/>
      </c>
      <c r="J938" s="83" t="str">
        <f aca="false">IF(D938="","",IFERROR(INDEX(식자재단가!$M$4:$M$203,MATCH(D938,식자재단가!$C$4:$C$203,0)),"과세"))</f>
        <v/>
      </c>
      <c r="K938" s="28" t="str">
        <f aca="false">IF(I938="","",IF(J938="과세",ROUND(I938*0.1,0),0))</f>
        <v/>
      </c>
      <c r="L938" s="28" t="str">
        <f aca="false">IF(I938="","",I938+K938)</f>
        <v/>
      </c>
      <c r="M938" s="10"/>
      <c r="N938" s="80"/>
      <c r="O938" s="80"/>
      <c r="P938" s="59" t="str">
        <f aca="false">IF(E938="","",IFERROR(INDEX(기본설정!$H$4:$H$14,MATCH(E938,기본설정!$G$4:$G$14,0)),""))</f>
        <v/>
      </c>
    </row>
    <row r="939" customFormat="false" ht="15" hidden="false" customHeight="false" outlineLevel="0" collapsed="false">
      <c r="A939" s="73"/>
      <c r="B939" s="10"/>
      <c r="C939" s="80"/>
      <c r="D939" s="80"/>
      <c r="E939" s="81" t="str">
        <f aca="false">IF(D939="","",IFERROR(INDEX(식자재단가!$B$4:$B$203,MATCH(D939,식자재단가!$C$4:$C$203,0)),""))</f>
        <v/>
      </c>
      <c r="F939" s="76"/>
      <c r="G939" s="59" t="str">
        <f aca="false">IF(D939="","",IFERROR(INDEX(식자재단가!$F$4:$F$203,MATCH(D939,식자재단가!$C$4:$C$203,0)),""))</f>
        <v/>
      </c>
      <c r="H939" s="50"/>
      <c r="I939" s="82" t="str">
        <f aca="false">IF(OR(F939="",H939=""),"",F939*H939)</f>
        <v/>
      </c>
      <c r="J939" s="83" t="str">
        <f aca="false">IF(D939="","",IFERROR(INDEX(식자재단가!$M$4:$M$203,MATCH(D939,식자재단가!$C$4:$C$203,0)),"과세"))</f>
        <v/>
      </c>
      <c r="K939" s="28" t="str">
        <f aca="false">IF(I939="","",IF(J939="과세",ROUND(I939*0.1,0),0))</f>
        <v/>
      </c>
      <c r="L939" s="28" t="str">
        <f aca="false">IF(I939="","",I939+K939)</f>
        <v/>
      </c>
      <c r="M939" s="10"/>
      <c r="N939" s="80"/>
      <c r="O939" s="80"/>
      <c r="P939" s="59" t="str">
        <f aca="false">IF(E939="","",IFERROR(INDEX(기본설정!$H$4:$H$14,MATCH(E939,기본설정!$G$4:$G$14,0)),""))</f>
        <v/>
      </c>
    </row>
    <row r="940" customFormat="false" ht="15" hidden="false" customHeight="false" outlineLevel="0" collapsed="false">
      <c r="A940" s="73"/>
      <c r="B940" s="10"/>
      <c r="C940" s="80"/>
      <c r="D940" s="80"/>
      <c r="E940" s="81" t="str">
        <f aca="false">IF(D940="","",IFERROR(INDEX(식자재단가!$B$4:$B$203,MATCH(D940,식자재단가!$C$4:$C$203,0)),""))</f>
        <v/>
      </c>
      <c r="F940" s="76"/>
      <c r="G940" s="59" t="str">
        <f aca="false">IF(D940="","",IFERROR(INDEX(식자재단가!$F$4:$F$203,MATCH(D940,식자재단가!$C$4:$C$203,0)),""))</f>
        <v/>
      </c>
      <c r="H940" s="50"/>
      <c r="I940" s="82" t="str">
        <f aca="false">IF(OR(F940="",H940=""),"",F940*H940)</f>
        <v/>
      </c>
      <c r="J940" s="83" t="str">
        <f aca="false">IF(D940="","",IFERROR(INDEX(식자재단가!$M$4:$M$203,MATCH(D940,식자재단가!$C$4:$C$203,0)),"과세"))</f>
        <v/>
      </c>
      <c r="K940" s="28" t="str">
        <f aca="false">IF(I940="","",IF(J940="과세",ROUND(I940*0.1,0),0))</f>
        <v/>
      </c>
      <c r="L940" s="28" t="str">
        <f aca="false">IF(I940="","",I940+K940)</f>
        <v/>
      </c>
      <c r="M940" s="10"/>
      <c r="N940" s="80"/>
      <c r="O940" s="80"/>
      <c r="P940" s="59" t="str">
        <f aca="false">IF(E940="","",IFERROR(INDEX(기본설정!$H$4:$H$14,MATCH(E940,기본설정!$G$4:$G$14,0)),""))</f>
        <v/>
      </c>
    </row>
    <row r="941" customFormat="false" ht="15" hidden="false" customHeight="false" outlineLevel="0" collapsed="false">
      <c r="A941" s="73"/>
      <c r="B941" s="10"/>
      <c r="C941" s="80"/>
      <c r="D941" s="80"/>
      <c r="E941" s="81" t="str">
        <f aca="false">IF(D941="","",IFERROR(INDEX(식자재단가!$B$4:$B$203,MATCH(D941,식자재단가!$C$4:$C$203,0)),""))</f>
        <v/>
      </c>
      <c r="F941" s="76"/>
      <c r="G941" s="59" t="str">
        <f aca="false">IF(D941="","",IFERROR(INDEX(식자재단가!$F$4:$F$203,MATCH(D941,식자재단가!$C$4:$C$203,0)),""))</f>
        <v/>
      </c>
      <c r="H941" s="50"/>
      <c r="I941" s="82" t="str">
        <f aca="false">IF(OR(F941="",H941=""),"",F941*H941)</f>
        <v/>
      </c>
      <c r="J941" s="83" t="str">
        <f aca="false">IF(D941="","",IFERROR(INDEX(식자재단가!$M$4:$M$203,MATCH(D941,식자재단가!$C$4:$C$203,0)),"과세"))</f>
        <v/>
      </c>
      <c r="K941" s="28" t="str">
        <f aca="false">IF(I941="","",IF(J941="과세",ROUND(I941*0.1,0),0))</f>
        <v/>
      </c>
      <c r="L941" s="28" t="str">
        <f aca="false">IF(I941="","",I941+K941)</f>
        <v/>
      </c>
      <c r="M941" s="10"/>
      <c r="N941" s="80"/>
      <c r="O941" s="80"/>
      <c r="P941" s="59" t="str">
        <f aca="false">IF(E941="","",IFERROR(INDEX(기본설정!$H$4:$H$14,MATCH(E941,기본설정!$G$4:$G$14,0)),""))</f>
        <v/>
      </c>
    </row>
    <row r="942" customFormat="false" ht="15" hidden="false" customHeight="false" outlineLevel="0" collapsed="false">
      <c r="A942" s="73"/>
      <c r="B942" s="10"/>
      <c r="C942" s="80"/>
      <c r="D942" s="80"/>
      <c r="E942" s="81" t="str">
        <f aca="false">IF(D942="","",IFERROR(INDEX(식자재단가!$B$4:$B$203,MATCH(D942,식자재단가!$C$4:$C$203,0)),""))</f>
        <v/>
      </c>
      <c r="F942" s="76"/>
      <c r="G942" s="59" t="str">
        <f aca="false">IF(D942="","",IFERROR(INDEX(식자재단가!$F$4:$F$203,MATCH(D942,식자재단가!$C$4:$C$203,0)),""))</f>
        <v/>
      </c>
      <c r="H942" s="50"/>
      <c r="I942" s="82" t="str">
        <f aca="false">IF(OR(F942="",H942=""),"",F942*H942)</f>
        <v/>
      </c>
      <c r="J942" s="83" t="str">
        <f aca="false">IF(D942="","",IFERROR(INDEX(식자재단가!$M$4:$M$203,MATCH(D942,식자재단가!$C$4:$C$203,0)),"과세"))</f>
        <v/>
      </c>
      <c r="K942" s="28" t="str">
        <f aca="false">IF(I942="","",IF(J942="과세",ROUND(I942*0.1,0),0))</f>
        <v/>
      </c>
      <c r="L942" s="28" t="str">
        <f aca="false">IF(I942="","",I942+K942)</f>
        <v/>
      </c>
      <c r="M942" s="10"/>
      <c r="N942" s="80"/>
      <c r="O942" s="80"/>
      <c r="P942" s="59" t="str">
        <f aca="false">IF(E942="","",IFERROR(INDEX(기본설정!$H$4:$H$14,MATCH(E942,기본설정!$G$4:$G$14,0)),""))</f>
        <v/>
      </c>
    </row>
    <row r="943" customFormat="false" ht="15" hidden="false" customHeight="false" outlineLevel="0" collapsed="false">
      <c r="A943" s="73"/>
      <c r="B943" s="10"/>
      <c r="C943" s="80"/>
      <c r="D943" s="80"/>
      <c r="E943" s="81" t="str">
        <f aca="false">IF(D943="","",IFERROR(INDEX(식자재단가!$B$4:$B$203,MATCH(D943,식자재단가!$C$4:$C$203,0)),""))</f>
        <v/>
      </c>
      <c r="F943" s="76"/>
      <c r="G943" s="59" t="str">
        <f aca="false">IF(D943="","",IFERROR(INDEX(식자재단가!$F$4:$F$203,MATCH(D943,식자재단가!$C$4:$C$203,0)),""))</f>
        <v/>
      </c>
      <c r="H943" s="50"/>
      <c r="I943" s="82" t="str">
        <f aca="false">IF(OR(F943="",H943=""),"",F943*H943)</f>
        <v/>
      </c>
      <c r="J943" s="83" t="str">
        <f aca="false">IF(D943="","",IFERROR(INDEX(식자재단가!$M$4:$M$203,MATCH(D943,식자재단가!$C$4:$C$203,0)),"과세"))</f>
        <v/>
      </c>
      <c r="K943" s="28" t="str">
        <f aca="false">IF(I943="","",IF(J943="과세",ROUND(I943*0.1,0),0))</f>
        <v/>
      </c>
      <c r="L943" s="28" t="str">
        <f aca="false">IF(I943="","",I943+K943)</f>
        <v/>
      </c>
      <c r="M943" s="10"/>
      <c r="N943" s="80"/>
      <c r="O943" s="80"/>
      <c r="P943" s="59" t="str">
        <f aca="false">IF(E943="","",IFERROR(INDEX(기본설정!$H$4:$H$14,MATCH(E943,기본설정!$G$4:$G$14,0)),""))</f>
        <v/>
      </c>
    </row>
    <row r="944" customFormat="false" ht="15" hidden="false" customHeight="false" outlineLevel="0" collapsed="false">
      <c r="A944" s="73"/>
      <c r="B944" s="10"/>
      <c r="C944" s="80"/>
      <c r="D944" s="80"/>
      <c r="E944" s="81" t="str">
        <f aca="false">IF(D944="","",IFERROR(INDEX(식자재단가!$B$4:$B$203,MATCH(D944,식자재단가!$C$4:$C$203,0)),""))</f>
        <v/>
      </c>
      <c r="F944" s="76"/>
      <c r="G944" s="59" t="str">
        <f aca="false">IF(D944="","",IFERROR(INDEX(식자재단가!$F$4:$F$203,MATCH(D944,식자재단가!$C$4:$C$203,0)),""))</f>
        <v/>
      </c>
      <c r="H944" s="50"/>
      <c r="I944" s="82" t="str">
        <f aca="false">IF(OR(F944="",H944=""),"",F944*H944)</f>
        <v/>
      </c>
      <c r="J944" s="83" t="str">
        <f aca="false">IF(D944="","",IFERROR(INDEX(식자재단가!$M$4:$M$203,MATCH(D944,식자재단가!$C$4:$C$203,0)),"과세"))</f>
        <v/>
      </c>
      <c r="K944" s="28" t="str">
        <f aca="false">IF(I944="","",IF(J944="과세",ROUND(I944*0.1,0),0))</f>
        <v/>
      </c>
      <c r="L944" s="28" t="str">
        <f aca="false">IF(I944="","",I944+K944)</f>
        <v/>
      </c>
      <c r="M944" s="10"/>
      <c r="N944" s="80"/>
      <c r="O944" s="80"/>
      <c r="P944" s="59" t="str">
        <f aca="false">IF(E944="","",IFERROR(INDEX(기본설정!$H$4:$H$14,MATCH(E944,기본설정!$G$4:$G$14,0)),""))</f>
        <v/>
      </c>
    </row>
    <row r="945" customFormat="false" ht="15" hidden="false" customHeight="false" outlineLevel="0" collapsed="false">
      <c r="A945" s="73"/>
      <c r="B945" s="10"/>
      <c r="C945" s="80"/>
      <c r="D945" s="80"/>
      <c r="E945" s="81" t="str">
        <f aca="false">IF(D945="","",IFERROR(INDEX(식자재단가!$B$4:$B$203,MATCH(D945,식자재단가!$C$4:$C$203,0)),""))</f>
        <v/>
      </c>
      <c r="F945" s="76"/>
      <c r="G945" s="59" t="str">
        <f aca="false">IF(D945="","",IFERROR(INDEX(식자재단가!$F$4:$F$203,MATCH(D945,식자재단가!$C$4:$C$203,0)),""))</f>
        <v/>
      </c>
      <c r="H945" s="50"/>
      <c r="I945" s="82" t="str">
        <f aca="false">IF(OR(F945="",H945=""),"",F945*H945)</f>
        <v/>
      </c>
      <c r="J945" s="83" t="str">
        <f aca="false">IF(D945="","",IFERROR(INDEX(식자재단가!$M$4:$M$203,MATCH(D945,식자재단가!$C$4:$C$203,0)),"과세"))</f>
        <v/>
      </c>
      <c r="K945" s="28" t="str">
        <f aca="false">IF(I945="","",IF(J945="과세",ROUND(I945*0.1,0),0))</f>
        <v/>
      </c>
      <c r="L945" s="28" t="str">
        <f aca="false">IF(I945="","",I945+K945)</f>
        <v/>
      </c>
      <c r="M945" s="10"/>
      <c r="N945" s="80"/>
      <c r="O945" s="80"/>
      <c r="P945" s="59" t="str">
        <f aca="false">IF(E945="","",IFERROR(INDEX(기본설정!$H$4:$H$14,MATCH(E945,기본설정!$G$4:$G$14,0)),""))</f>
        <v/>
      </c>
    </row>
    <row r="946" customFormat="false" ht="15" hidden="false" customHeight="false" outlineLevel="0" collapsed="false">
      <c r="A946" s="73"/>
      <c r="B946" s="10"/>
      <c r="C946" s="80"/>
      <c r="D946" s="80"/>
      <c r="E946" s="81" t="str">
        <f aca="false">IF(D946="","",IFERROR(INDEX(식자재단가!$B$4:$B$203,MATCH(D946,식자재단가!$C$4:$C$203,0)),""))</f>
        <v/>
      </c>
      <c r="F946" s="76"/>
      <c r="G946" s="59" t="str">
        <f aca="false">IF(D946="","",IFERROR(INDEX(식자재단가!$F$4:$F$203,MATCH(D946,식자재단가!$C$4:$C$203,0)),""))</f>
        <v/>
      </c>
      <c r="H946" s="50"/>
      <c r="I946" s="82" t="str">
        <f aca="false">IF(OR(F946="",H946=""),"",F946*H946)</f>
        <v/>
      </c>
      <c r="J946" s="83" t="str">
        <f aca="false">IF(D946="","",IFERROR(INDEX(식자재단가!$M$4:$M$203,MATCH(D946,식자재단가!$C$4:$C$203,0)),"과세"))</f>
        <v/>
      </c>
      <c r="K946" s="28" t="str">
        <f aca="false">IF(I946="","",IF(J946="과세",ROUND(I946*0.1,0),0))</f>
        <v/>
      </c>
      <c r="L946" s="28" t="str">
        <f aca="false">IF(I946="","",I946+K946)</f>
        <v/>
      </c>
      <c r="M946" s="10"/>
      <c r="N946" s="80"/>
      <c r="O946" s="80"/>
      <c r="P946" s="59" t="str">
        <f aca="false">IF(E946="","",IFERROR(INDEX(기본설정!$H$4:$H$14,MATCH(E946,기본설정!$G$4:$G$14,0)),""))</f>
        <v/>
      </c>
    </row>
    <row r="947" customFormat="false" ht="15" hidden="false" customHeight="false" outlineLevel="0" collapsed="false">
      <c r="A947" s="73"/>
      <c r="B947" s="10"/>
      <c r="C947" s="80"/>
      <c r="D947" s="80"/>
      <c r="E947" s="81" t="str">
        <f aca="false">IF(D947="","",IFERROR(INDEX(식자재단가!$B$4:$B$203,MATCH(D947,식자재단가!$C$4:$C$203,0)),""))</f>
        <v/>
      </c>
      <c r="F947" s="76"/>
      <c r="G947" s="59" t="str">
        <f aca="false">IF(D947="","",IFERROR(INDEX(식자재단가!$F$4:$F$203,MATCH(D947,식자재단가!$C$4:$C$203,0)),""))</f>
        <v/>
      </c>
      <c r="H947" s="50"/>
      <c r="I947" s="82" t="str">
        <f aca="false">IF(OR(F947="",H947=""),"",F947*H947)</f>
        <v/>
      </c>
      <c r="J947" s="83" t="str">
        <f aca="false">IF(D947="","",IFERROR(INDEX(식자재단가!$M$4:$M$203,MATCH(D947,식자재단가!$C$4:$C$203,0)),"과세"))</f>
        <v/>
      </c>
      <c r="K947" s="28" t="str">
        <f aca="false">IF(I947="","",IF(J947="과세",ROUND(I947*0.1,0),0))</f>
        <v/>
      </c>
      <c r="L947" s="28" t="str">
        <f aca="false">IF(I947="","",I947+K947)</f>
        <v/>
      </c>
      <c r="M947" s="10"/>
      <c r="N947" s="80"/>
      <c r="O947" s="80"/>
      <c r="P947" s="59" t="str">
        <f aca="false">IF(E947="","",IFERROR(INDEX(기본설정!$H$4:$H$14,MATCH(E947,기본설정!$G$4:$G$14,0)),""))</f>
        <v/>
      </c>
    </row>
    <row r="948" customFormat="false" ht="15" hidden="false" customHeight="false" outlineLevel="0" collapsed="false">
      <c r="A948" s="73"/>
      <c r="B948" s="10"/>
      <c r="C948" s="80"/>
      <c r="D948" s="80"/>
      <c r="E948" s="81" t="str">
        <f aca="false">IF(D948="","",IFERROR(INDEX(식자재단가!$B$4:$B$203,MATCH(D948,식자재단가!$C$4:$C$203,0)),""))</f>
        <v/>
      </c>
      <c r="F948" s="76"/>
      <c r="G948" s="59" t="str">
        <f aca="false">IF(D948="","",IFERROR(INDEX(식자재단가!$F$4:$F$203,MATCH(D948,식자재단가!$C$4:$C$203,0)),""))</f>
        <v/>
      </c>
      <c r="H948" s="50"/>
      <c r="I948" s="82" t="str">
        <f aca="false">IF(OR(F948="",H948=""),"",F948*H948)</f>
        <v/>
      </c>
      <c r="J948" s="83" t="str">
        <f aca="false">IF(D948="","",IFERROR(INDEX(식자재단가!$M$4:$M$203,MATCH(D948,식자재단가!$C$4:$C$203,0)),"과세"))</f>
        <v/>
      </c>
      <c r="K948" s="28" t="str">
        <f aca="false">IF(I948="","",IF(J948="과세",ROUND(I948*0.1,0),0))</f>
        <v/>
      </c>
      <c r="L948" s="28" t="str">
        <f aca="false">IF(I948="","",I948+K948)</f>
        <v/>
      </c>
      <c r="M948" s="10"/>
      <c r="N948" s="80"/>
      <c r="O948" s="80"/>
      <c r="P948" s="59" t="str">
        <f aca="false">IF(E948="","",IFERROR(INDEX(기본설정!$H$4:$H$14,MATCH(E948,기본설정!$G$4:$G$14,0)),""))</f>
        <v/>
      </c>
    </row>
    <row r="949" customFormat="false" ht="15" hidden="false" customHeight="false" outlineLevel="0" collapsed="false">
      <c r="A949" s="73"/>
      <c r="B949" s="10"/>
      <c r="C949" s="80"/>
      <c r="D949" s="80"/>
      <c r="E949" s="81" t="str">
        <f aca="false">IF(D949="","",IFERROR(INDEX(식자재단가!$B$4:$B$203,MATCH(D949,식자재단가!$C$4:$C$203,0)),""))</f>
        <v/>
      </c>
      <c r="F949" s="76"/>
      <c r="G949" s="59" t="str">
        <f aca="false">IF(D949="","",IFERROR(INDEX(식자재단가!$F$4:$F$203,MATCH(D949,식자재단가!$C$4:$C$203,0)),""))</f>
        <v/>
      </c>
      <c r="H949" s="50"/>
      <c r="I949" s="82" t="str">
        <f aca="false">IF(OR(F949="",H949=""),"",F949*H949)</f>
        <v/>
      </c>
      <c r="J949" s="83" t="str">
        <f aca="false">IF(D949="","",IFERROR(INDEX(식자재단가!$M$4:$M$203,MATCH(D949,식자재단가!$C$4:$C$203,0)),"과세"))</f>
        <v/>
      </c>
      <c r="K949" s="28" t="str">
        <f aca="false">IF(I949="","",IF(J949="과세",ROUND(I949*0.1,0),0))</f>
        <v/>
      </c>
      <c r="L949" s="28" t="str">
        <f aca="false">IF(I949="","",I949+K949)</f>
        <v/>
      </c>
      <c r="M949" s="10"/>
      <c r="N949" s="80"/>
      <c r="O949" s="80"/>
      <c r="P949" s="59" t="str">
        <f aca="false">IF(E949="","",IFERROR(INDEX(기본설정!$H$4:$H$14,MATCH(E949,기본설정!$G$4:$G$14,0)),""))</f>
        <v/>
      </c>
    </row>
    <row r="950" customFormat="false" ht="15" hidden="false" customHeight="false" outlineLevel="0" collapsed="false">
      <c r="A950" s="73"/>
      <c r="B950" s="10"/>
      <c r="C950" s="80"/>
      <c r="D950" s="80"/>
      <c r="E950" s="81" t="str">
        <f aca="false">IF(D950="","",IFERROR(INDEX(식자재단가!$B$4:$B$203,MATCH(D950,식자재단가!$C$4:$C$203,0)),""))</f>
        <v/>
      </c>
      <c r="F950" s="76"/>
      <c r="G950" s="59" t="str">
        <f aca="false">IF(D950="","",IFERROR(INDEX(식자재단가!$F$4:$F$203,MATCH(D950,식자재단가!$C$4:$C$203,0)),""))</f>
        <v/>
      </c>
      <c r="H950" s="50"/>
      <c r="I950" s="82" t="str">
        <f aca="false">IF(OR(F950="",H950=""),"",F950*H950)</f>
        <v/>
      </c>
      <c r="J950" s="83" t="str">
        <f aca="false">IF(D950="","",IFERROR(INDEX(식자재단가!$M$4:$M$203,MATCH(D950,식자재단가!$C$4:$C$203,0)),"과세"))</f>
        <v/>
      </c>
      <c r="K950" s="28" t="str">
        <f aca="false">IF(I950="","",IF(J950="과세",ROUND(I950*0.1,0),0))</f>
        <v/>
      </c>
      <c r="L950" s="28" t="str">
        <f aca="false">IF(I950="","",I950+K950)</f>
        <v/>
      </c>
      <c r="M950" s="10"/>
      <c r="N950" s="80"/>
      <c r="O950" s="80"/>
      <c r="P950" s="59" t="str">
        <f aca="false">IF(E950="","",IFERROR(INDEX(기본설정!$H$4:$H$14,MATCH(E950,기본설정!$G$4:$G$14,0)),""))</f>
        <v/>
      </c>
    </row>
    <row r="951" customFormat="false" ht="15" hidden="false" customHeight="false" outlineLevel="0" collapsed="false">
      <c r="A951" s="73"/>
      <c r="B951" s="10"/>
      <c r="C951" s="80"/>
      <c r="D951" s="80"/>
      <c r="E951" s="81" t="str">
        <f aca="false">IF(D951="","",IFERROR(INDEX(식자재단가!$B$4:$B$203,MATCH(D951,식자재단가!$C$4:$C$203,0)),""))</f>
        <v/>
      </c>
      <c r="F951" s="76"/>
      <c r="G951" s="59" t="str">
        <f aca="false">IF(D951="","",IFERROR(INDEX(식자재단가!$F$4:$F$203,MATCH(D951,식자재단가!$C$4:$C$203,0)),""))</f>
        <v/>
      </c>
      <c r="H951" s="50"/>
      <c r="I951" s="82" t="str">
        <f aca="false">IF(OR(F951="",H951=""),"",F951*H951)</f>
        <v/>
      </c>
      <c r="J951" s="83" t="str">
        <f aca="false">IF(D951="","",IFERROR(INDEX(식자재단가!$M$4:$M$203,MATCH(D951,식자재단가!$C$4:$C$203,0)),"과세"))</f>
        <v/>
      </c>
      <c r="K951" s="28" t="str">
        <f aca="false">IF(I951="","",IF(J951="과세",ROUND(I951*0.1,0),0))</f>
        <v/>
      </c>
      <c r="L951" s="28" t="str">
        <f aca="false">IF(I951="","",I951+K951)</f>
        <v/>
      </c>
      <c r="M951" s="10"/>
      <c r="N951" s="80"/>
      <c r="O951" s="80"/>
      <c r="P951" s="59" t="str">
        <f aca="false">IF(E951="","",IFERROR(INDEX(기본설정!$H$4:$H$14,MATCH(E951,기본설정!$G$4:$G$14,0)),""))</f>
        <v/>
      </c>
    </row>
    <row r="952" customFormat="false" ht="15" hidden="false" customHeight="false" outlineLevel="0" collapsed="false">
      <c r="A952" s="73"/>
      <c r="B952" s="10"/>
      <c r="C952" s="80"/>
      <c r="D952" s="80"/>
      <c r="E952" s="81" t="str">
        <f aca="false">IF(D952="","",IFERROR(INDEX(식자재단가!$B$4:$B$203,MATCH(D952,식자재단가!$C$4:$C$203,0)),""))</f>
        <v/>
      </c>
      <c r="F952" s="76"/>
      <c r="G952" s="59" t="str">
        <f aca="false">IF(D952="","",IFERROR(INDEX(식자재단가!$F$4:$F$203,MATCH(D952,식자재단가!$C$4:$C$203,0)),""))</f>
        <v/>
      </c>
      <c r="H952" s="50"/>
      <c r="I952" s="82" t="str">
        <f aca="false">IF(OR(F952="",H952=""),"",F952*H952)</f>
        <v/>
      </c>
      <c r="J952" s="83" t="str">
        <f aca="false">IF(D952="","",IFERROR(INDEX(식자재단가!$M$4:$M$203,MATCH(D952,식자재단가!$C$4:$C$203,0)),"과세"))</f>
        <v/>
      </c>
      <c r="K952" s="28" t="str">
        <f aca="false">IF(I952="","",IF(J952="과세",ROUND(I952*0.1,0),0))</f>
        <v/>
      </c>
      <c r="L952" s="28" t="str">
        <f aca="false">IF(I952="","",I952+K952)</f>
        <v/>
      </c>
      <c r="M952" s="10"/>
      <c r="N952" s="80"/>
      <c r="O952" s="80"/>
      <c r="P952" s="59" t="str">
        <f aca="false">IF(E952="","",IFERROR(INDEX(기본설정!$H$4:$H$14,MATCH(E952,기본설정!$G$4:$G$14,0)),""))</f>
        <v/>
      </c>
    </row>
    <row r="953" customFormat="false" ht="15" hidden="false" customHeight="false" outlineLevel="0" collapsed="false">
      <c r="A953" s="73"/>
      <c r="B953" s="10"/>
      <c r="C953" s="80"/>
      <c r="D953" s="80"/>
      <c r="E953" s="81" t="str">
        <f aca="false">IF(D953="","",IFERROR(INDEX(식자재단가!$B$4:$B$203,MATCH(D953,식자재단가!$C$4:$C$203,0)),""))</f>
        <v/>
      </c>
      <c r="F953" s="76"/>
      <c r="G953" s="59" t="str">
        <f aca="false">IF(D953="","",IFERROR(INDEX(식자재단가!$F$4:$F$203,MATCH(D953,식자재단가!$C$4:$C$203,0)),""))</f>
        <v/>
      </c>
      <c r="H953" s="50"/>
      <c r="I953" s="82" t="str">
        <f aca="false">IF(OR(F953="",H953=""),"",F953*H953)</f>
        <v/>
      </c>
      <c r="J953" s="83" t="str">
        <f aca="false">IF(D953="","",IFERROR(INDEX(식자재단가!$M$4:$M$203,MATCH(D953,식자재단가!$C$4:$C$203,0)),"과세"))</f>
        <v/>
      </c>
      <c r="K953" s="28" t="str">
        <f aca="false">IF(I953="","",IF(J953="과세",ROUND(I953*0.1,0),0))</f>
        <v/>
      </c>
      <c r="L953" s="28" t="str">
        <f aca="false">IF(I953="","",I953+K953)</f>
        <v/>
      </c>
      <c r="M953" s="10"/>
      <c r="N953" s="80"/>
      <c r="O953" s="80"/>
      <c r="P953" s="59" t="str">
        <f aca="false">IF(E953="","",IFERROR(INDEX(기본설정!$H$4:$H$14,MATCH(E953,기본설정!$G$4:$G$14,0)),""))</f>
        <v/>
      </c>
    </row>
    <row r="954" customFormat="false" ht="15" hidden="false" customHeight="false" outlineLevel="0" collapsed="false">
      <c r="A954" s="73"/>
      <c r="B954" s="10"/>
      <c r="C954" s="80"/>
      <c r="D954" s="80"/>
      <c r="E954" s="81" t="str">
        <f aca="false">IF(D954="","",IFERROR(INDEX(식자재단가!$B$4:$B$203,MATCH(D954,식자재단가!$C$4:$C$203,0)),""))</f>
        <v/>
      </c>
      <c r="F954" s="76"/>
      <c r="G954" s="59" t="str">
        <f aca="false">IF(D954="","",IFERROR(INDEX(식자재단가!$F$4:$F$203,MATCH(D954,식자재단가!$C$4:$C$203,0)),""))</f>
        <v/>
      </c>
      <c r="H954" s="50"/>
      <c r="I954" s="82" t="str">
        <f aca="false">IF(OR(F954="",H954=""),"",F954*H954)</f>
        <v/>
      </c>
      <c r="J954" s="83" t="str">
        <f aca="false">IF(D954="","",IFERROR(INDEX(식자재단가!$M$4:$M$203,MATCH(D954,식자재단가!$C$4:$C$203,0)),"과세"))</f>
        <v/>
      </c>
      <c r="K954" s="28" t="str">
        <f aca="false">IF(I954="","",IF(J954="과세",ROUND(I954*0.1,0),0))</f>
        <v/>
      </c>
      <c r="L954" s="28" t="str">
        <f aca="false">IF(I954="","",I954+K954)</f>
        <v/>
      </c>
      <c r="M954" s="10"/>
      <c r="N954" s="80"/>
      <c r="O954" s="80"/>
      <c r="P954" s="59" t="str">
        <f aca="false">IF(E954="","",IFERROR(INDEX(기본설정!$H$4:$H$14,MATCH(E954,기본설정!$G$4:$G$14,0)),""))</f>
        <v/>
      </c>
    </row>
    <row r="955" customFormat="false" ht="15" hidden="false" customHeight="false" outlineLevel="0" collapsed="false">
      <c r="A955" s="73"/>
      <c r="B955" s="10"/>
      <c r="C955" s="80"/>
      <c r="D955" s="80"/>
      <c r="E955" s="81" t="str">
        <f aca="false">IF(D955="","",IFERROR(INDEX(식자재단가!$B$4:$B$203,MATCH(D955,식자재단가!$C$4:$C$203,0)),""))</f>
        <v/>
      </c>
      <c r="F955" s="76"/>
      <c r="G955" s="59" t="str">
        <f aca="false">IF(D955="","",IFERROR(INDEX(식자재단가!$F$4:$F$203,MATCH(D955,식자재단가!$C$4:$C$203,0)),""))</f>
        <v/>
      </c>
      <c r="H955" s="50"/>
      <c r="I955" s="82" t="str">
        <f aca="false">IF(OR(F955="",H955=""),"",F955*H955)</f>
        <v/>
      </c>
      <c r="J955" s="83" t="str">
        <f aca="false">IF(D955="","",IFERROR(INDEX(식자재단가!$M$4:$M$203,MATCH(D955,식자재단가!$C$4:$C$203,0)),"과세"))</f>
        <v/>
      </c>
      <c r="K955" s="28" t="str">
        <f aca="false">IF(I955="","",IF(J955="과세",ROUND(I955*0.1,0),0))</f>
        <v/>
      </c>
      <c r="L955" s="28" t="str">
        <f aca="false">IF(I955="","",I955+K955)</f>
        <v/>
      </c>
      <c r="M955" s="10"/>
      <c r="N955" s="80"/>
      <c r="O955" s="80"/>
      <c r="P955" s="59" t="str">
        <f aca="false">IF(E955="","",IFERROR(INDEX(기본설정!$H$4:$H$14,MATCH(E955,기본설정!$G$4:$G$14,0)),""))</f>
        <v/>
      </c>
    </row>
    <row r="956" customFormat="false" ht="15" hidden="false" customHeight="false" outlineLevel="0" collapsed="false">
      <c r="A956" s="73"/>
      <c r="B956" s="10"/>
      <c r="C956" s="80"/>
      <c r="D956" s="80"/>
      <c r="E956" s="81" t="str">
        <f aca="false">IF(D956="","",IFERROR(INDEX(식자재단가!$B$4:$B$203,MATCH(D956,식자재단가!$C$4:$C$203,0)),""))</f>
        <v/>
      </c>
      <c r="F956" s="76"/>
      <c r="G956" s="59" t="str">
        <f aca="false">IF(D956="","",IFERROR(INDEX(식자재단가!$F$4:$F$203,MATCH(D956,식자재단가!$C$4:$C$203,0)),""))</f>
        <v/>
      </c>
      <c r="H956" s="50"/>
      <c r="I956" s="82" t="str">
        <f aca="false">IF(OR(F956="",H956=""),"",F956*H956)</f>
        <v/>
      </c>
      <c r="J956" s="83" t="str">
        <f aca="false">IF(D956="","",IFERROR(INDEX(식자재단가!$M$4:$M$203,MATCH(D956,식자재단가!$C$4:$C$203,0)),"과세"))</f>
        <v/>
      </c>
      <c r="K956" s="28" t="str">
        <f aca="false">IF(I956="","",IF(J956="과세",ROUND(I956*0.1,0),0))</f>
        <v/>
      </c>
      <c r="L956" s="28" t="str">
        <f aca="false">IF(I956="","",I956+K956)</f>
        <v/>
      </c>
      <c r="M956" s="10"/>
      <c r="N956" s="80"/>
      <c r="O956" s="80"/>
      <c r="P956" s="59" t="str">
        <f aca="false">IF(E956="","",IFERROR(INDEX(기본설정!$H$4:$H$14,MATCH(E956,기본설정!$G$4:$G$14,0)),""))</f>
        <v/>
      </c>
    </row>
    <row r="957" customFormat="false" ht="15" hidden="false" customHeight="false" outlineLevel="0" collapsed="false">
      <c r="A957" s="73"/>
      <c r="B957" s="10"/>
      <c r="C957" s="80"/>
      <c r="D957" s="80"/>
      <c r="E957" s="81" t="str">
        <f aca="false">IF(D957="","",IFERROR(INDEX(식자재단가!$B$4:$B$203,MATCH(D957,식자재단가!$C$4:$C$203,0)),""))</f>
        <v/>
      </c>
      <c r="F957" s="76"/>
      <c r="G957" s="59" t="str">
        <f aca="false">IF(D957="","",IFERROR(INDEX(식자재단가!$F$4:$F$203,MATCH(D957,식자재단가!$C$4:$C$203,0)),""))</f>
        <v/>
      </c>
      <c r="H957" s="50"/>
      <c r="I957" s="82" t="str">
        <f aca="false">IF(OR(F957="",H957=""),"",F957*H957)</f>
        <v/>
      </c>
      <c r="J957" s="83" t="str">
        <f aca="false">IF(D957="","",IFERROR(INDEX(식자재단가!$M$4:$M$203,MATCH(D957,식자재단가!$C$4:$C$203,0)),"과세"))</f>
        <v/>
      </c>
      <c r="K957" s="28" t="str">
        <f aca="false">IF(I957="","",IF(J957="과세",ROUND(I957*0.1,0),0))</f>
        <v/>
      </c>
      <c r="L957" s="28" t="str">
        <f aca="false">IF(I957="","",I957+K957)</f>
        <v/>
      </c>
      <c r="M957" s="10"/>
      <c r="N957" s="80"/>
      <c r="O957" s="80"/>
      <c r="P957" s="59" t="str">
        <f aca="false">IF(E957="","",IFERROR(INDEX(기본설정!$H$4:$H$14,MATCH(E957,기본설정!$G$4:$G$14,0)),""))</f>
        <v/>
      </c>
    </row>
    <row r="958" customFormat="false" ht="15" hidden="false" customHeight="false" outlineLevel="0" collapsed="false">
      <c r="A958" s="73"/>
      <c r="B958" s="10"/>
      <c r="C958" s="80"/>
      <c r="D958" s="80"/>
      <c r="E958" s="81" t="str">
        <f aca="false">IF(D958="","",IFERROR(INDEX(식자재단가!$B$4:$B$203,MATCH(D958,식자재단가!$C$4:$C$203,0)),""))</f>
        <v/>
      </c>
      <c r="F958" s="76"/>
      <c r="G958" s="59" t="str">
        <f aca="false">IF(D958="","",IFERROR(INDEX(식자재단가!$F$4:$F$203,MATCH(D958,식자재단가!$C$4:$C$203,0)),""))</f>
        <v/>
      </c>
      <c r="H958" s="50"/>
      <c r="I958" s="82" t="str">
        <f aca="false">IF(OR(F958="",H958=""),"",F958*H958)</f>
        <v/>
      </c>
      <c r="J958" s="83" t="str">
        <f aca="false">IF(D958="","",IFERROR(INDEX(식자재단가!$M$4:$M$203,MATCH(D958,식자재단가!$C$4:$C$203,0)),"과세"))</f>
        <v/>
      </c>
      <c r="K958" s="28" t="str">
        <f aca="false">IF(I958="","",IF(J958="과세",ROUND(I958*0.1,0),0))</f>
        <v/>
      </c>
      <c r="L958" s="28" t="str">
        <f aca="false">IF(I958="","",I958+K958)</f>
        <v/>
      </c>
      <c r="M958" s="10"/>
      <c r="N958" s="80"/>
      <c r="O958" s="80"/>
      <c r="P958" s="59" t="str">
        <f aca="false">IF(E958="","",IFERROR(INDEX(기본설정!$H$4:$H$14,MATCH(E958,기본설정!$G$4:$G$14,0)),""))</f>
        <v/>
      </c>
    </row>
    <row r="959" customFormat="false" ht="15" hidden="false" customHeight="false" outlineLevel="0" collapsed="false">
      <c r="A959" s="73"/>
      <c r="B959" s="10"/>
      <c r="C959" s="80"/>
      <c r="D959" s="80"/>
      <c r="E959" s="81" t="str">
        <f aca="false">IF(D959="","",IFERROR(INDEX(식자재단가!$B$4:$B$203,MATCH(D959,식자재단가!$C$4:$C$203,0)),""))</f>
        <v/>
      </c>
      <c r="F959" s="76"/>
      <c r="G959" s="59" t="str">
        <f aca="false">IF(D959="","",IFERROR(INDEX(식자재단가!$F$4:$F$203,MATCH(D959,식자재단가!$C$4:$C$203,0)),""))</f>
        <v/>
      </c>
      <c r="H959" s="50"/>
      <c r="I959" s="82" t="str">
        <f aca="false">IF(OR(F959="",H959=""),"",F959*H959)</f>
        <v/>
      </c>
      <c r="J959" s="83" t="str">
        <f aca="false">IF(D959="","",IFERROR(INDEX(식자재단가!$M$4:$M$203,MATCH(D959,식자재단가!$C$4:$C$203,0)),"과세"))</f>
        <v/>
      </c>
      <c r="K959" s="28" t="str">
        <f aca="false">IF(I959="","",IF(J959="과세",ROUND(I959*0.1,0),0))</f>
        <v/>
      </c>
      <c r="L959" s="28" t="str">
        <f aca="false">IF(I959="","",I959+K959)</f>
        <v/>
      </c>
      <c r="M959" s="10"/>
      <c r="N959" s="80"/>
      <c r="O959" s="80"/>
      <c r="P959" s="59" t="str">
        <f aca="false">IF(E959="","",IFERROR(INDEX(기본설정!$H$4:$H$14,MATCH(E959,기본설정!$G$4:$G$14,0)),""))</f>
        <v/>
      </c>
    </row>
    <row r="960" customFormat="false" ht="15" hidden="false" customHeight="false" outlineLevel="0" collapsed="false">
      <c r="A960" s="73"/>
      <c r="B960" s="10"/>
      <c r="C960" s="80"/>
      <c r="D960" s="80"/>
      <c r="E960" s="81" t="str">
        <f aca="false">IF(D960="","",IFERROR(INDEX(식자재단가!$B$4:$B$203,MATCH(D960,식자재단가!$C$4:$C$203,0)),""))</f>
        <v/>
      </c>
      <c r="F960" s="76"/>
      <c r="G960" s="59" t="str">
        <f aca="false">IF(D960="","",IFERROR(INDEX(식자재단가!$F$4:$F$203,MATCH(D960,식자재단가!$C$4:$C$203,0)),""))</f>
        <v/>
      </c>
      <c r="H960" s="50"/>
      <c r="I960" s="82" t="str">
        <f aca="false">IF(OR(F960="",H960=""),"",F960*H960)</f>
        <v/>
      </c>
      <c r="J960" s="83" t="str">
        <f aca="false">IF(D960="","",IFERROR(INDEX(식자재단가!$M$4:$M$203,MATCH(D960,식자재단가!$C$4:$C$203,0)),"과세"))</f>
        <v/>
      </c>
      <c r="K960" s="28" t="str">
        <f aca="false">IF(I960="","",IF(J960="과세",ROUND(I960*0.1,0),0))</f>
        <v/>
      </c>
      <c r="L960" s="28" t="str">
        <f aca="false">IF(I960="","",I960+K960)</f>
        <v/>
      </c>
      <c r="M960" s="10"/>
      <c r="N960" s="80"/>
      <c r="O960" s="80"/>
      <c r="P960" s="59" t="str">
        <f aca="false">IF(E960="","",IFERROR(INDEX(기본설정!$H$4:$H$14,MATCH(E960,기본설정!$G$4:$G$14,0)),""))</f>
        <v/>
      </c>
    </row>
    <row r="961" customFormat="false" ht="15" hidden="false" customHeight="false" outlineLevel="0" collapsed="false">
      <c r="A961" s="73"/>
      <c r="B961" s="10"/>
      <c r="C961" s="80"/>
      <c r="D961" s="80"/>
      <c r="E961" s="81" t="str">
        <f aca="false">IF(D961="","",IFERROR(INDEX(식자재단가!$B$4:$B$203,MATCH(D961,식자재단가!$C$4:$C$203,0)),""))</f>
        <v/>
      </c>
      <c r="F961" s="76"/>
      <c r="G961" s="59" t="str">
        <f aca="false">IF(D961="","",IFERROR(INDEX(식자재단가!$F$4:$F$203,MATCH(D961,식자재단가!$C$4:$C$203,0)),""))</f>
        <v/>
      </c>
      <c r="H961" s="50"/>
      <c r="I961" s="82" t="str">
        <f aca="false">IF(OR(F961="",H961=""),"",F961*H961)</f>
        <v/>
      </c>
      <c r="J961" s="83" t="str">
        <f aca="false">IF(D961="","",IFERROR(INDEX(식자재단가!$M$4:$M$203,MATCH(D961,식자재단가!$C$4:$C$203,0)),"과세"))</f>
        <v/>
      </c>
      <c r="K961" s="28" t="str">
        <f aca="false">IF(I961="","",IF(J961="과세",ROUND(I961*0.1,0),0))</f>
        <v/>
      </c>
      <c r="L961" s="28" t="str">
        <f aca="false">IF(I961="","",I961+K961)</f>
        <v/>
      </c>
      <c r="M961" s="10"/>
      <c r="N961" s="80"/>
      <c r="O961" s="80"/>
      <c r="P961" s="59" t="str">
        <f aca="false">IF(E961="","",IFERROR(INDEX(기본설정!$H$4:$H$14,MATCH(E961,기본설정!$G$4:$G$14,0)),""))</f>
        <v/>
      </c>
    </row>
    <row r="962" customFormat="false" ht="15" hidden="false" customHeight="false" outlineLevel="0" collapsed="false">
      <c r="A962" s="73"/>
      <c r="B962" s="10"/>
      <c r="C962" s="80"/>
      <c r="D962" s="80"/>
      <c r="E962" s="81" t="str">
        <f aca="false">IF(D962="","",IFERROR(INDEX(식자재단가!$B$4:$B$203,MATCH(D962,식자재단가!$C$4:$C$203,0)),""))</f>
        <v/>
      </c>
      <c r="F962" s="76"/>
      <c r="G962" s="59" t="str">
        <f aca="false">IF(D962="","",IFERROR(INDEX(식자재단가!$F$4:$F$203,MATCH(D962,식자재단가!$C$4:$C$203,0)),""))</f>
        <v/>
      </c>
      <c r="H962" s="50"/>
      <c r="I962" s="82" t="str">
        <f aca="false">IF(OR(F962="",H962=""),"",F962*H962)</f>
        <v/>
      </c>
      <c r="J962" s="83" t="str">
        <f aca="false">IF(D962="","",IFERROR(INDEX(식자재단가!$M$4:$M$203,MATCH(D962,식자재단가!$C$4:$C$203,0)),"과세"))</f>
        <v/>
      </c>
      <c r="K962" s="28" t="str">
        <f aca="false">IF(I962="","",IF(J962="과세",ROUND(I962*0.1,0),0))</f>
        <v/>
      </c>
      <c r="L962" s="28" t="str">
        <f aca="false">IF(I962="","",I962+K962)</f>
        <v/>
      </c>
      <c r="M962" s="10"/>
      <c r="N962" s="80"/>
      <c r="O962" s="80"/>
      <c r="P962" s="59" t="str">
        <f aca="false">IF(E962="","",IFERROR(INDEX(기본설정!$H$4:$H$14,MATCH(E962,기본설정!$G$4:$G$14,0)),""))</f>
        <v/>
      </c>
    </row>
    <row r="963" customFormat="false" ht="15" hidden="false" customHeight="false" outlineLevel="0" collapsed="false">
      <c r="A963" s="73"/>
      <c r="B963" s="10"/>
      <c r="C963" s="80"/>
      <c r="D963" s="80"/>
      <c r="E963" s="81" t="str">
        <f aca="false">IF(D963="","",IFERROR(INDEX(식자재단가!$B$4:$B$203,MATCH(D963,식자재단가!$C$4:$C$203,0)),""))</f>
        <v/>
      </c>
      <c r="F963" s="76"/>
      <c r="G963" s="59" t="str">
        <f aca="false">IF(D963="","",IFERROR(INDEX(식자재단가!$F$4:$F$203,MATCH(D963,식자재단가!$C$4:$C$203,0)),""))</f>
        <v/>
      </c>
      <c r="H963" s="50"/>
      <c r="I963" s="82" t="str">
        <f aca="false">IF(OR(F963="",H963=""),"",F963*H963)</f>
        <v/>
      </c>
      <c r="J963" s="83" t="str">
        <f aca="false">IF(D963="","",IFERROR(INDEX(식자재단가!$M$4:$M$203,MATCH(D963,식자재단가!$C$4:$C$203,0)),"과세"))</f>
        <v/>
      </c>
      <c r="K963" s="28" t="str">
        <f aca="false">IF(I963="","",IF(J963="과세",ROUND(I963*0.1,0),0))</f>
        <v/>
      </c>
      <c r="L963" s="28" t="str">
        <f aca="false">IF(I963="","",I963+K963)</f>
        <v/>
      </c>
      <c r="M963" s="10"/>
      <c r="N963" s="80"/>
      <c r="O963" s="80"/>
      <c r="P963" s="59" t="str">
        <f aca="false">IF(E963="","",IFERROR(INDEX(기본설정!$H$4:$H$14,MATCH(E963,기본설정!$G$4:$G$14,0)),""))</f>
        <v/>
      </c>
    </row>
    <row r="964" customFormat="false" ht="15" hidden="false" customHeight="false" outlineLevel="0" collapsed="false">
      <c r="A964" s="73"/>
      <c r="B964" s="10"/>
      <c r="C964" s="80"/>
      <c r="D964" s="80"/>
      <c r="E964" s="81" t="str">
        <f aca="false">IF(D964="","",IFERROR(INDEX(식자재단가!$B$4:$B$203,MATCH(D964,식자재단가!$C$4:$C$203,0)),""))</f>
        <v/>
      </c>
      <c r="F964" s="76"/>
      <c r="G964" s="59" t="str">
        <f aca="false">IF(D964="","",IFERROR(INDEX(식자재단가!$F$4:$F$203,MATCH(D964,식자재단가!$C$4:$C$203,0)),""))</f>
        <v/>
      </c>
      <c r="H964" s="50"/>
      <c r="I964" s="82" t="str">
        <f aca="false">IF(OR(F964="",H964=""),"",F964*H964)</f>
        <v/>
      </c>
      <c r="J964" s="83" t="str">
        <f aca="false">IF(D964="","",IFERROR(INDEX(식자재단가!$M$4:$M$203,MATCH(D964,식자재단가!$C$4:$C$203,0)),"과세"))</f>
        <v/>
      </c>
      <c r="K964" s="28" t="str">
        <f aca="false">IF(I964="","",IF(J964="과세",ROUND(I964*0.1,0),0))</f>
        <v/>
      </c>
      <c r="L964" s="28" t="str">
        <f aca="false">IF(I964="","",I964+K964)</f>
        <v/>
      </c>
      <c r="M964" s="10"/>
      <c r="N964" s="80"/>
      <c r="O964" s="80"/>
      <c r="P964" s="59" t="str">
        <f aca="false">IF(E964="","",IFERROR(INDEX(기본설정!$H$4:$H$14,MATCH(E964,기본설정!$G$4:$G$14,0)),""))</f>
        <v/>
      </c>
    </row>
    <row r="965" customFormat="false" ht="15" hidden="false" customHeight="false" outlineLevel="0" collapsed="false">
      <c r="A965" s="73"/>
      <c r="B965" s="10"/>
      <c r="C965" s="80"/>
      <c r="D965" s="80"/>
      <c r="E965" s="81" t="str">
        <f aca="false">IF(D965="","",IFERROR(INDEX(식자재단가!$B$4:$B$203,MATCH(D965,식자재단가!$C$4:$C$203,0)),""))</f>
        <v/>
      </c>
      <c r="F965" s="76"/>
      <c r="G965" s="59" t="str">
        <f aca="false">IF(D965="","",IFERROR(INDEX(식자재단가!$F$4:$F$203,MATCH(D965,식자재단가!$C$4:$C$203,0)),""))</f>
        <v/>
      </c>
      <c r="H965" s="50"/>
      <c r="I965" s="82" t="str">
        <f aca="false">IF(OR(F965="",H965=""),"",F965*H965)</f>
        <v/>
      </c>
      <c r="J965" s="83" t="str">
        <f aca="false">IF(D965="","",IFERROR(INDEX(식자재단가!$M$4:$M$203,MATCH(D965,식자재단가!$C$4:$C$203,0)),"과세"))</f>
        <v/>
      </c>
      <c r="K965" s="28" t="str">
        <f aca="false">IF(I965="","",IF(J965="과세",ROUND(I965*0.1,0),0))</f>
        <v/>
      </c>
      <c r="L965" s="28" t="str">
        <f aca="false">IF(I965="","",I965+K965)</f>
        <v/>
      </c>
      <c r="M965" s="10"/>
      <c r="N965" s="80"/>
      <c r="O965" s="80"/>
      <c r="P965" s="59" t="str">
        <f aca="false">IF(E965="","",IFERROR(INDEX(기본설정!$H$4:$H$14,MATCH(E965,기본설정!$G$4:$G$14,0)),""))</f>
        <v/>
      </c>
    </row>
    <row r="966" customFormat="false" ht="15" hidden="false" customHeight="false" outlineLevel="0" collapsed="false">
      <c r="A966" s="73"/>
      <c r="B966" s="10"/>
      <c r="C966" s="80"/>
      <c r="D966" s="80"/>
      <c r="E966" s="81" t="str">
        <f aca="false">IF(D966="","",IFERROR(INDEX(식자재단가!$B$4:$B$203,MATCH(D966,식자재단가!$C$4:$C$203,0)),""))</f>
        <v/>
      </c>
      <c r="F966" s="76"/>
      <c r="G966" s="59" t="str">
        <f aca="false">IF(D966="","",IFERROR(INDEX(식자재단가!$F$4:$F$203,MATCH(D966,식자재단가!$C$4:$C$203,0)),""))</f>
        <v/>
      </c>
      <c r="H966" s="50"/>
      <c r="I966" s="82" t="str">
        <f aca="false">IF(OR(F966="",H966=""),"",F966*H966)</f>
        <v/>
      </c>
      <c r="J966" s="83" t="str">
        <f aca="false">IF(D966="","",IFERROR(INDEX(식자재단가!$M$4:$M$203,MATCH(D966,식자재단가!$C$4:$C$203,0)),"과세"))</f>
        <v/>
      </c>
      <c r="K966" s="28" t="str">
        <f aca="false">IF(I966="","",IF(J966="과세",ROUND(I966*0.1,0),0))</f>
        <v/>
      </c>
      <c r="L966" s="28" t="str">
        <f aca="false">IF(I966="","",I966+K966)</f>
        <v/>
      </c>
      <c r="M966" s="10"/>
      <c r="N966" s="80"/>
      <c r="O966" s="80"/>
      <c r="P966" s="59" t="str">
        <f aca="false">IF(E966="","",IFERROR(INDEX(기본설정!$H$4:$H$14,MATCH(E966,기본설정!$G$4:$G$14,0)),""))</f>
        <v/>
      </c>
    </row>
    <row r="967" customFormat="false" ht="15" hidden="false" customHeight="false" outlineLevel="0" collapsed="false">
      <c r="A967" s="73"/>
      <c r="B967" s="10"/>
      <c r="C967" s="80"/>
      <c r="D967" s="80"/>
      <c r="E967" s="81" t="str">
        <f aca="false">IF(D967="","",IFERROR(INDEX(식자재단가!$B$4:$B$203,MATCH(D967,식자재단가!$C$4:$C$203,0)),""))</f>
        <v/>
      </c>
      <c r="F967" s="76"/>
      <c r="G967" s="59" t="str">
        <f aca="false">IF(D967="","",IFERROR(INDEX(식자재단가!$F$4:$F$203,MATCH(D967,식자재단가!$C$4:$C$203,0)),""))</f>
        <v/>
      </c>
      <c r="H967" s="50"/>
      <c r="I967" s="82" t="str">
        <f aca="false">IF(OR(F967="",H967=""),"",F967*H967)</f>
        <v/>
      </c>
      <c r="J967" s="83" t="str">
        <f aca="false">IF(D967="","",IFERROR(INDEX(식자재단가!$M$4:$M$203,MATCH(D967,식자재단가!$C$4:$C$203,0)),"과세"))</f>
        <v/>
      </c>
      <c r="K967" s="28" t="str">
        <f aca="false">IF(I967="","",IF(J967="과세",ROUND(I967*0.1,0),0))</f>
        <v/>
      </c>
      <c r="L967" s="28" t="str">
        <f aca="false">IF(I967="","",I967+K967)</f>
        <v/>
      </c>
      <c r="M967" s="10"/>
      <c r="N967" s="80"/>
      <c r="O967" s="80"/>
      <c r="P967" s="59" t="str">
        <f aca="false">IF(E967="","",IFERROR(INDEX(기본설정!$H$4:$H$14,MATCH(E967,기본설정!$G$4:$G$14,0)),""))</f>
        <v/>
      </c>
    </row>
    <row r="968" customFormat="false" ht="15" hidden="false" customHeight="false" outlineLevel="0" collapsed="false">
      <c r="A968" s="73"/>
      <c r="B968" s="10"/>
      <c r="C968" s="80"/>
      <c r="D968" s="80"/>
      <c r="E968" s="81" t="str">
        <f aca="false">IF(D968="","",IFERROR(INDEX(식자재단가!$B$4:$B$203,MATCH(D968,식자재단가!$C$4:$C$203,0)),""))</f>
        <v/>
      </c>
      <c r="F968" s="76"/>
      <c r="G968" s="59" t="str">
        <f aca="false">IF(D968="","",IFERROR(INDEX(식자재단가!$F$4:$F$203,MATCH(D968,식자재단가!$C$4:$C$203,0)),""))</f>
        <v/>
      </c>
      <c r="H968" s="50"/>
      <c r="I968" s="82" t="str">
        <f aca="false">IF(OR(F968="",H968=""),"",F968*H968)</f>
        <v/>
      </c>
      <c r="J968" s="83" t="str">
        <f aca="false">IF(D968="","",IFERROR(INDEX(식자재단가!$M$4:$M$203,MATCH(D968,식자재단가!$C$4:$C$203,0)),"과세"))</f>
        <v/>
      </c>
      <c r="K968" s="28" t="str">
        <f aca="false">IF(I968="","",IF(J968="과세",ROUND(I968*0.1,0),0))</f>
        <v/>
      </c>
      <c r="L968" s="28" t="str">
        <f aca="false">IF(I968="","",I968+K968)</f>
        <v/>
      </c>
      <c r="M968" s="10"/>
      <c r="N968" s="80"/>
      <c r="O968" s="80"/>
      <c r="P968" s="59" t="str">
        <f aca="false">IF(E968="","",IFERROR(INDEX(기본설정!$H$4:$H$14,MATCH(E968,기본설정!$G$4:$G$14,0)),""))</f>
        <v/>
      </c>
    </row>
    <row r="969" customFormat="false" ht="15" hidden="false" customHeight="false" outlineLevel="0" collapsed="false">
      <c r="A969" s="73"/>
      <c r="B969" s="10"/>
      <c r="C969" s="80"/>
      <c r="D969" s="80"/>
      <c r="E969" s="81" t="str">
        <f aca="false">IF(D969="","",IFERROR(INDEX(식자재단가!$B$4:$B$203,MATCH(D969,식자재단가!$C$4:$C$203,0)),""))</f>
        <v/>
      </c>
      <c r="F969" s="76"/>
      <c r="G969" s="59" t="str">
        <f aca="false">IF(D969="","",IFERROR(INDEX(식자재단가!$F$4:$F$203,MATCH(D969,식자재단가!$C$4:$C$203,0)),""))</f>
        <v/>
      </c>
      <c r="H969" s="50"/>
      <c r="I969" s="82" t="str">
        <f aca="false">IF(OR(F969="",H969=""),"",F969*H969)</f>
        <v/>
      </c>
      <c r="J969" s="83" t="str">
        <f aca="false">IF(D969="","",IFERROR(INDEX(식자재단가!$M$4:$M$203,MATCH(D969,식자재단가!$C$4:$C$203,0)),"과세"))</f>
        <v/>
      </c>
      <c r="K969" s="28" t="str">
        <f aca="false">IF(I969="","",IF(J969="과세",ROUND(I969*0.1,0),0))</f>
        <v/>
      </c>
      <c r="L969" s="28" t="str">
        <f aca="false">IF(I969="","",I969+K969)</f>
        <v/>
      </c>
      <c r="M969" s="10"/>
      <c r="N969" s="80"/>
      <c r="O969" s="80"/>
      <c r="P969" s="59" t="str">
        <f aca="false">IF(E969="","",IFERROR(INDEX(기본설정!$H$4:$H$14,MATCH(E969,기본설정!$G$4:$G$14,0)),""))</f>
        <v/>
      </c>
    </row>
    <row r="970" customFormat="false" ht="15" hidden="false" customHeight="false" outlineLevel="0" collapsed="false">
      <c r="A970" s="73"/>
      <c r="B970" s="10"/>
      <c r="C970" s="80"/>
      <c r="D970" s="80"/>
      <c r="E970" s="81" t="str">
        <f aca="false">IF(D970="","",IFERROR(INDEX(식자재단가!$B$4:$B$203,MATCH(D970,식자재단가!$C$4:$C$203,0)),""))</f>
        <v/>
      </c>
      <c r="F970" s="76"/>
      <c r="G970" s="59" t="str">
        <f aca="false">IF(D970="","",IFERROR(INDEX(식자재단가!$F$4:$F$203,MATCH(D970,식자재단가!$C$4:$C$203,0)),""))</f>
        <v/>
      </c>
      <c r="H970" s="50"/>
      <c r="I970" s="82" t="str">
        <f aca="false">IF(OR(F970="",H970=""),"",F970*H970)</f>
        <v/>
      </c>
      <c r="J970" s="83" t="str">
        <f aca="false">IF(D970="","",IFERROR(INDEX(식자재단가!$M$4:$M$203,MATCH(D970,식자재단가!$C$4:$C$203,0)),"과세"))</f>
        <v/>
      </c>
      <c r="K970" s="28" t="str">
        <f aca="false">IF(I970="","",IF(J970="과세",ROUND(I970*0.1,0),0))</f>
        <v/>
      </c>
      <c r="L970" s="28" t="str">
        <f aca="false">IF(I970="","",I970+K970)</f>
        <v/>
      </c>
      <c r="M970" s="10"/>
      <c r="N970" s="80"/>
      <c r="O970" s="80"/>
      <c r="P970" s="59" t="str">
        <f aca="false">IF(E970="","",IFERROR(INDEX(기본설정!$H$4:$H$14,MATCH(E970,기본설정!$G$4:$G$14,0)),""))</f>
        <v/>
      </c>
    </row>
    <row r="971" customFormat="false" ht="15" hidden="false" customHeight="false" outlineLevel="0" collapsed="false">
      <c r="A971" s="73"/>
      <c r="B971" s="10"/>
      <c r="C971" s="80"/>
      <c r="D971" s="80"/>
      <c r="E971" s="81" t="str">
        <f aca="false">IF(D971="","",IFERROR(INDEX(식자재단가!$B$4:$B$203,MATCH(D971,식자재단가!$C$4:$C$203,0)),""))</f>
        <v/>
      </c>
      <c r="F971" s="76"/>
      <c r="G971" s="59" t="str">
        <f aca="false">IF(D971="","",IFERROR(INDEX(식자재단가!$F$4:$F$203,MATCH(D971,식자재단가!$C$4:$C$203,0)),""))</f>
        <v/>
      </c>
      <c r="H971" s="50"/>
      <c r="I971" s="82" t="str">
        <f aca="false">IF(OR(F971="",H971=""),"",F971*H971)</f>
        <v/>
      </c>
      <c r="J971" s="83" t="str">
        <f aca="false">IF(D971="","",IFERROR(INDEX(식자재단가!$M$4:$M$203,MATCH(D971,식자재단가!$C$4:$C$203,0)),"과세"))</f>
        <v/>
      </c>
      <c r="K971" s="28" t="str">
        <f aca="false">IF(I971="","",IF(J971="과세",ROUND(I971*0.1,0),0))</f>
        <v/>
      </c>
      <c r="L971" s="28" t="str">
        <f aca="false">IF(I971="","",I971+K971)</f>
        <v/>
      </c>
      <c r="M971" s="10"/>
      <c r="N971" s="80"/>
      <c r="O971" s="80"/>
      <c r="P971" s="59" t="str">
        <f aca="false">IF(E971="","",IFERROR(INDEX(기본설정!$H$4:$H$14,MATCH(E971,기본설정!$G$4:$G$14,0)),""))</f>
        <v/>
      </c>
    </row>
    <row r="972" customFormat="false" ht="15" hidden="false" customHeight="false" outlineLevel="0" collapsed="false">
      <c r="A972" s="73"/>
      <c r="B972" s="10"/>
      <c r="C972" s="80"/>
      <c r="D972" s="80"/>
      <c r="E972" s="81" t="str">
        <f aca="false">IF(D972="","",IFERROR(INDEX(식자재단가!$B$4:$B$203,MATCH(D972,식자재단가!$C$4:$C$203,0)),""))</f>
        <v/>
      </c>
      <c r="F972" s="76"/>
      <c r="G972" s="59" t="str">
        <f aca="false">IF(D972="","",IFERROR(INDEX(식자재단가!$F$4:$F$203,MATCH(D972,식자재단가!$C$4:$C$203,0)),""))</f>
        <v/>
      </c>
      <c r="H972" s="50"/>
      <c r="I972" s="82" t="str">
        <f aca="false">IF(OR(F972="",H972=""),"",F972*H972)</f>
        <v/>
      </c>
      <c r="J972" s="83" t="str">
        <f aca="false">IF(D972="","",IFERROR(INDEX(식자재단가!$M$4:$M$203,MATCH(D972,식자재단가!$C$4:$C$203,0)),"과세"))</f>
        <v/>
      </c>
      <c r="K972" s="28" t="str">
        <f aca="false">IF(I972="","",IF(J972="과세",ROUND(I972*0.1,0),0))</f>
        <v/>
      </c>
      <c r="L972" s="28" t="str">
        <f aca="false">IF(I972="","",I972+K972)</f>
        <v/>
      </c>
      <c r="M972" s="10"/>
      <c r="N972" s="80"/>
      <c r="O972" s="80"/>
      <c r="P972" s="59" t="str">
        <f aca="false">IF(E972="","",IFERROR(INDEX(기본설정!$H$4:$H$14,MATCH(E972,기본설정!$G$4:$G$14,0)),""))</f>
        <v/>
      </c>
    </row>
    <row r="973" customFormat="false" ht="15" hidden="false" customHeight="false" outlineLevel="0" collapsed="false">
      <c r="A973" s="73"/>
      <c r="B973" s="10"/>
      <c r="C973" s="80"/>
      <c r="D973" s="80"/>
      <c r="E973" s="81" t="str">
        <f aca="false">IF(D973="","",IFERROR(INDEX(식자재단가!$B$4:$B$203,MATCH(D973,식자재단가!$C$4:$C$203,0)),""))</f>
        <v/>
      </c>
      <c r="F973" s="76"/>
      <c r="G973" s="59" t="str">
        <f aca="false">IF(D973="","",IFERROR(INDEX(식자재단가!$F$4:$F$203,MATCH(D973,식자재단가!$C$4:$C$203,0)),""))</f>
        <v/>
      </c>
      <c r="H973" s="50"/>
      <c r="I973" s="82" t="str">
        <f aca="false">IF(OR(F973="",H973=""),"",F973*H973)</f>
        <v/>
      </c>
      <c r="J973" s="83" t="str">
        <f aca="false">IF(D973="","",IFERROR(INDEX(식자재단가!$M$4:$M$203,MATCH(D973,식자재단가!$C$4:$C$203,0)),"과세"))</f>
        <v/>
      </c>
      <c r="K973" s="28" t="str">
        <f aca="false">IF(I973="","",IF(J973="과세",ROUND(I973*0.1,0),0))</f>
        <v/>
      </c>
      <c r="L973" s="28" t="str">
        <f aca="false">IF(I973="","",I973+K973)</f>
        <v/>
      </c>
      <c r="M973" s="10"/>
      <c r="N973" s="80"/>
      <c r="O973" s="80"/>
      <c r="P973" s="59" t="str">
        <f aca="false">IF(E973="","",IFERROR(INDEX(기본설정!$H$4:$H$14,MATCH(E973,기본설정!$G$4:$G$14,0)),""))</f>
        <v/>
      </c>
    </row>
    <row r="974" customFormat="false" ht="15" hidden="false" customHeight="false" outlineLevel="0" collapsed="false">
      <c r="A974" s="73"/>
      <c r="B974" s="10"/>
      <c r="C974" s="80"/>
      <c r="D974" s="80"/>
      <c r="E974" s="81" t="str">
        <f aca="false">IF(D974="","",IFERROR(INDEX(식자재단가!$B$4:$B$203,MATCH(D974,식자재단가!$C$4:$C$203,0)),""))</f>
        <v/>
      </c>
      <c r="F974" s="76"/>
      <c r="G974" s="59" t="str">
        <f aca="false">IF(D974="","",IFERROR(INDEX(식자재단가!$F$4:$F$203,MATCH(D974,식자재단가!$C$4:$C$203,0)),""))</f>
        <v/>
      </c>
      <c r="H974" s="50"/>
      <c r="I974" s="82" t="str">
        <f aca="false">IF(OR(F974="",H974=""),"",F974*H974)</f>
        <v/>
      </c>
      <c r="J974" s="83" t="str">
        <f aca="false">IF(D974="","",IFERROR(INDEX(식자재단가!$M$4:$M$203,MATCH(D974,식자재단가!$C$4:$C$203,0)),"과세"))</f>
        <v/>
      </c>
      <c r="K974" s="28" t="str">
        <f aca="false">IF(I974="","",IF(J974="과세",ROUND(I974*0.1,0),0))</f>
        <v/>
      </c>
      <c r="L974" s="28" t="str">
        <f aca="false">IF(I974="","",I974+K974)</f>
        <v/>
      </c>
      <c r="M974" s="10"/>
      <c r="N974" s="80"/>
      <c r="O974" s="80"/>
      <c r="P974" s="59" t="str">
        <f aca="false">IF(E974="","",IFERROR(INDEX(기본설정!$H$4:$H$14,MATCH(E974,기본설정!$G$4:$G$14,0)),""))</f>
        <v/>
      </c>
    </row>
    <row r="975" customFormat="false" ht="15" hidden="false" customHeight="false" outlineLevel="0" collapsed="false">
      <c r="A975" s="73"/>
      <c r="B975" s="10"/>
      <c r="C975" s="80"/>
      <c r="D975" s="80"/>
      <c r="E975" s="81" t="str">
        <f aca="false">IF(D975="","",IFERROR(INDEX(식자재단가!$B$4:$B$203,MATCH(D975,식자재단가!$C$4:$C$203,0)),""))</f>
        <v/>
      </c>
      <c r="F975" s="76"/>
      <c r="G975" s="59" t="str">
        <f aca="false">IF(D975="","",IFERROR(INDEX(식자재단가!$F$4:$F$203,MATCH(D975,식자재단가!$C$4:$C$203,0)),""))</f>
        <v/>
      </c>
      <c r="H975" s="50"/>
      <c r="I975" s="82" t="str">
        <f aca="false">IF(OR(F975="",H975=""),"",F975*H975)</f>
        <v/>
      </c>
      <c r="J975" s="83" t="str">
        <f aca="false">IF(D975="","",IFERROR(INDEX(식자재단가!$M$4:$M$203,MATCH(D975,식자재단가!$C$4:$C$203,0)),"과세"))</f>
        <v/>
      </c>
      <c r="K975" s="28" t="str">
        <f aca="false">IF(I975="","",IF(J975="과세",ROUND(I975*0.1,0),0))</f>
        <v/>
      </c>
      <c r="L975" s="28" t="str">
        <f aca="false">IF(I975="","",I975+K975)</f>
        <v/>
      </c>
      <c r="M975" s="10"/>
      <c r="N975" s="80"/>
      <c r="O975" s="80"/>
      <c r="P975" s="59" t="str">
        <f aca="false">IF(E975="","",IFERROR(INDEX(기본설정!$H$4:$H$14,MATCH(E975,기본설정!$G$4:$G$14,0)),""))</f>
        <v/>
      </c>
    </row>
    <row r="976" customFormat="false" ht="15" hidden="false" customHeight="false" outlineLevel="0" collapsed="false">
      <c r="A976" s="73"/>
      <c r="B976" s="10"/>
      <c r="C976" s="80"/>
      <c r="D976" s="80"/>
      <c r="E976" s="81" t="str">
        <f aca="false">IF(D976="","",IFERROR(INDEX(식자재단가!$B$4:$B$203,MATCH(D976,식자재단가!$C$4:$C$203,0)),""))</f>
        <v/>
      </c>
      <c r="F976" s="76"/>
      <c r="G976" s="59" t="str">
        <f aca="false">IF(D976="","",IFERROR(INDEX(식자재단가!$F$4:$F$203,MATCH(D976,식자재단가!$C$4:$C$203,0)),""))</f>
        <v/>
      </c>
      <c r="H976" s="50"/>
      <c r="I976" s="82" t="str">
        <f aca="false">IF(OR(F976="",H976=""),"",F976*H976)</f>
        <v/>
      </c>
      <c r="J976" s="83" t="str">
        <f aca="false">IF(D976="","",IFERROR(INDEX(식자재단가!$M$4:$M$203,MATCH(D976,식자재단가!$C$4:$C$203,0)),"과세"))</f>
        <v/>
      </c>
      <c r="K976" s="28" t="str">
        <f aca="false">IF(I976="","",IF(J976="과세",ROUND(I976*0.1,0),0))</f>
        <v/>
      </c>
      <c r="L976" s="28" t="str">
        <f aca="false">IF(I976="","",I976+K976)</f>
        <v/>
      </c>
      <c r="M976" s="10"/>
      <c r="N976" s="80"/>
      <c r="O976" s="80"/>
      <c r="P976" s="59" t="str">
        <f aca="false">IF(E976="","",IFERROR(INDEX(기본설정!$H$4:$H$14,MATCH(E976,기본설정!$G$4:$G$14,0)),""))</f>
        <v/>
      </c>
    </row>
    <row r="977" customFormat="false" ht="15" hidden="false" customHeight="false" outlineLevel="0" collapsed="false">
      <c r="A977" s="73"/>
      <c r="B977" s="10"/>
      <c r="C977" s="80"/>
      <c r="D977" s="80"/>
      <c r="E977" s="81" t="str">
        <f aca="false">IF(D977="","",IFERROR(INDEX(식자재단가!$B$4:$B$203,MATCH(D977,식자재단가!$C$4:$C$203,0)),""))</f>
        <v/>
      </c>
      <c r="F977" s="76"/>
      <c r="G977" s="59" t="str">
        <f aca="false">IF(D977="","",IFERROR(INDEX(식자재단가!$F$4:$F$203,MATCH(D977,식자재단가!$C$4:$C$203,0)),""))</f>
        <v/>
      </c>
      <c r="H977" s="50"/>
      <c r="I977" s="82" t="str">
        <f aca="false">IF(OR(F977="",H977=""),"",F977*H977)</f>
        <v/>
      </c>
      <c r="J977" s="83" t="str">
        <f aca="false">IF(D977="","",IFERROR(INDEX(식자재단가!$M$4:$M$203,MATCH(D977,식자재단가!$C$4:$C$203,0)),"과세"))</f>
        <v/>
      </c>
      <c r="K977" s="28" t="str">
        <f aca="false">IF(I977="","",IF(J977="과세",ROUND(I977*0.1,0),0))</f>
        <v/>
      </c>
      <c r="L977" s="28" t="str">
        <f aca="false">IF(I977="","",I977+K977)</f>
        <v/>
      </c>
      <c r="M977" s="10"/>
      <c r="N977" s="80"/>
      <c r="O977" s="80"/>
      <c r="P977" s="59" t="str">
        <f aca="false">IF(E977="","",IFERROR(INDEX(기본설정!$H$4:$H$14,MATCH(E977,기본설정!$G$4:$G$14,0)),""))</f>
        <v/>
      </c>
    </row>
    <row r="978" customFormat="false" ht="15" hidden="false" customHeight="false" outlineLevel="0" collapsed="false">
      <c r="A978" s="73"/>
      <c r="B978" s="10"/>
      <c r="C978" s="80"/>
      <c r="D978" s="80"/>
      <c r="E978" s="81" t="str">
        <f aca="false">IF(D978="","",IFERROR(INDEX(식자재단가!$B$4:$B$203,MATCH(D978,식자재단가!$C$4:$C$203,0)),""))</f>
        <v/>
      </c>
      <c r="F978" s="76"/>
      <c r="G978" s="59" t="str">
        <f aca="false">IF(D978="","",IFERROR(INDEX(식자재단가!$F$4:$F$203,MATCH(D978,식자재단가!$C$4:$C$203,0)),""))</f>
        <v/>
      </c>
      <c r="H978" s="50"/>
      <c r="I978" s="82" t="str">
        <f aca="false">IF(OR(F978="",H978=""),"",F978*H978)</f>
        <v/>
      </c>
      <c r="J978" s="83" t="str">
        <f aca="false">IF(D978="","",IFERROR(INDEX(식자재단가!$M$4:$M$203,MATCH(D978,식자재단가!$C$4:$C$203,0)),"과세"))</f>
        <v/>
      </c>
      <c r="K978" s="28" t="str">
        <f aca="false">IF(I978="","",IF(J978="과세",ROUND(I978*0.1,0),0))</f>
        <v/>
      </c>
      <c r="L978" s="28" t="str">
        <f aca="false">IF(I978="","",I978+K978)</f>
        <v/>
      </c>
      <c r="M978" s="10"/>
      <c r="N978" s="80"/>
      <c r="O978" s="80"/>
      <c r="P978" s="59" t="str">
        <f aca="false">IF(E978="","",IFERROR(INDEX(기본설정!$H$4:$H$14,MATCH(E978,기본설정!$G$4:$G$14,0)),""))</f>
        <v/>
      </c>
    </row>
    <row r="979" customFormat="false" ht="15" hidden="false" customHeight="false" outlineLevel="0" collapsed="false">
      <c r="A979" s="73"/>
      <c r="B979" s="10"/>
      <c r="C979" s="80"/>
      <c r="D979" s="80"/>
      <c r="E979" s="81" t="str">
        <f aca="false">IF(D979="","",IFERROR(INDEX(식자재단가!$B$4:$B$203,MATCH(D979,식자재단가!$C$4:$C$203,0)),""))</f>
        <v/>
      </c>
      <c r="F979" s="76"/>
      <c r="G979" s="59" t="str">
        <f aca="false">IF(D979="","",IFERROR(INDEX(식자재단가!$F$4:$F$203,MATCH(D979,식자재단가!$C$4:$C$203,0)),""))</f>
        <v/>
      </c>
      <c r="H979" s="50"/>
      <c r="I979" s="82" t="str">
        <f aca="false">IF(OR(F979="",H979=""),"",F979*H979)</f>
        <v/>
      </c>
      <c r="J979" s="83" t="str">
        <f aca="false">IF(D979="","",IFERROR(INDEX(식자재단가!$M$4:$M$203,MATCH(D979,식자재단가!$C$4:$C$203,0)),"과세"))</f>
        <v/>
      </c>
      <c r="K979" s="28" t="str">
        <f aca="false">IF(I979="","",IF(J979="과세",ROUND(I979*0.1,0),0))</f>
        <v/>
      </c>
      <c r="L979" s="28" t="str">
        <f aca="false">IF(I979="","",I979+K979)</f>
        <v/>
      </c>
      <c r="M979" s="10"/>
      <c r="N979" s="80"/>
      <c r="O979" s="80"/>
      <c r="P979" s="59" t="str">
        <f aca="false">IF(E979="","",IFERROR(INDEX(기본설정!$H$4:$H$14,MATCH(E979,기본설정!$G$4:$G$14,0)),""))</f>
        <v/>
      </c>
    </row>
    <row r="980" customFormat="false" ht="15" hidden="false" customHeight="false" outlineLevel="0" collapsed="false">
      <c r="A980" s="73"/>
      <c r="B980" s="10"/>
      <c r="C980" s="80"/>
      <c r="D980" s="80"/>
      <c r="E980" s="81" t="str">
        <f aca="false">IF(D980="","",IFERROR(INDEX(식자재단가!$B$4:$B$203,MATCH(D980,식자재단가!$C$4:$C$203,0)),""))</f>
        <v/>
      </c>
      <c r="F980" s="76"/>
      <c r="G980" s="59" t="str">
        <f aca="false">IF(D980="","",IFERROR(INDEX(식자재단가!$F$4:$F$203,MATCH(D980,식자재단가!$C$4:$C$203,0)),""))</f>
        <v/>
      </c>
      <c r="H980" s="50"/>
      <c r="I980" s="82" t="str">
        <f aca="false">IF(OR(F980="",H980=""),"",F980*H980)</f>
        <v/>
      </c>
      <c r="J980" s="83" t="str">
        <f aca="false">IF(D980="","",IFERROR(INDEX(식자재단가!$M$4:$M$203,MATCH(D980,식자재단가!$C$4:$C$203,0)),"과세"))</f>
        <v/>
      </c>
      <c r="K980" s="28" t="str">
        <f aca="false">IF(I980="","",IF(J980="과세",ROUND(I980*0.1,0),0))</f>
        <v/>
      </c>
      <c r="L980" s="28" t="str">
        <f aca="false">IF(I980="","",I980+K980)</f>
        <v/>
      </c>
      <c r="M980" s="10"/>
      <c r="N980" s="80"/>
      <c r="O980" s="80"/>
      <c r="P980" s="59" t="str">
        <f aca="false">IF(E980="","",IFERROR(INDEX(기본설정!$H$4:$H$14,MATCH(E980,기본설정!$G$4:$G$14,0)),""))</f>
        <v/>
      </c>
    </row>
    <row r="981" customFormat="false" ht="15" hidden="false" customHeight="false" outlineLevel="0" collapsed="false">
      <c r="A981" s="73"/>
      <c r="B981" s="10"/>
      <c r="C981" s="80"/>
      <c r="D981" s="80"/>
      <c r="E981" s="81" t="str">
        <f aca="false">IF(D981="","",IFERROR(INDEX(식자재단가!$B$4:$B$203,MATCH(D981,식자재단가!$C$4:$C$203,0)),""))</f>
        <v/>
      </c>
      <c r="F981" s="76"/>
      <c r="G981" s="59" t="str">
        <f aca="false">IF(D981="","",IFERROR(INDEX(식자재단가!$F$4:$F$203,MATCH(D981,식자재단가!$C$4:$C$203,0)),""))</f>
        <v/>
      </c>
      <c r="H981" s="50"/>
      <c r="I981" s="82" t="str">
        <f aca="false">IF(OR(F981="",H981=""),"",F981*H981)</f>
        <v/>
      </c>
      <c r="J981" s="83" t="str">
        <f aca="false">IF(D981="","",IFERROR(INDEX(식자재단가!$M$4:$M$203,MATCH(D981,식자재단가!$C$4:$C$203,0)),"과세"))</f>
        <v/>
      </c>
      <c r="K981" s="28" t="str">
        <f aca="false">IF(I981="","",IF(J981="과세",ROUND(I981*0.1,0),0))</f>
        <v/>
      </c>
      <c r="L981" s="28" t="str">
        <f aca="false">IF(I981="","",I981+K981)</f>
        <v/>
      </c>
      <c r="M981" s="10"/>
      <c r="N981" s="80"/>
      <c r="O981" s="80"/>
      <c r="P981" s="59" t="str">
        <f aca="false">IF(E981="","",IFERROR(INDEX(기본설정!$H$4:$H$14,MATCH(E981,기본설정!$G$4:$G$14,0)),""))</f>
        <v/>
      </c>
    </row>
    <row r="982" customFormat="false" ht="15" hidden="false" customHeight="false" outlineLevel="0" collapsed="false">
      <c r="A982" s="73"/>
      <c r="B982" s="10"/>
      <c r="C982" s="80"/>
      <c r="D982" s="80"/>
      <c r="E982" s="81" t="str">
        <f aca="false">IF(D982="","",IFERROR(INDEX(식자재단가!$B$4:$B$203,MATCH(D982,식자재단가!$C$4:$C$203,0)),""))</f>
        <v/>
      </c>
      <c r="F982" s="76"/>
      <c r="G982" s="59" t="str">
        <f aca="false">IF(D982="","",IFERROR(INDEX(식자재단가!$F$4:$F$203,MATCH(D982,식자재단가!$C$4:$C$203,0)),""))</f>
        <v/>
      </c>
      <c r="H982" s="50"/>
      <c r="I982" s="82" t="str">
        <f aca="false">IF(OR(F982="",H982=""),"",F982*H982)</f>
        <v/>
      </c>
      <c r="J982" s="83" t="str">
        <f aca="false">IF(D982="","",IFERROR(INDEX(식자재단가!$M$4:$M$203,MATCH(D982,식자재단가!$C$4:$C$203,0)),"과세"))</f>
        <v/>
      </c>
      <c r="K982" s="28" t="str">
        <f aca="false">IF(I982="","",IF(J982="과세",ROUND(I982*0.1,0),0))</f>
        <v/>
      </c>
      <c r="L982" s="28" t="str">
        <f aca="false">IF(I982="","",I982+K982)</f>
        <v/>
      </c>
      <c r="M982" s="10"/>
      <c r="N982" s="80"/>
      <c r="O982" s="80"/>
      <c r="P982" s="59" t="str">
        <f aca="false">IF(E982="","",IFERROR(INDEX(기본설정!$H$4:$H$14,MATCH(E982,기본설정!$G$4:$G$14,0)),""))</f>
        <v/>
      </c>
    </row>
    <row r="983" customFormat="false" ht="15" hidden="false" customHeight="false" outlineLevel="0" collapsed="false">
      <c r="A983" s="73"/>
      <c r="B983" s="10"/>
      <c r="C983" s="80"/>
      <c r="D983" s="80"/>
      <c r="E983" s="81" t="str">
        <f aca="false">IF(D983="","",IFERROR(INDEX(식자재단가!$B$4:$B$203,MATCH(D983,식자재단가!$C$4:$C$203,0)),""))</f>
        <v/>
      </c>
      <c r="F983" s="76"/>
      <c r="G983" s="59" t="str">
        <f aca="false">IF(D983="","",IFERROR(INDEX(식자재단가!$F$4:$F$203,MATCH(D983,식자재단가!$C$4:$C$203,0)),""))</f>
        <v/>
      </c>
      <c r="H983" s="50"/>
      <c r="I983" s="82" t="str">
        <f aca="false">IF(OR(F983="",H983=""),"",F983*H983)</f>
        <v/>
      </c>
      <c r="J983" s="83" t="str">
        <f aca="false">IF(D983="","",IFERROR(INDEX(식자재단가!$M$4:$M$203,MATCH(D983,식자재단가!$C$4:$C$203,0)),"과세"))</f>
        <v/>
      </c>
      <c r="K983" s="28" t="str">
        <f aca="false">IF(I983="","",IF(J983="과세",ROUND(I983*0.1,0),0))</f>
        <v/>
      </c>
      <c r="L983" s="28" t="str">
        <f aca="false">IF(I983="","",I983+K983)</f>
        <v/>
      </c>
      <c r="M983" s="10"/>
      <c r="N983" s="80"/>
      <c r="O983" s="80"/>
      <c r="P983" s="59" t="str">
        <f aca="false">IF(E983="","",IFERROR(INDEX(기본설정!$H$4:$H$14,MATCH(E983,기본설정!$G$4:$G$14,0)),""))</f>
        <v/>
      </c>
    </row>
    <row r="984" customFormat="false" ht="15" hidden="false" customHeight="false" outlineLevel="0" collapsed="false">
      <c r="A984" s="73"/>
      <c r="B984" s="10"/>
      <c r="C984" s="80"/>
      <c r="D984" s="80"/>
      <c r="E984" s="81" t="str">
        <f aca="false">IF(D984="","",IFERROR(INDEX(식자재단가!$B$4:$B$203,MATCH(D984,식자재단가!$C$4:$C$203,0)),""))</f>
        <v/>
      </c>
      <c r="F984" s="76"/>
      <c r="G984" s="59" t="str">
        <f aca="false">IF(D984="","",IFERROR(INDEX(식자재단가!$F$4:$F$203,MATCH(D984,식자재단가!$C$4:$C$203,0)),""))</f>
        <v/>
      </c>
      <c r="H984" s="50"/>
      <c r="I984" s="82" t="str">
        <f aca="false">IF(OR(F984="",H984=""),"",F984*H984)</f>
        <v/>
      </c>
      <c r="J984" s="83" t="str">
        <f aca="false">IF(D984="","",IFERROR(INDEX(식자재단가!$M$4:$M$203,MATCH(D984,식자재단가!$C$4:$C$203,0)),"과세"))</f>
        <v/>
      </c>
      <c r="K984" s="28" t="str">
        <f aca="false">IF(I984="","",IF(J984="과세",ROUND(I984*0.1,0),0))</f>
        <v/>
      </c>
      <c r="L984" s="28" t="str">
        <f aca="false">IF(I984="","",I984+K984)</f>
        <v/>
      </c>
      <c r="M984" s="10"/>
      <c r="N984" s="80"/>
      <c r="O984" s="80"/>
      <c r="P984" s="59" t="str">
        <f aca="false">IF(E984="","",IFERROR(INDEX(기본설정!$H$4:$H$14,MATCH(E984,기본설정!$G$4:$G$14,0)),""))</f>
        <v/>
      </c>
    </row>
    <row r="985" customFormat="false" ht="15" hidden="false" customHeight="false" outlineLevel="0" collapsed="false">
      <c r="A985" s="73"/>
      <c r="B985" s="10"/>
      <c r="C985" s="80"/>
      <c r="D985" s="80"/>
      <c r="E985" s="81" t="str">
        <f aca="false">IF(D985="","",IFERROR(INDEX(식자재단가!$B$4:$B$203,MATCH(D985,식자재단가!$C$4:$C$203,0)),""))</f>
        <v/>
      </c>
      <c r="F985" s="76"/>
      <c r="G985" s="59" t="str">
        <f aca="false">IF(D985="","",IFERROR(INDEX(식자재단가!$F$4:$F$203,MATCH(D985,식자재단가!$C$4:$C$203,0)),""))</f>
        <v/>
      </c>
      <c r="H985" s="50"/>
      <c r="I985" s="82" t="str">
        <f aca="false">IF(OR(F985="",H985=""),"",F985*H985)</f>
        <v/>
      </c>
      <c r="J985" s="83" t="str">
        <f aca="false">IF(D985="","",IFERROR(INDEX(식자재단가!$M$4:$M$203,MATCH(D985,식자재단가!$C$4:$C$203,0)),"과세"))</f>
        <v/>
      </c>
      <c r="K985" s="28" t="str">
        <f aca="false">IF(I985="","",IF(J985="과세",ROUND(I985*0.1,0),0))</f>
        <v/>
      </c>
      <c r="L985" s="28" t="str">
        <f aca="false">IF(I985="","",I985+K985)</f>
        <v/>
      </c>
      <c r="M985" s="10"/>
      <c r="N985" s="80"/>
      <c r="O985" s="80"/>
      <c r="P985" s="59" t="str">
        <f aca="false">IF(E985="","",IFERROR(INDEX(기본설정!$H$4:$H$14,MATCH(E985,기본설정!$G$4:$G$14,0)),""))</f>
        <v/>
      </c>
    </row>
    <row r="986" customFormat="false" ht="15" hidden="false" customHeight="false" outlineLevel="0" collapsed="false">
      <c r="A986" s="73"/>
      <c r="B986" s="10"/>
      <c r="C986" s="80"/>
      <c r="D986" s="80"/>
      <c r="E986" s="81" t="str">
        <f aca="false">IF(D986="","",IFERROR(INDEX(식자재단가!$B$4:$B$203,MATCH(D986,식자재단가!$C$4:$C$203,0)),""))</f>
        <v/>
      </c>
      <c r="F986" s="76"/>
      <c r="G986" s="59" t="str">
        <f aca="false">IF(D986="","",IFERROR(INDEX(식자재단가!$F$4:$F$203,MATCH(D986,식자재단가!$C$4:$C$203,0)),""))</f>
        <v/>
      </c>
      <c r="H986" s="50"/>
      <c r="I986" s="82" t="str">
        <f aca="false">IF(OR(F986="",H986=""),"",F986*H986)</f>
        <v/>
      </c>
      <c r="J986" s="83" t="str">
        <f aca="false">IF(D986="","",IFERROR(INDEX(식자재단가!$M$4:$M$203,MATCH(D986,식자재단가!$C$4:$C$203,0)),"과세"))</f>
        <v/>
      </c>
      <c r="K986" s="28" t="str">
        <f aca="false">IF(I986="","",IF(J986="과세",ROUND(I986*0.1,0),0))</f>
        <v/>
      </c>
      <c r="L986" s="28" t="str">
        <f aca="false">IF(I986="","",I986+K986)</f>
        <v/>
      </c>
      <c r="M986" s="10"/>
      <c r="N986" s="80"/>
      <c r="O986" s="80"/>
      <c r="P986" s="59" t="str">
        <f aca="false">IF(E986="","",IFERROR(INDEX(기본설정!$H$4:$H$14,MATCH(E986,기본설정!$G$4:$G$14,0)),""))</f>
        <v/>
      </c>
    </row>
    <row r="987" customFormat="false" ht="15" hidden="false" customHeight="false" outlineLevel="0" collapsed="false">
      <c r="A987" s="73"/>
      <c r="B987" s="10"/>
      <c r="C987" s="80"/>
      <c r="D987" s="80"/>
      <c r="E987" s="81" t="str">
        <f aca="false">IF(D987="","",IFERROR(INDEX(식자재단가!$B$4:$B$203,MATCH(D987,식자재단가!$C$4:$C$203,0)),""))</f>
        <v/>
      </c>
      <c r="F987" s="76"/>
      <c r="G987" s="59" t="str">
        <f aca="false">IF(D987="","",IFERROR(INDEX(식자재단가!$F$4:$F$203,MATCH(D987,식자재단가!$C$4:$C$203,0)),""))</f>
        <v/>
      </c>
      <c r="H987" s="50"/>
      <c r="I987" s="82" t="str">
        <f aca="false">IF(OR(F987="",H987=""),"",F987*H987)</f>
        <v/>
      </c>
      <c r="J987" s="83" t="str">
        <f aca="false">IF(D987="","",IFERROR(INDEX(식자재단가!$M$4:$M$203,MATCH(D987,식자재단가!$C$4:$C$203,0)),"과세"))</f>
        <v/>
      </c>
      <c r="K987" s="28" t="str">
        <f aca="false">IF(I987="","",IF(J987="과세",ROUND(I987*0.1,0),0))</f>
        <v/>
      </c>
      <c r="L987" s="28" t="str">
        <f aca="false">IF(I987="","",I987+K987)</f>
        <v/>
      </c>
      <c r="M987" s="10"/>
      <c r="N987" s="80"/>
      <c r="O987" s="80"/>
      <c r="P987" s="59" t="str">
        <f aca="false">IF(E987="","",IFERROR(INDEX(기본설정!$H$4:$H$14,MATCH(E987,기본설정!$G$4:$G$14,0)),""))</f>
        <v/>
      </c>
    </row>
    <row r="988" customFormat="false" ht="15" hidden="false" customHeight="false" outlineLevel="0" collapsed="false">
      <c r="A988" s="73"/>
      <c r="B988" s="10"/>
      <c r="C988" s="80"/>
      <c r="D988" s="80"/>
      <c r="E988" s="81" t="str">
        <f aca="false">IF(D988="","",IFERROR(INDEX(식자재단가!$B$4:$B$203,MATCH(D988,식자재단가!$C$4:$C$203,0)),""))</f>
        <v/>
      </c>
      <c r="F988" s="76"/>
      <c r="G988" s="59" t="str">
        <f aca="false">IF(D988="","",IFERROR(INDEX(식자재단가!$F$4:$F$203,MATCH(D988,식자재단가!$C$4:$C$203,0)),""))</f>
        <v/>
      </c>
      <c r="H988" s="50"/>
      <c r="I988" s="82" t="str">
        <f aca="false">IF(OR(F988="",H988=""),"",F988*H988)</f>
        <v/>
      </c>
      <c r="J988" s="83" t="str">
        <f aca="false">IF(D988="","",IFERROR(INDEX(식자재단가!$M$4:$M$203,MATCH(D988,식자재단가!$C$4:$C$203,0)),"과세"))</f>
        <v/>
      </c>
      <c r="K988" s="28" t="str">
        <f aca="false">IF(I988="","",IF(J988="과세",ROUND(I988*0.1,0),0))</f>
        <v/>
      </c>
      <c r="L988" s="28" t="str">
        <f aca="false">IF(I988="","",I988+K988)</f>
        <v/>
      </c>
      <c r="M988" s="10"/>
      <c r="N988" s="80"/>
      <c r="O988" s="80"/>
      <c r="P988" s="59" t="str">
        <f aca="false">IF(E988="","",IFERROR(INDEX(기본설정!$H$4:$H$14,MATCH(E988,기본설정!$G$4:$G$14,0)),""))</f>
        <v/>
      </c>
    </row>
    <row r="989" customFormat="false" ht="15" hidden="false" customHeight="false" outlineLevel="0" collapsed="false">
      <c r="A989" s="73"/>
      <c r="B989" s="10"/>
      <c r="C989" s="80"/>
      <c r="D989" s="80"/>
      <c r="E989" s="81" t="str">
        <f aca="false">IF(D989="","",IFERROR(INDEX(식자재단가!$B$4:$B$203,MATCH(D989,식자재단가!$C$4:$C$203,0)),""))</f>
        <v/>
      </c>
      <c r="F989" s="76"/>
      <c r="G989" s="59" t="str">
        <f aca="false">IF(D989="","",IFERROR(INDEX(식자재단가!$F$4:$F$203,MATCH(D989,식자재단가!$C$4:$C$203,0)),""))</f>
        <v/>
      </c>
      <c r="H989" s="50"/>
      <c r="I989" s="82" t="str">
        <f aca="false">IF(OR(F989="",H989=""),"",F989*H989)</f>
        <v/>
      </c>
      <c r="J989" s="83" t="str">
        <f aca="false">IF(D989="","",IFERROR(INDEX(식자재단가!$M$4:$M$203,MATCH(D989,식자재단가!$C$4:$C$203,0)),"과세"))</f>
        <v/>
      </c>
      <c r="K989" s="28" t="str">
        <f aca="false">IF(I989="","",IF(J989="과세",ROUND(I989*0.1,0),0))</f>
        <v/>
      </c>
      <c r="L989" s="28" t="str">
        <f aca="false">IF(I989="","",I989+K989)</f>
        <v/>
      </c>
      <c r="M989" s="10"/>
      <c r="N989" s="80"/>
      <c r="O989" s="80"/>
      <c r="P989" s="59" t="str">
        <f aca="false">IF(E989="","",IFERROR(INDEX(기본설정!$H$4:$H$14,MATCH(E989,기본설정!$G$4:$G$14,0)),""))</f>
        <v/>
      </c>
    </row>
    <row r="990" customFormat="false" ht="15" hidden="false" customHeight="false" outlineLevel="0" collapsed="false">
      <c r="A990" s="73"/>
      <c r="B990" s="10"/>
      <c r="C990" s="80"/>
      <c r="D990" s="80"/>
      <c r="E990" s="81" t="str">
        <f aca="false">IF(D990="","",IFERROR(INDEX(식자재단가!$B$4:$B$203,MATCH(D990,식자재단가!$C$4:$C$203,0)),""))</f>
        <v/>
      </c>
      <c r="F990" s="76"/>
      <c r="G990" s="59" t="str">
        <f aca="false">IF(D990="","",IFERROR(INDEX(식자재단가!$F$4:$F$203,MATCH(D990,식자재단가!$C$4:$C$203,0)),""))</f>
        <v/>
      </c>
      <c r="H990" s="50"/>
      <c r="I990" s="82" t="str">
        <f aca="false">IF(OR(F990="",H990=""),"",F990*H990)</f>
        <v/>
      </c>
      <c r="J990" s="83" t="str">
        <f aca="false">IF(D990="","",IFERROR(INDEX(식자재단가!$M$4:$M$203,MATCH(D990,식자재단가!$C$4:$C$203,0)),"과세"))</f>
        <v/>
      </c>
      <c r="K990" s="28" t="str">
        <f aca="false">IF(I990="","",IF(J990="과세",ROUND(I990*0.1,0),0))</f>
        <v/>
      </c>
      <c r="L990" s="28" t="str">
        <f aca="false">IF(I990="","",I990+K990)</f>
        <v/>
      </c>
      <c r="M990" s="10"/>
      <c r="N990" s="80"/>
      <c r="O990" s="80"/>
      <c r="P990" s="59" t="str">
        <f aca="false">IF(E990="","",IFERROR(INDEX(기본설정!$H$4:$H$14,MATCH(E990,기본설정!$G$4:$G$14,0)),""))</f>
        <v/>
      </c>
    </row>
    <row r="991" customFormat="false" ht="15" hidden="false" customHeight="false" outlineLevel="0" collapsed="false">
      <c r="A991" s="73"/>
      <c r="B991" s="10"/>
      <c r="C991" s="80"/>
      <c r="D991" s="80"/>
      <c r="E991" s="81" t="str">
        <f aca="false">IF(D991="","",IFERROR(INDEX(식자재단가!$B$4:$B$203,MATCH(D991,식자재단가!$C$4:$C$203,0)),""))</f>
        <v/>
      </c>
      <c r="F991" s="76"/>
      <c r="G991" s="59" t="str">
        <f aca="false">IF(D991="","",IFERROR(INDEX(식자재단가!$F$4:$F$203,MATCH(D991,식자재단가!$C$4:$C$203,0)),""))</f>
        <v/>
      </c>
      <c r="H991" s="50"/>
      <c r="I991" s="82" t="str">
        <f aca="false">IF(OR(F991="",H991=""),"",F991*H991)</f>
        <v/>
      </c>
      <c r="J991" s="83" t="str">
        <f aca="false">IF(D991="","",IFERROR(INDEX(식자재단가!$M$4:$M$203,MATCH(D991,식자재단가!$C$4:$C$203,0)),"과세"))</f>
        <v/>
      </c>
      <c r="K991" s="28" t="str">
        <f aca="false">IF(I991="","",IF(J991="과세",ROUND(I991*0.1,0),0))</f>
        <v/>
      </c>
      <c r="L991" s="28" t="str">
        <f aca="false">IF(I991="","",I991+K991)</f>
        <v/>
      </c>
      <c r="M991" s="10"/>
      <c r="N991" s="80"/>
      <c r="O991" s="80"/>
      <c r="P991" s="59" t="str">
        <f aca="false">IF(E991="","",IFERROR(INDEX(기본설정!$H$4:$H$14,MATCH(E991,기본설정!$G$4:$G$14,0)),""))</f>
        <v/>
      </c>
    </row>
    <row r="992" customFormat="false" ht="15" hidden="false" customHeight="false" outlineLevel="0" collapsed="false">
      <c r="A992" s="73"/>
      <c r="B992" s="10"/>
      <c r="C992" s="80"/>
      <c r="D992" s="80"/>
      <c r="E992" s="81" t="str">
        <f aca="false">IF(D992="","",IFERROR(INDEX(식자재단가!$B$4:$B$203,MATCH(D992,식자재단가!$C$4:$C$203,0)),""))</f>
        <v/>
      </c>
      <c r="F992" s="76"/>
      <c r="G992" s="59" t="str">
        <f aca="false">IF(D992="","",IFERROR(INDEX(식자재단가!$F$4:$F$203,MATCH(D992,식자재단가!$C$4:$C$203,0)),""))</f>
        <v/>
      </c>
      <c r="H992" s="50"/>
      <c r="I992" s="82" t="str">
        <f aca="false">IF(OR(F992="",H992=""),"",F992*H992)</f>
        <v/>
      </c>
      <c r="J992" s="83" t="str">
        <f aca="false">IF(D992="","",IFERROR(INDEX(식자재단가!$M$4:$M$203,MATCH(D992,식자재단가!$C$4:$C$203,0)),"과세"))</f>
        <v/>
      </c>
      <c r="K992" s="28" t="str">
        <f aca="false">IF(I992="","",IF(J992="과세",ROUND(I992*0.1,0),0))</f>
        <v/>
      </c>
      <c r="L992" s="28" t="str">
        <f aca="false">IF(I992="","",I992+K992)</f>
        <v/>
      </c>
      <c r="M992" s="10"/>
      <c r="N992" s="80"/>
      <c r="O992" s="80"/>
      <c r="P992" s="59" t="str">
        <f aca="false">IF(E992="","",IFERROR(INDEX(기본설정!$H$4:$H$14,MATCH(E992,기본설정!$G$4:$G$14,0)),""))</f>
        <v/>
      </c>
    </row>
    <row r="993" customFormat="false" ht="15" hidden="false" customHeight="false" outlineLevel="0" collapsed="false">
      <c r="A993" s="73"/>
      <c r="B993" s="10"/>
      <c r="C993" s="80"/>
      <c r="D993" s="80"/>
      <c r="E993" s="81" t="str">
        <f aca="false">IF(D993="","",IFERROR(INDEX(식자재단가!$B$4:$B$203,MATCH(D993,식자재단가!$C$4:$C$203,0)),""))</f>
        <v/>
      </c>
      <c r="F993" s="76"/>
      <c r="G993" s="59" t="str">
        <f aca="false">IF(D993="","",IFERROR(INDEX(식자재단가!$F$4:$F$203,MATCH(D993,식자재단가!$C$4:$C$203,0)),""))</f>
        <v/>
      </c>
      <c r="H993" s="50"/>
      <c r="I993" s="82" t="str">
        <f aca="false">IF(OR(F993="",H993=""),"",F993*H993)</f>
        <v/>
      </c>
      <c r="J993" s="83" t="str">
        <f aca="false">IF(D993="","",IFERROR(INDEX(식자재단가!$M$4:$M$203,MATCH(D993,식자재단가!$C$4:$C$203,0)),"과세"))</f>
        <v/>
      </c>
      <c r="K993" s="28" t="str">
        <f aca="false">IF(I993="","",IF(J993="과세",ROUND(I993*0.1,0),0))</f>
        <v/>
      </c>
      <c r="L993" s="28" t="str">
        <f aca="false">IF(I993="","",I993+K993)</f>
        <v/>
      </c>
      <c r="M993" s="10"/>
      <c r="N993" s="80"/>
      <c r="O993" s="80"/>
      <c r="P993" s="59" t="str">
        <f aca="false">IF(E993="","",IFERROR(INDEX(기본설정!$H$4:$H$14,MATCH(E993,기본설정!$G$4:$G$14,0)),""))</f>
        <v/>
      </c>
    </row>
    <row r="994" customFormat="false" ht="15" hidden="false" customHeight="false" outlineLevel="0" collapsed="false">
      <c r="A994" s="73"/>
      <c r="B994" s="10"/>
      <c r="C994" s="80"/>
      <c r="D994" s="80"/>
      <c r="E994" s="81" t="str">
        <f aca="false">IF(D994="","",IFERROR(INDEX(식자재단가!$B$4:$B$203,MATCH(D994,식자재단가!$C$4:$C$203,0)),""))</f>
        <v/>
      </c>
      <c r="F994" s="76"/>
      <c r="G994" s="59" t="str">
        <f aca="false">IF(D994="","",IFERROR(INDEX(식자재단가!$F$4:$F$203,MATCH(D994,식자재단가!$C$4:$C$203,0)),""))</f>
        <v/>
      </c>
      <c r="H994" s="50"/>
      <c r="I994" s="82" t="str">
        <f aca="false">IF(OR(F994="",H994=""),"",F994*H994)</f>
        <v/>
      </c>
      <c r="J994" s="83" t="str">
        <f aca="false">IF(D994="","",IFERROR(INDEX(식자재단가!$M$4:$M$203,MATCH(D994,식자재단가!$C$4:$C$203,0)),"과세"))</f>
        <v/>
      </c>
      <c r="K994" s="28" t="str">
        <f aca="false">IF(I994="","",IF(J994="과세",ROUND(I994*0.1,0),0))</f>
        <v/>
      </c>
      <c r="L994" s="28" t="str">
        <f aca="false">IF(I994="","",I994+K994)</f>
        <v/>
      </c>
      <c r="M994" s="10"/>
      <c r="N994" s="80"/>
      <c r="O994" s="80"/>
      <c r="P994" s="59" t="str">
        <f aca="false">IF(E994="","",IFERROR(INDEX(기본설정!$H$4:$H$14,MATCH(E994,기본설정!$G$4:$G$14,0)),""))</f>
        <v/>
      </c>
    </row>
    <row r="995" customFormat="false" ht="15" hidden="false" customHeight="false" outlineLevel="0" collapsed="false">
      <c r="A995" s="73"/>
      <c r="B995" s="10"/>
      <c r="C995" s="80"/>
      <c r="D995" s="80"/>
      <c r="E995" s="81" t="str">
        <f aca="false">IF(D995="","",IFERROR(INDEX(식자재단가!$B$4:$B$203,MATCH(D995,식자재단가!$C$4:$C$203,0)),""))</f>
        <v/>
      </c>
      <c r="F995" s="76"/>
      <c r="G995" s="59" t="str">
        <f aca="false">IF(D995="","",IFERROR(INDEX(식자재단가!$F$4:$F$203,MATCH(D995,식자재단가!$C$4:$C$203,0)),""))</f>
        <v/>
      </c>
      <c r="H995" s="50"/>
      <c r="I995" s="82" t="str">
        <f aca="false">IF(OR(F995="",H995=""),"",F995*H995)</f>
        <v/>
      </c>
      <c r="J995" s="83" t="str">
        <f aca="false">IF(D995="","",IFERROR(INDEX(식자재단가!$M$4:$M$203,MATCH(D995,식자재단가!$C$4:$C$203,0)),"과세"))</f>
        <v/>
      </c>
      <c r="K995" s="28" t="str">
        <f aca="false">IF(I995="","",IF(J995="과세",ROUND(I995*0.1,0),0))</f>
        <v/>
      </c>
      <c r="L995" s="28" t="str">
        <f aca="false">IF(I995="","",I995+K995)</f>
        <v/>
      </c>
      <c r="M995" s="10"/>
      <c r="N995" s="80"/>
      <c r="O995" s="80"/>
      <c r="P995" s="59" t="str">
        <f aca="false">IF(E995="","",IFERROR(INDEX(기본설정!$H$4:$H$14,MATCH(E995,기본설정!$G$4:$G$14,0)),""))</f>
        <v/>
      </c>
    </row>
    <row r="996" customFormat="false" ht="15" hidden="false" customHeight="false" outlineLevel="0" collapsed="false">
      <c r="A996" s="73"/>
      <c r="B996" s="10"/>
      <c r="C996" s="80"/>
      <c r="D996" s="80"/>
      <c r="E996" s="81" t="str">
        <f aca="false">IF(D996="","",IFERROR(INDEX(식자재단가!$B$4:$B$203,MATCH(D996,식자재단가!$C$4:$C$203,0)),""))</f>
        <v/>
      </c>
      <c r="F996" s="76"/>
      <c r="G996" s="59" t="str">
        <f aca="false">IF(D996="","",IFERROR(INDEX(식자재단가!$F$4:$F$203,MATCH(D996,식자재단가!$C$4:$C$203,0)),""))</f>
        <v/>
      </c>
      <c r="H996" s="50"/>
      <c r="I996" s="82" t="str">
        <f aca="false">IF(OR(F996="",H996=""),"",F996*H996)</f>
        <v/>
      </c>
      <c r="J996" s="83" t="str">
        <f aca="false">IF(D996="","",IFERROR(INDEX(식자재단가!$M$4:$M$203,MATCH(D996,식자재단가!$C$4:$C$203,0)),"과세"))</f>
        <v/>
      </c>
      <c r="K996" s="28" t="str">
        <f aca="false">IF(I996="","",IF(J996="과세",ROUND(I996*0.1,0),0))</f>
        <v/>
      </c>
      <c r="L996" s="28" t="str">
        <f aca="false">IF(I996="","",I996+K996)</f>
        <v/>
      </c>
      <c r="M996" s="10"/>
      <c r="N996" s="80"/>
      <c r="O996" s="80"/>
      <c r="P996" s="59" t="str">
        <f aca="false">IF(E996="","",IFERROR(INDEX(기본설정!$H$4:$H$14,MATCH(E996,기본설정!$G$4:$G$14,0)),""))</f>
        <v/>
      </c>
    </row>
    <row r="997" customFormat="false" ht="15" hidden="false" customHeight="false" outlineLevel="0" collapsed="false">
      <c r="A997" s="73"/>
      <c r="B997" s="10"/>
      <c r="C997" s="80"/>
      <c r="D997" s="80"/>
      <c r="E997" s="81" t="str">
        <f aca="false">IF(D997="","",IFERROR(INDEX(식자재단가!$B$4:$B$203,MATCH(D997,식자재단가!$C$4:$C$203,0)),""))</f>
        <v/>
      </c>
      <c r="F997" s="76"/>
      <c r="G997" s="59" t="str">
        <f aca="false">IF(D997="","",IFERROR(INDEX(식자재단가!$F$4:$F$203,MATCH(D997,식자재단가!$C$4:$C$203,0)),""))</f>
        <v/>
      </c>
      <c r="H997" s="50"/>
      <c r="I997" s="82" t="str">
        <f aca="false">IF(OR(F997="",H997=""),"",F997*H997)</f>
        <v/>
      </c>
      <c r="J997" s="83" t="str">
        <f aca="false">IF(D997="","",IFERROR(INDEX(식자재단가!$M$4:$M$203,MATCH(D997,식자재단가!$C$4:$C$203,0)),"과세"))</f>
        <v/>
      </c>
      <c r="K997" s="28" t="str">
        <f aca="false">IF(I997="","",IF(J997="과세",ROUND(I997*0.1,0),0))</f>
        <v/>
      </c>
      <c r="L997" s="28" t="str">
        <f aca="false">IF(I997="","",I997+K997)</f>
        <v/>
      </c>
      <c r="M997" s="10"/>
      <c r="N997" s="80"/>
      <c r="O997" s="80"/>
      <c r="P997" s="59" t="str">
        <f aca="false">IF(E997="","",IFERROR(INDEX(기본설정!$H$4:$H$14,MATCH(E997,기본설정!$G$4:$G$14,0)),""))</f>
        <v/>
      </c>
    </row>
    <row r="998" customFormat="false" ht="15" hidden="false" customHeight="false" outlineLevel="0" collapsed="false">
      <c r="A998" s="73"/>
      <c r="B998" s="10"/>
      <c r="C998" s="80"/>
      <c r="D998" s="80"/>
      <c r="E998" s="81" t="str">
        <f aca="false">IF(D998="","",IFERROR(INDEX(식자재단가!$B$4:$B$203,MATCH(D998,식자재단가!$C$4:$C$203,0)),""))</f>
        <v/>
      </c>
      <c r="F998" s="76"/>
      <c r="G998" s="59" t="str">
        <f aca="false">IF(D998="","",IFERROR(INDEX(식자재단가!$F$4:$F$203,MATCH(D998,식자재단가!$C$4:$C$203,0)),""))</f>
        <v/>
      </c>
      <c r="H998" s="50"/>
      <c r="I998" s="82" t="str">
        <f aca="false">IF(OR(F998="",H998=""),"",F998*H998)</f>
        <v/>
      </c>
      <c r="J998" s="83" t="str">
        <f aca="false">IF(D998="","",IFERROR(INDEX(식자재단가!$M$4:$M$203,MATCH(D998,식자재단가!$C$4:$C$203,0)),"과세"))</f>
        <v/>
      </c>
      <c r="K998" s="28" t="str">
        <f aca="false">IF(I998="","",IF(J998="과세",ROUND(I998*0.1,0),0))</f>
        <v/>
      </c>
      <c r="L998" s="28" t="str">
        <f aca="false">IF(I998="","",I998+K998)</f>
        <v/>
      </c>
      <c r="M998" s="10"/>
      <c r="N998" s="80"/>
      <c r="O998" s="80"/>
      <c r="P998" s="59" t="str">
        <f aca="false">IF(E998="","",IFERROR(INDEX(기본설정!$H$4:$H$14,MATCH(E998,기본설정!$G$4:$G$14,0)),""))</f>
        <v/>
      </c>
    </row>
    <row r="999" customFormat="false" ht="15" hidden="false" customHeight="false" outlineLevel="0" collapsed="false">
      <c r="A999" s="73"/>
      <c r="B999" s="10"/>
      <c r="C999" s="80"/>
      <c r="D999" s="80"/>
      <c r="E999" s="81" t="str">
        <f aca="false">IF(D999="","",IFERROR(INDEX(식자재단가!$B$4:$B$203,MATCH(D999,식자재단가!$C$4:$C$203,0)),""))</f>
        <v/>
      </c>
      <c r="F999" s="76"/>
      <c r="G999" s="59" t="str">
        <f aca="false">IF(D999="","",IFERROR(INDEX(식자재단가!$F$4:$F$203,MATCH(D999,식자재단가!$C$4:$C$203,0)),""))</f>
        <v/>
      </c>
      <c r="H999" s="50"/>
      <c r="I999" s="82" t="str">
        <f aca="false">IF(OR(F999="",H999=""),"",F999*H999)</f>
        <v/>
      </c>
      <c r="J999" s="83" t="str">
        <f aca="false">IF(D999="","",IFERROR(INDEX(식자재단가!$M$4:$M$203,MATCH(D999,식자재단가!$C$4:$C$203,0)),"과세"))</f>
        <v/>
      </c>
      <c r="K999" s="28" t="str">
        <f aca="false">IF(I999="","",IF(J999="과세",ROUND(I999*0.1,0),0))</f>
        <v/>
      </c>
      <c r="L999" s="28" t="str">
        <f aca="false">IF(I999="","",I999+K999)</f>
        <v/>
      </c>
      <c r="M999" s="10"/>
      <c r="N999" s="80"/>
      <c r="O999" s="80"/>
      <c r="P999" s="59" t="str">
        <f aca="false">IF(E999="","",IFERROR(INDEX(기본설정!$H$4:$H$14,MATCH(E999,기본설정!$G$4:$G$14,0)),""))</f>
        <v/>
      </c>
    </row>
    <row r="1000" customFormat="false" ht="15" hidden="false" customHeight="false" outlineLevel="0" collapsed="false">
      <c r="A1000" s="73"/>
      <c r="B1000" s="10"/>
      <c r="C1000" s="80"/>
      <c r="D1000" s="80"/>
      <c r="E1000" s="81" t="str">
        <f aca="false">IF(D1000="","",IFERROR(INDEX(식자재단가!$B$4:$B$203,MATCH(D1000,식자재단가!$C$4:$C$203,0)),""))</f>
        <v/>
      </c>
      <c r="F1000" s="76"/>
      <c r="G1000" s="59" t="str">
        <f aca="false">IF(D1000="","",IFERROR(INDEX(식자재단가!$F$4:$F$203,MATCH(D1000,식자재단가!$C$4:$C$203,0)),""))</f>
        <v/>
      </c>
      <c r="H1000" s="50"/>
      <c r="I1000" s="82" t="str">
        <f aca="false">IF(OR(F1000="",H1000=""),"",F1000*H1000)</f>
        <v/>
      </c>
      <c r="J1000" s="83" t="str">
        <f aca="false">IF(D1000="","",IFERROR(INDEX(식자재단가!$M$4:$M$203,MATCH(D1000,식자재단가!$C$4:$C$203,0)),"과세"))</f>
        <v/>
      </c>
      <c r="K1000" s="28" t="str">
        <f aca="false">IF(I1000="","",IF(J1000="과세",ROUND(I1000*0.1,0),0))</f>
        <v/>
      </c>
      <c r="L1000" s="28" t="str">
        <f aca="false">IF(I1000="","",I1000+K1000)</f>
        <v/>
      </c>
      <c r="M1000" s="10"/>
      <c r="N1000" s="80"/>
      <c r="O1000" s="80"/>
      <c r="P1000" s="59" t="str">
        <f aca="false">IF(E1000="","",IFERROR(INDEX(기본설정!$H$4:$H$14,MATCH(E1000,기본설정!$G$4:$G$14,0)),""))</f>
        <v/>
      </c>
    </row>
    <row r="1001" customFormat="false" ht="15" hidden="false" customHeight="false" outlineLevel="0" collapsed="false">
      <c r="A1001" s="73"/>
      <c r="B1001" s="10"/>
      <c r="C1001" s="80"/>
      <c r="D1001" s="80"/>
      <c r="E1001" s="81" t="str">
        <f aca="false">IF(D1001="","",IFERROR(INDEX(식자재단가!$B$4:$B$203,MATCH(D1001,식자재단가!$C$4:$C$203,0)),""))</f>
        <v/>
      </c>
      <c r="F1001" s="76"/>
      <c r="G1001" s="59" t="str">
        <f aca="false">IF(D1001="","",IFERROR(INDEX(식자재단가!$F$4:$F$203,MATCH(D1001,식자재단가!$C$4:$C$203,0)),""))</f>
        <v/>
      </c>
      <c r="H1001" s="50"/>
      <c r="I1001" s="82" t="str">
        <f aca="false">IF(OR(F1001="",H1001=""),"",F1001*H1001)</f>
        <v/>
      </c>
      <c r="J1001" s="83" t="str">
        <f aca="false">IF(D1001="","",IFERROR(INDEX(식자재단가!$M$4:$M$203,MATCH(D1001,식자재단가!$C$4:$C$203,0)),"과세"))</f>
        <v/>
      </c>
      <c r="K1001" s="28" t="str">
        <f aca="false">IF(I1001="","",IF(J1001="과세",ROUND(I1001*0.1,0),0))</f>
        <v/>
      </c>
      <c r="L1001" s="28" t="str">
        <f aca="false">IF(I1001="","",I1001+K1001)</f>
        <v/>
      </c>
      <c r="M1001" s="10"/>
      <c r="N1001" s="80"/>
      <c r="O1001" s="80"/>
      <c r="P1001" s="59" t="str">
        <f aca="false">IF(E1001="","",IFERROR(INDEX(기본설정!$H$4:$H$14,MATCH(E1001,기본설정!$G$4:$G$14,0)),""))</f>
        <v/>
      </c>
    </row>
    <row r="1002" customFormat="false" ht="15" hidden="false" customHeight="false" outlineLevel="0" collapsed="false">
      <c r="A1002" s="73"/>
      <c r="B1002" s="10"/>
      <c r="C1002" s="80"/>
      <c r="D1002" s="80"/>
      <c r="E1002" s="81" t="str">
        <f aca="false">IF(D1002="","",IFERROR(INDEX(식자재단가!$B$4:$B$203,MATCH(D1002,식자재단가!$C$4:$C$203,0)),""))</f>
        <v/>
      </c>
      <c r="F1002" s="76"/>
      <c r="G1002" s="59" t="str">
        <f aca="false">IF(D1002="","",IFERROR(INDEX(식자재단가!$F$4:$F$203,MATCH(D1002,식자재단가!$C$4:$C$203,0)),""))</f>
        <v/>
      </c>
      <c r="H1002" s="50"/>
      <c r="I1002" s="82" t="str">
        <f aca="false">IF(OR(F1002="",H1002=""),"",F1002*H1002)</f>
        <v/>
      </c>
      <c r="J1002" s="83" t="str">
        <f aca="false">IF(D1002="","",IFERROR(INDEX(식자재단가!$M$4:$M$203,MATCH(D1002,식자재단가!$C$4:$C$203,0)),"과세"))</f>
        <v/>
      </c>
      <c r="K1002" s="28" t="str">
        <f aca="false">IF(I1002="","",IF(J1002="과세",ROUND(I1002*0.1,0),0))</f>
        <v/>
      </c>
      <c r="L1002" s="28" t="str">
        <f aca="false">IF(I1002="","",I1002+K1002)</f>
        <v/>
      </c>
      <c r="M1002" s="10"/>
      <c r="N1002" s="80"/>
      <c r="O1002" s="80"/>
      <c r="P1002" s="59" t="str">
        <f aca="false">IF(E1002="","",IFERROR(INDEX(기본설정!$H$4:$H$14,MATCH(E1002,기본설정!$G$4:$G$14,0)),""))</f>
        <v/>
      </c>
    </row>
    <row r="1003" customFormat="false" ht="15" hidden="false" customHeight="false" outlineLevel="0" collapsed="false">
      <c r="A1003" s="73"/>
      <c r="B1003" s="10"/>
      <c r="C1003" s="80"/>
      <c r="D1003" s="80"/>
      <c r="E1003" s="81" t="str">
        <f aca="false">IF(D1003="","",IFERROR(INDEX(식자재단가!$B$4:$B$203,MATCH(D1003,식자재단가!$C$4:$C$203,0)),""))</f>
        <v/>
      </c>
      <c r="F1003" s="76"/>
      <c r="G1003" s="59" t="str">
        <f aca="false">IF(D1003="","",IFERROR(INDEX(식자재단가!$F$4:$F$203,MATCH(D1003,식자재단가!$C$4:$C$203,0)),""))</f>
        <v/>
      </c>
      <c r="H1003" s="50"/>
      <c r="I1003" s="82" t="str">
        <f aca="false">IF(OR(F1003="",H1003=""),"",F1003*H1003)</f>
        <v/>
      </c>
      <c r="J1003" s="83" t="str">
        <f aca="false">IF(D1003="","",IFERROR(INDEX(식자재단가!$M$4:$M$203,MATCH(D1003,식자재단가!$C$4:$C$203,0)),"과세"))</f>
        <v/>
      </c>
      <c r="K1003" s="28" t="str">
        <f aca="false">IF(I1003="","",IF(J1003="과세",ROUND(I1003*0.1,0),0))</f>
        <v/>
      </c>
      <c r="L1003" s="28" t="str">
        <f aca="false">IF(I1003="","",I1003+K1003)</f>
        <v/>
      </c>
      <c r="M1003" s="10"/>
      <c r="N1003" s="80"/>
      <c r="O1003" s="80"/>
      <c r="P1003" s="59" t="str">
        <f aca="false">IF(E1003="","",IFERROR(INDEX(기본설정!$H$4:$H$14,MATCH(E1003,기본설정!$G$4:$G$14,0)),""))</f>
        <v/>
      </c>
    </row>
    <row r="1004" customFormat="false" ht="15" hidden="false" customHeight="false" outlineLevel="0" collapsed="false">
      <c r="A1004" s="73"/>
      <c r="B1004" s="10"/>
      <c r="C1004" s="80"/>
      <c r="D1004" s="80"/>
      <c r="E1004" s="81" t="str">
        <f aca="false">IF(D1004="","",IFERROR(INDEX(식자재단가!$B$4:$B$203,MATCH(D1004,식자재단가!$C$4:$C$203,0)),""))</f>
        <v/>
      </c>
      <c r="F1004" s="76"/>
      <c r="G1004" s="59" t="str">
        <f aca="false">IF(D1004="","",IFERROR(INDEX(식자재단가!$F$4:$F$203,MATCH(D1004,식자재단가!$C$4:$C$203,0)),""))</f>
        <v/>
      </c>
      <c r="H1004" s="50"/>
      <c r="I1004" s="82" t="str">
        <f aca="false">IF(OR(F1004="",H1004=""),"",F1004*H1004)</f>
        <v/>
      </c>
      <c r="J1004" s="83" t="str">
        <f aca="false">IF(D1004="","",IFERROR(INDEX(식자재단가!$M$4:$M$203,MATCH(D1004,식자재단가!$C$4:$C$203,0)),"과세"))</f>
        <v/>
      </c>
      <c r="K1004" s="28" t="str">
        <f aca="false">IF(I1004="","",IF(J1004="과세",ROUND(I1004*0.1,0),0))</f>
        <v/>
      </c>
      <c r="L1004" s="28" t="str">
        <f aca="false">IF(I1004="","",I1004+K1004)</f>
        <v/>
      </c>
      <c r="M1004" s="10"/>
      <c r="N1004" s="80"/>
      <c r="O1004" s="80"/>
      <c r="P1004" s="59" t="str">
        <f aca="false">IF(E1004="","",IFERROR(INDEX(기본설정!$H$4:$H$14,MATCH(E1004,기본설정!$G$4:$G$14,0)),""))</f>
        <v/>
      </c>
    </row>
    <row r="1005" customFormat="false" ht="15" hidden="false" customHeight="false" outlineLevel="0" collapsed="false">
      <c r="A1005" s="73"/>
      <c r="B1005" s="10"/>
      <c r="C1005" s="80"/>
      <c r="D1005" s="80"/>
      <c r="E1005" s="81" t="str">
        <f aca="false">IF(D1005="","",IFERROR(INDEX(식자재단가!$B$4:$B$203,MATCH(D1005,식자재단가!$C$4:$C$203,0)),""))</f>
        <v/>
      </c>
      <c r="F1005" s="76"/>
      <c r="G1005" s="59" t="str">
        <f aca="false">IF(D1005="","",IFERROR(INDEX(식자재단가!$F$4:$F$203,MATCH(D1005,식자재단가!$C$4:$C$203,0)),""))</f>
        <v/>
      </c>
      <c r="H1005" s="50"/>
      <c r="I1005" s="82" t="str">
        <f aca="false">IF(OR(F1005="",H1005=""),"",F1005*H1005)</f>
        <v/>
      </c>
      <c r="J1005" s="83" t="str">
        <f aca="false">IF(D1005="","",IFERROR(INDEX(식자재단가!$M$4:$M$203,MATCH(D1005,식자재단가!$C$4:$C$203,0)),"과세"))</f>
        <v/>
      </c>
      <c r="K1005" s="28" t="str">
        <f aca="false">IF(I1005="","",IF(J1005="과세",ROUND(I1005*0.1,0),0))</f>
        <v/>
      </c>
      <c r="L1005" s="28" t="str">
        <f aca="false">IF(I1005="","",I1005+K1005)</f>
        <v/>
      </c>
      <c r="M1005" s="10"/>
      <c r="N1005" s="80"/>
      <c r="O1005" s="80"/>
      <c r="P1005" s="59" t="str">
        <f aca="false">IF(E1005="","",IFERROR(INDEX(기본설정!$H$4:$H$14,MATCH(E1005,기본설정!$G$4:$G$14,0)),""))</f>
        <v/>
      </c>
    </row>
    <row r="1006" customFormat="false" ht="15" hidden="false" customHeight="false" outlineLevel="0" collapsed="false">
      <c r="A1006" s="73"/>
      <c r="B1006" s="10"/>
      <c r="C1006" s="80"/>
      <c r="D1006" s="80"/>
      <c r="E1006" s="81" t="str">
        <f aca="false">IF(D1006="","",IFERROR(INDEX(식자재단가!$B$4:$B$203,MATCH(D1006,식자재단가!$C$4:$C$203,0)),""))</f>
        <v/>
      </c>
      <c r="F1006" s="76"/>
      <c r="G1006" s="59" t="str">
        <f aca="false">IF(D1006="","",IFERROR(INDEX(식자재단가!$F$4:$F$203,MATCH(D1006,식자재단가!$C$4:$C$203,0)),""))</f>
        <v/>
      </c>
      <c r="H1006" s="50"/>
      <c r="I1006" s="82" t="str">
        <f aca="false">IF(OR(F1006="",H1006=""),"",F1006*H1006)</f>
        <v/>
      </c>
      <c r="J1006" s="83" t="str">
        <f aca="false">IF(D1006="","",IFERROR(INDEX(식자재단가!$M$4:$M$203,MATCH(D1006,식자재단가!$C$4:$C$203,0)),"과세"))</f>
        <v/>
      </c>
      <c r="K1006" s="28" t="str">
        <f aca="false">IF(I1006="","",IF(J1006="과세",ROUND(I1006*0.1,0),0))</f>
        <v/>
      </c>
      <c r="L1006" s="28" t="str">
        <f aca="false">IF(I1006="","",I1006+K1006)</f>
        <v/>
      </c>
      <c r="M1006" s="10"/>
      <c r="N1006" s="80"/>
      <c r="O1006" s="80"/>
      <c r="P1006" s="59" t="str">
        <f aca="false">IF(E1006="","",IFERROR(INDEX(기본설정!$H$4:$H$14,MATCH(E1006,기본설정!$G$4:$G$14,0)),""))</f>
        <v/>
      </c>
    </row>
    <row r="1007" customFormat="false" ht="15" hidden="false" customHeight="false" outlineLevel="0" collapsed="false">
      <c r="A1007" s="73"/>
      <c r="B1007" s="10"/>
      <c r="C1007" s="80"/>
      <c r="D1007" s="80"/>
      <c r="E1007" s="81" t="str">
        <f aca="false">IF(D1007="","",IFERROR(INDEX(식자재단가!$B$4:$B$203,MATCH(D1007,식자재단가!$C$4:$C$203,0)),""))</f>
        <v/>
      </c>
      <c r="F1007" s="76"/>
      <c r="G1007" s="59" t="str">
        <f aca="false">IF(D1007="","",IFERROR(INDEX(식자재단가!$F$4:$F$203,MATCH(D1007,식자재단가!$C$4:$C$203,0)),""))</f>
        <v/>
      </c>
      <c r="H1007" s="50"/>
      <c r="I1007" s="82" t="str">
        <f aca="false">IF(OR(F1007="",H1007=""),"",F1007*H1007)</f>
        <v/>
      </c>
      <c r="J1007" s="83" t="str">
        <f aca="false">IF(D1007="","",IFERROR(INDEX(식자재단가!$M$4:$M$203,MATCH(D1007,식자재단가!$C$4:$C$203,0)),"과세"))</f>
        <v/>
      </c>
      <c r="K1007" s="28" t="str">
        <f aca="false">IF(I1007="","",IF(J1007="과세",ROUND(I1007*0.1,0),0))</f>
        <v/>
      </c>
      <c r="L1007" s="28" t="str">
        <f aca="false">IF(I1007="","",I1007+K1007)</f>
        <v/>
      </c>
      <c r="M1007" s="10"/>
      <c r="N1007" s="80"/>
      <c r="O1007" s="80"/>
      <c r="P1007" s="59" t="str">
        <f aca="false">IF(E1007="","",IFERROR(INDEX(기본설정!$H$4:$H$14,MATCH(E1007,기본설정!$G$4:$G$14,0)),""))</f>
        <v/>
      </c>
    </row>
    <row r="1008" customFormat="false" ht="15" hidden="false" customHeight="false" outlineLevel="0" collapsed="false">
      <c r="A1008" s="73"/>
      <c r="B1008" s="10"/>
      <c r="C1008" s="80"/>
      <c r="D1008" s="80"/>
      <c r="E1008" s="81" t="str">
        <f aca="false">IF(D1008="","",IFERROR(INDEX(식자재단가!$B$4:$B$203,MATCH(D1008,식자재단가!$C$4:$C$203,0)),""))</f>
        <v/>
      </c>
      <c r="F1008" s="76"/>
      <c r="G1008" s="59" t="str">
        <f aca="false">IF(D1008="","",IFERROR(INDEX(식자재단가!$F$4:$F$203,MATCH(D1008,식자재단가!$C$4:$C$203,0)),""))</f>
        <v/>
      </c>
      <c r="H1008" s="50"/>
      <c r="I1008" s="82" t="str">
        <f aca="false">IF(OR(F1008="",H1008=""),"",F1008*H1008)</f>
        <v/>
      </c>
      <c r="J1008" s="83" t="str">
        <f aca="false">IF(D1008="","",IFERROR(INDEX(식자재단가!$M$4:$M$203,MATCH(D1008,식자재단가!$C$4:$C$203,0)),"과세"))</f>
        <v/>
      </c>
      <c r="K1008" s="28" t="str">
        <f aca="false">IF(I1008="","",IF(J1008="과세",ROUND(I1008*0.1,0),0))</f>
        <v/>
      </c>
      <c r="L1008" s="28" t="str">
        <f aca="false">IF(I1008="","",I1008+K1008)</f>
        <v/>
      </c>
      <c r="M1008" s="10"/>
      <c r="N1008" s="80"/>
      <c r="O1008" s="80"/>
      <c r="P1008" s="59" t="str">
        <f aca="false">IF(E1008="","",IFERROR(INDEX(기본설정!$H$4:$H$14,MATCH(E1008,기본설정!$G$4:$G$14,0)),""))</f>
        <v/>
      </c>
    </row>
    <row r="1009" customFormat="false" ht="15" hidden="false" customHeight="false" outlineLevel="0" collapsed="false">
      <c r="A1009" s="73"/>
      <c r="B1009" s="10"/>
      <c r="C1009" s="80"/>
      <c r="D1009" s="80"/>
      <c r="E1009" s="81" t="str">
        <f aca="false">IF(D1009="","",IFERROR(INDEX(식자재단가!$B$4:$B$203,MATCH(D1009,식자재단가!$C$4:$C$203,0)),""))</f>
        <v/>
      </c>
      <c r="F1009" s="76"/>
      <c r="G1009" s="59" t="str">
        <f aca="false">IF(D1009="","",IFERROR(INDEX(식자재단가!$F$4:$F$203,MATCH(D1009,식자재단가!$C$4:$C$203,0)),""))</f>
        <v/>
      </c>
      <c r="H1009" s="50"/>
      <c r="I1009" s="82" t="str">
        <f aca="false">IF(OR(F1009="",H1009=""),"",F1009*H1009)</f>
        <v/>
      </c>
      <c r="J1009" s="83" t="str">
        <f aca="false">IF(D1009="","",IFERROR(INDEX(식자재단가!$M$4:$M$203,MATCH(D1009,식자재단가!$C$4:$C$203,0)),"과세"))</f>
        <v/>
      </c>
      <c r="K1009" s="28" t="str">
        <f aca="false">IF(I1009="","",IF(J1009="과세",ROUND(I1009*0.1,0),0))</f>
        <v/>
      </c>
      <c r="L1009" s="28" t="str">
        <f aca="false">IF(I1009="","",I1009+K1009)</f>
        <v/>
      </c>
      <c r="M1009" s="10"/>
      <c r="N1009" s="80"/>
      <c r="O1009" s="80"/>
      <c r="P1009" s="59" t="str">
        <f aca="false">IF(E1009="","",IFERROR(INDEX(기본설정!$H$4:$H$14,MATCH(E1009,기본설정!$G$4:$G$14,0)),""))</f>
        <v/>
      </c>
    </row>
    <row r="1010" customFormat="false" ht="15" hidden="false" customHeight="false" outlineLevel="0" collapsed="false">
      <c r="A1010" s="73"/>
      <c r="B1010" s="10"/>
      <c r="C1010" s="80"/>
      <c r="D1010" s="80"/>
      <c r="E1010" s="81" t="str">
        <f aca="false">IF(D1010="","",IFERROR(INDEX(식자재단가!$B$4:$B$203,MATCH(D1010,식자재단가!$C$4:$C$203,0)),""))</f>
        <v/>
      </c>
      <c r="F1010" s="76"/>
      <c r="G1010" s="59" t="str">
        <f aca="false">IF(D1010="","",IFERROR(INDEX(식자재단가!$F$4:$F$203,MATCH(D1010,식자재단가!$C$4:$C$203,0)),""))</f>
        <v/>
      </c>
      <c r="H1010" s="50"/>
      <c r="I1010" s="82" t="str">
        <f aca="false">IF(OR(F1010="",H1010=""),"",F1010*H1010)</f>
        <v/>
      </c>
      <c r="J1010" s="83" t="str">
        <f aca="false">IF(D1010="","",IFERROR(INDEX(식자재단가!$M$4:$M$203,MATCH(D1010,식자재단가!$C$4:$C$203,0)),"과세"))</f>
        <v/>
      </c>
      <c r="K1010" s="28" t="str">
        <f aca="false">IF(I1010="","",IF(J1010="과세",ROUND(I1010*0.1,0),0))</f>
        <v/>
      </c>
      <c r="L1010" s="28" t="str">
        <f aca="false">IF(I1010="","",I1010+K1010)</f>
        <v/>
      </c>
      <c r="M1010" s="10"/>
      <c r="N1010" s="80"/>
      <c r="O1010" s="80"/>
      <c r="P1010" s="59" t="str">
        <f aca="false">IF(E1010="","",IFERROR(INDEX(기본설정!$H$4:$H$14,MATCH(E1010,기본설정!$G$4:$G$14,0)),""))</f>
        <v/>
      </c>
    </row>
    <row r="1011" customFormat="false" ht="15" hidden="false" customHeight="false" outlineLevel="0" collapsed="false">
      <c r="A1011" s="73"/>
      <c r="B1011" s="10"/>
      <c r="C1011" s="80"/>
      <c r="D1011" s="80"/>
      <c r="E1011" s="81" t="str">
        <f aca="false">IF(D1011="","",IFERROR(INDEX(식자재단가!$B$4:$B$203,MATCH(D1011,식자재단가!$C$4:$C$203,0)),""))</f>
        <v/>
      </c>
      <c r="F1011" s="76"/>
      <c r="G1011" s="59" t="str">
        <f aca="false">IF(D1011="","",IFERROR(INDEX(식자재단가!$F$4:$F$203,MATCH(D1011,식자재단가!$C$4:$C$203,0)),""))</f>
        <v/>
      </c>
      <c r="H1011" s="50"/>
      <c r="I1011" s="82" t="str">
        <f aca="false">IF(OR(F1011="",H1011=""),"",F1011*H1011)</f>
        <v/>
      </c>
      <c r="J1011" s="83" t="str">
        <f aca="false">IF(D1011="","",IFERROR(INDEX(식자재단가!$M$4:$M$203,MATCH(D1011,식자재단가!$C$4:$C$203,0)),"과세"))</f>
        <v/>
      </c>
      <c r="K1011" s="28" t="str">
        <f aca="false">IF(I1011="","",IF(J1011="과세",ROUND(I1011*0.1,0),0))</f>
        <v/>
      </c>
      <c r="L1011" s="28" t="str">
        <f aca="false">IF(I1011="","",I1011+K1011)</f>
        <v/>
      </c>
      <c r="M1011" s="10"/>
      <c r="N1011" s="80"/>
      <c r="O1011" s="80"/>
      <c r="P1011" s="59" t="str">
        <f aca="false">IF(E1011="","",IFERROR(INDEX(기본설정!$H$4:$H$14,MATCH(E1011,기본설정!$G$4:$G$14,0)),""))</f>
        <v/>
      </c>
    </row>
    <row r="1012" customFormat="false" ht="15" hidden="false" customHeight="false" outlineLevel="0" collapsed="false">
      <c r="A1012" s="73"/>
      <c r="B1012" s="10"/>
      <c r="C1012" s="80"/>
      <c r="D1012" s="80"/>
      <c r="E1012" s="81" t="str">
        <f aca="false">IF(D1012="","",IFERROR(INDEX(식자재단가!$B$4:$B$203,MATCH(D1012,식자재단가!$C$4:$C$203,0)),""))</f>
        <v/>
      </c>
      <c r="F1012" s="76"/>
      <c r="G1012" s="59" t="str">
        <f aca="false">IF(D1012="","",IFERROR(INDEX(식자재단가!$F$4:$F$203,MATCH(D1012,식자재단가!$C$4:$C$203,0)),""))</f>
        <v/>
      </c>
      <c r="H1012" s="50"/>
      <c r="I1012" s="82" t="str">
        <f aca="false">IF(OR(F1012="",H1012=""),"",F1012*H1012)</f>
        <v/>
      </c>
      <c r="J1012" s="83" t="str">
        <f aca="false">IF(D1012="","",IFERROR(INDEX(식자재단가!$M$4:$M$203,MATCH(D1012,식자재단가!$C$4:$C$203,0)),"과세"))</f>
        <v/>
      </c>
      <c r="K1012" s="28" t="str">
        <f aca="false">IF(I1012="","",IF(J1012="과세",ROUND(I1012*0.1,0),0))</f>
        <v/>
      </c>
      <c r="L1012" s="28" t="str">
        <f aca="false">IF(I1012="","",I1012+K1012)</f>
        <v/>
      </c>
      <c r="M1012" s="10"/>
      <c r="N1012" s="80"/>
      <c r="O1012" s="80"/>
      <c r="P1012" s="59" t="str">
        <f aca="false">IF(E1012="","",IFERROR(INDEX(기본설정!$H$4:$H$14,MATCH(E1012,기본설정!$G$4:$G$14,0)),""))</f>
        <v/>
      </c>
    </row>
    <row r="1013" customFormat="false" ht="15" hidden="false" customHeight="false" outlineLevel="0" collapsed="false">
      <c r="A1013" s="73"/>
      <c r="B1013" s="10"/>
      <c r="C1013" s="80"/>
      <c r="D1013" s="80"/>
      <c r="E1013" s="81" t="str">
        <f aca="false">IF(D1013="","",IFERROR(INDEX(식자재단가!$B$4:$B$203,MATCH(D1013,식자재단가!$C$4:$C$203,0)),""))</f>
        <v/>
      </c>
      <c r="F1013" s="76"/>
      <c r="G1013" s="59" t="str">
        <f aca="false">IF(D1013="","",IFERROR(INDEX(식자재단가!$F$4:$F$203,MATCH(D1013,식자재단가!$C$4:$C$203,0)),""))</f>
        <v/>
      </c>
      <c r="H1013" s="50"/>
      <c r="I1013" s="82" t="str">
        <f aca="false">IF(OR(F1013="",H1013=""),"",F1013*H1013)</f>
        <v/>
      </c>
      <c r="J1013" s="83" t="str">
        <f aca="false">IF(D1013="","",IFERROR(INDEX(식자재단가!$M$4:$M$203,MATCH(D1013,식자재단가!$C$4:$C$203,0)),"과세"))</f>
        <v/>
      </c>
      <c r="K1013" s="28" t="str">
        <f aca="false">IF(I1013="","",IF(J1013="과세",ROUND(I1013*0.1,0),0))</f>
        <v/>
      </c>
      <c r="L1013" s="28" t="str">
        <f aca="false">IF(I1013="","",I1013+K1013)</f>
        <v/>
      </c>
      <c r="M1013" s="10"/>
      <c r="N1013" s="80"/>
      <c r="O1013" s="80"/>
      <c r="P1013" s="59" t="str">
        <f aca="false">IF(E1013="","",IFERROR(INDEX(기본설정!$H$4:$H$14,MATCH(E1013,기본설정!$G$4:$G$14,0)),""))</f>
        <v/>
      </c>
    </row>
    <row r="1014" customFormat="false" ht="15" hidden="false" customHeight="false" outlineLevel="0" collapsed="false">
      <c r="A1014" s="73"/>
      <c r="B1014" s="10"/>
      <c r="C1014" s="80"/>
      <c r="D1014" s="80"/>
      <c r="E1014" s="81" t="str">
        <f aca="false">IF(D1014="","",IFERROR(INDEX(식자재단가!$B$4:$B$203,MATCH(D1014,식자재단가!$C$4:$C$203,0)),""))</f>
        <v/>
      </c>
      <c r="F1014" s="76"/>
      <c r="G1014" s="59" t="str">
        <f aca="false">IF(D1014="","",IFERROR(INDEX(식자재단가!$F$4:$F$203,MATCH(D1014,식자재단가!$C$4:$C$203,0)),""))</f>
        <v/>
      </c>
      <c r="H1014" s="50"/>
      <c r="I1014" s="82" t="str">
        <f aca="false">IF(OR(F1014="",H1014=""),"",F1014*H1014)</f>
        <v/>
      </c>
      <c r="J1014" s="83" t="str">
        <f aca="false">IF(D1014="","",IFERROR(INDEX(식자재단가!$M$4:$M$203,MATCH(D1014,식자재단가!$C$4:$C$203,0)),"과세"))</f>
        <v/>
      </c>
      <c r="K1014" s="28" t="str">
        <f aca="false">IF(I1014="","",IF(J1014="과세",ROUND(I1014*0.1,0),0))</f>
        <v/>
      </c>
      <c r="L1014" s="28" t="str">
        <f aca="false">IF(I1014="","",I1014+K1014)</f>
        <v/>
      </c>
      <c r="M1014" s="10"/>
      <c r="N1014" s="80"/>
      <c r="O1014" s="80"/>
      <c r="P1014" s="59" t="str">
        <f aca="false">IF(E1014="","",IFERROR(INDEX(기본설정!$H$4:$H$14,MATCH(E1014,기본설정!$G$4:$G$14,0)),""))</f>
        <v/>
      </c>
    </row>
    <row r="1015" customFormat="false" ht="15" hidden="false" customHeight="false" outlineLevel="0" collapsed="false">
      <c r="A1015" s="73"/>
      <c r="B1015" s="10"/>
      <c r="C1015" s="80"/>
      <c r="D1015" s="80"/>
      <c r="E1015" s="81" t="str">
        <f aca="false">IF(D1015="","",IFERROR(INDEX(식자재단가!$B$4:$B$203,MATCH(D1015,식자재단가!$C$4:$C$203,0)),""))</f>
        <v/>
      </c>
      <c r="F1015" s="76"/>
      <c r="G1015" s="59" t="str">
        <f aca="false">IF(D1015="","",IFERROR(INDEX(식자재단가!$F$4:$F$203,MATCH(D1015,식자재단가!$C$4:$C$203,0)),""))</f>
        <v/>
      </c>
      <c r="H1015" s="50"/>
      <c r="I1015" s="82" t="str">
        <f aca="false">IF(OR(F1015="",H1015=""),"",F1015*H1015)</f>
        <v/>
      </c>
      <c r="J1015" s="83" t="str">
        <f aca="false">IF(D1015="","",IFERROR(INDEX(식자재단가!$M$4:$M$203,MATCH(D1015,식자재단가!$C$4:$C$203,0)),"과세"))</f>
        <v/>
      </c>
      <c r="K1015" s="28" t="str">
        <f aca="false">IF(I1015="","",IF(J1015="과세",ROUND(I1015*0.1,0),0))</f>
        <v/>
      </c>
      <c r="L1015" s="28" t="str">
        <f aca="false">IF(I1015="","",I1015+K1015)</f>
        <v/>
      </c>
      <c r="M1015" s="10"/>
      <c r="N1015" s="80"/>
      <c r="O1015" s="80"/>
      <c r="P1015" s="59" t="str">
        <f aca="false">IF(E1015="","",IFERROR(INDEX(기본설정!$H$4:$H$14,MATCH(E1015,기본설정!$G$4:$G$14,0)),""))</f>
        <v/>
      </c>
    </row>
    <row r="1016" customFormat="false" ht="15" hidden="false" customHeight="false" outlineLevel="0" collapsed="false">
      <c r="A1016" s="73"/>
      <c r="B1016" s="10"/>
      <c r="C1016" s="80"/>
      <c r="D1016" s="80"/>
      <c r="E1016" s="81" t="str">
        <f aca="false">IF(D1016="","",IFERROR(INDEX(식자재단가!$B$4:$B$203,MATCH(D1016,식자재단가!$C$4:$C$203,0)),""))</f>
        <v/>
      </c>
      <c r="F1016" s="76"/>
      <c r="G1016" s="59" t="str">
        <f aca="false">IF(D1016="","",IFERROR(INDEX(식자재단가!$F$4:$F$203,MATCH(D1016,식자재단가!$C$4:$C$203,0)),""))</f>
        <v/>
      </c>
      <c r="H1016" s="50"/>
      <c r="I1016" s="82" t="str">
        <f aca="false">IF(OR(F1016="",H1016=""),"",F1016*H1016)</f>
        <v/>
      </c>
      <c r="J1016" s="83" t="str">
        <f aca="false">IF(D1016="","",IFERROR(INDEX(식자재단가!$M$4:$M$203,MATCH(D1016,식자재단가!$C$4:$C$203,0)),"과세"))</f>
        <v/>
      </c>
      <c r="K1016" s="28" t="str">
        <f aca="false">IF(I1016="","",IF(J1016="과세",ROUND(I1016*0.1,0),0))</f>
        <v/>
      </c>
      <c r="L1016" s="28" t="str">
        <f aca="false">IF(I1016="","",I1016+K1016)</f>
        <v/>
      </c>
      <c r="M1016" s="10"/>
      <c r="N1016" s="80"/>
      <c r="O1016" s="80"/>
      <c r="P1016" s="59" t="str">
        <f aca="false">IF(E1016="","",IFERROR(INDEX(기본설정!$H$4:$H$14,MATCH(E1016,기본설정!$G$4:$G$14,0)),""))</f>
        <v/>
      </c>
    </row>
    <row r="1017" customFormat="false" ht="15" hidden="false" customHeight="false" outlineLevel="0" collapsed="false">
      <c r="A1017" s="73"/>
      <c r="B1017" s="10"/>
      <c r="C1017" s="80"/>
      <c r="D1017" s="80"/>
      <c r="E1017" s="81" t="str">
        <f aca="false">IF(D1017="","",IFERROR(INDEX(식자재단가!$B$4:$B$203,MATCH(D1017,식자재단가!$C$4:$C$203,0)),""))</f>
        <v/>
      </c>
      <c r="F1017" s="76"/>
      <c r="G1017" s="59" t="str">
        <f aca="false">IF(D1017="","",IFERROR(INDEX(식자재단가!$F$4:$F$203,MATCH(D1017,식자재단가!$C$4:$C$203,0)),""))</f>
        <v/>
      </c>
      <c r="H1017" s="50"/>
      <c r="I1017" s="82" t="str">
        <f aca="false">IF(OR(F1017="",H1017=""),"",F1017*H1017)</f>
        <v/>
      </c>
      <c r="J1017" s="83" t="str">
        <f aca="false">IF(D1017="","",IFERROR(INDEX(식자재단가!$M$4:$M$203,MATCH(D1017,식자재단가!$C$4:$C$203,0)),"과세"))</f>
        <v/>
      </c>
      <c r="K1017" s="28" t="str">
        <f aca="false">IF(I1017="","",IF(J1017="과세",ROUND(I1017*0.1,0),0))</f>
        <v/>
      </c>
      <c r="L1017" s="28" t="str">
        <f aca="false">IF(I1017="","",I1017+K1017)</f>
        <v/>
      </c>
      <c r="M1017" s="10"/>
      <c r="N1017" s="80"/>
      <c r="O1017" s="80"/>
      <c r="P1017" s="59" t="str">
        <f aca="false">IF(E1017="","",IFERROR(INDEX(기본설정!$H$4:$H$14,MATCH(E1017,기본설정!$G$4:$G$14,0)),""))</f>
        <v/>
      </c>
    </row>
    <row r="1018" customFormat="false" ht="15" hidden="false" customHeight="false" outlineLevel="0" collapsed="false">
      <c r="A1018" s="73"/>
      <c r="B1018" s="10"/>
      <c r="C1018" s="80"/>
      <c r="D1018" s="80"/>
      <c r="E1018" s="81" t="str">
        <f aca="false">IF(D1018="","",IFERROR(INDEX(식자재단가!$B$4:$B$203,MATCH(D1018,식자재단가!$C$4:$C$203,0)),""))</f>
        <v/>
      </c>
      <c r="F1018" s="76"/>
      <c r="G1018" s="59" t="str">
        <f aca="false">IF(D1018="","",IFERROR(INDEX(식자재단가!$F$4:$F$203,MATCH(D1018,식자재단가!$C$4:$C$203,0)),""))</f>
        <v/>
      </c>
      <c r="H1018" s="50"/>
      <c r="I1018" s="82" t="str">
        <f aca="false">IF(OR(F1018="",H1018=""),"",F1018*H1018)</f>
        <v/>
      </c>
      <c r="J1018" s="83" t="str">
        <f aca="false">IF(D1018="","",IFERROR(INDEX(식자재단가!$M$4:$M$203,MATCH(D1018,식자재단가!$C$4:$C$203,0)),"과세"))</f>
        <v/>
      </c>
      <c r="K1018" s="28" t="str">
        <f aca="false">IF(I1018="","",IF(J1018="과세",ROUND(I1018*0.1,0),0))</f>
        <v/>
      </c>
      <c r="L1018" s="28" t="str">
        <f aca="false">IF(I1018="","",I1018+K1018)</f>
        <v/>
      </c>
      <c r="M1018" s="10"/>
      <c r="N1018" s="80"/>
      <c r="O1018" s="80"/>
      <c r="P1018" s="59" t="str">
        <f aca="false">IF(E1018="","",IFERROR(INDEX(기본설정!$H$4:$H$14,MATCH(E1018,기본설정!$G$4:$G$14,0)),""))</f>
        <v/>
      </c>
    </row>
    <row r="1019" customFormat="false" ht="15" hidden="false" customHeight="false" outlineLevel="0" collapsed="false">
      <c r="A1019" s="73"/>
      <c r="B1019" s="10"/>
      <c r="C1019" s="80"/>
      <c r="D1019" s="80"/>
      <c r="E1019" s="81" t="str">
        <f aca="false">IF(D1019="","",IFERROR(INDEX(식자재단가!$B$4:$B$203,MATCH(D1019,식자재단가!$C$4:$C$203,0)),""))</f>
        <v/>
      </c>
      <c r="F1019" s="76"/>
      <c r="G1019" s="59" t="str">
        <f aca="false">IF(D1019="","",IFERROR(INDEX(식자재단가!$F$4:$F$203,MATCH(D1019,식자재단가!$C$4:$C$203,0)),""))</f>
        <v/>
      </c>
      <c r="H1019" s="50"/>
      <c r="I1019" s="82" t="str">
        <f aca="false">IF(OR(F1019="",H1019=""),"",F1019*H1019)</f>
        <v/>
      </c>
      <c r="J1019" s="83" t="str">
        <f aca="false">IF(D1019="","",IFERROR(INDEX(식자재단가!$M$4:$M$203,MATCH(D1019,식자재단가!$C$4:$C$203,0)),"과세"))</f>
        <v/>
      </c>
      <c r="K1019" s="28" t="str">
        <f aca="false">IF(I1019="","",IF(J1019="과세",ROUND(I1019*0.1,0),0))</f>
        <v/>
      </c>
      <c r="L1019" s="28" t="str">
        <f aca="false">IF(I1019="","",I1019+K1019)</f>
        <v/>
      </c>
      <c r="M1019" s="10"/>
      <c r="N1019" s="80"/>
      <c r="O1019" s="80"/>
      <c r="P1019" s="59" t="str">
        <f aca="false">IF(E1019="","",IFERROR(INDEX(기본설정!$H$4:$H$14,MATCH(E1019,기본설정!$G$4:$G$14,0)),""))</f>
        <v/>
      </c>
    </row>
    <row r="1020" customFormat="false" ht="15" hidden="false" customHeight="false" outlineLevel="0" collapsed="false">
      <c r="A1020" s="73"/>
      <c r="B1020" s="10"/>
      <c r="C1020" s="80"/>
      <c r="D1020" s="80"/>
      <c r="E1020" s="81" t="str">
        <f aca="false">IF(D1020="","",IFERROR(INDEX(식자재단가!$B$4:$B$203,MATCH(D1020,식자재단가!$C$4:$C$203,0)),""))</f>
        <v/>
      </c>
      <c r="F1020" s="76"/>
      <c r="G1020" s="59" t="str">
        <f aca="false">IF(D1020="","",IFERROR(INDEX(식자재단가!$F$4:$F$203,MATCH(D1020,식자재단가!$C$4:$C$203,0)),""))</f>
        <v/>
      </c>
      <c r="H1020" s="50"/>
      <c r="I1020" s="82" t="str">
        <f aca="false">IF(OR(F1020="",H1020=""),"",F1020*H1020)</f>
        <v/>
      </c>
      <c r="J1020" s="83" t="str">
        <f aca="false">IF(D1020="","",IFERROR(INDEX(식자재단가!$M$4:$M$203,MATCH(D1020,식자재단가!$C$4:$C$203,0)),"과세"))</f>
        <v/>
      </c>
      <c r="K1020" s="28" t="str">
        <f aca="false">IF(I1020="","",IF(J1020="과세",ROUND(I1020*0.1,0),0))</f>
        <v/>
      </c>
      <c r="L1020" s="28" t="str">
        <f aca="false">IF(I1020="","",I1020+K1020)</f>
        <v/>
      </c>
      <c r="M1020" s="10"/>
      <c r="N1020" s="80"/>
      <c r="O1020" s="80"/>
      <c r="P1020" s="59" t="str">
        <f aca="false">IF(E1020="","",IFERROR(INDEX(기본설정!$H$4:$H$14,MATCH(E1020,기본설정!$G$4:$G$14,0)),""))</f>
        <v/>
      </c>
    </row>
    <row r="1021" customFormat="false" ht="15" hidden="false" customHeight="false" outlineLevel="0" collapsed="false">
      <c r="A1021" s="73"/>
      <c r="B1021" s="10"/>
      <c r="C1021" s="80"/>
      <c r="D1021" s="80"/>
      <c r="E1021" s="81" t="str">
        <f aca="false">IF(D1021="","",IFERROR(INDEX(식자재단가!$B$4:$B$203,MATCH(D1021,식자재단가!$C$4:$C$203,0)),""))</f>
        <v/>
      </c>
      <c r="F1021" s="76"/>
      <c r="G1021" s="59" t="str">
        <f aca="false">IF(D1021="","",IFERROR(INDEX(식자재단가!$F$4:$F$203,MATCH(D1021,식자재단가!$C$4:$C$203,0)),""))</f>
        <v/>
      </c>
      <c r="H1021" s="50"/>
      <c r="I1021" s="82" t="str">
        <f aca="false">IF(OR(F1021="",H1021=""),"",F1021*H1021)</f>
        <v/>
      </c>
      <c r="J1021" s="83" t="str">
        <f aca="false">IF(D1021="","",IFERROR(INDEX(식자재단가!$M$4:$M$203,MATCH(D1021,식자재단가!$C$4:$C$203,0)),"과세"))</f>
        <v/>
      </c>
      <c r="K1021" s="28" t="str">
        <f aca="false">IF(I1021="","",IF(J1021="과세",ROUND(I1021*0.1,0),0))</f>
        <v/>
      </c>
      <c r="L1021" s="28" t="str">
        <f aca="false">IF(I1021="","",I1021+K1021)</f>
        <v/>
      </c>
      <c r="M1021" s="10"/>
      <c r="N1021" s="80"/>
      <c r="O1021" s="80"/>
      <c r="P1021" s="59" t="str">
        <f aca="false">IF(E1021="","",IFERROR(INDEX(기본설정!$H$4:$H$14,MATCH(E1021,기본설정!$G$4:$G$14,0)),""))</f>
        <v/>
      </c>
    </row>
    <row r="1022" customFormat="false" ht="15" hidden="false" customHeight="false" outlineLevel="0" collapsed="false">
      <c r="A1022" s="73"/>
      <c r="B1022" s="10"/>
      <c r="C1022" s="80"/>
      <c r="D1022" s="80"/>
      <c r="E1022" s="81" t="str">
        <f aca="false">IF(D1022="","",IFERROR(INDEX(식자재단가!$B$4:$B$203,MATCH(D1022,식자재단가!$C$4:$C$203,0)),""))</f>
        <v/>
      </c>
      <c r="F1022" s="76"/>
      <c r="G1022" s="59" t="str">
        <f aca="false">IF(D1022="","",IFERROR(INDEX(식자재단가!$F$4:$F$203,MATCH(D1022,식자재단가!$C$4:$C$203,0)),""))</f>
        <v/>
      </c>
      <c r="H1022" s="50"/>
      <c r="I1022" s="82" t="str">
        <f aca="false">IF(OR(F1022="",H1022=""),"",F1022*H1022)</f>
        <v/>
      </c>
      <c r="J1022" s="83" t="str">
        <f aca="false">IF(D1022="","",IFERROR(INDEX(식자재단가!$M$4:$M$203,MATCH(D1022,식자재단가!$C$4:$C$203,0)),"과세"))</f>
        <v/>
      </c>
      <c r="K1022" s="28" t="str">
        <f aca="false">IF(I1022="","",IF(J1022="과세",ROUND(I1022*0.1,0),0))</f>
        <v/>
      </c>
      <c r="L1022" s="28" t="str">
        <f aca="false">IF(I1022="","",I1022+K1022)</f>
        <v/>
      </c>
      <c r="M1022" s="10"/>
      <c r="N1022" s="80"/>
      <c r="O1022" s="80"/>
      <c r="P1022" s="59" t="str">
        <f aca="false">IF(E1022="","",IFERROR(INDEX(기본설정!$H$4:$H$14,MATCH(E1022,기본설정!$G$4:$G$14,0)),""))</f>
        <v/>
      </c>
    </row>
    <row r="1023" customFormat="false" ht="15" hidden="false" customHeight="false" outlineLevel="0" collapsed="false">
      <c r="A1023" s="73"/>
      <c r="B1023" s="10"/>
      <c r="C1023" s="80"/>
      <c r="D1023" s="80"/>
      <c r="E1023" s="81" t="str">
        <f aca="false">IF(D1023="","",IFERROR(INDEX(식자재단가!$B$4:$B$203,MATCH(D1023,식자재단가!$C$4:$C$203,0)),""))</f>
        <v/>
      </c>
      <c r="F1023" s="76"/>
      <c r="G1023" s="59" t="str">
        <f aca="false">IF(D1023="","",IFERROR(INDEX(식자재단가!$F$4:$F$203,MATCH(D1023,식자재단가!$C$4:$C$203,0)),""))</f>
        <v/>
      </c>
      <c r="H1023" s="50"/>
      <c r="I1023" s="82" t="str">
        <f aca="false">IF(OR(F1023="",H1023=""),"",F1023*H1023)</f>
        <v/>
      </c>
      <c r="J1023" s="83" t="str">
        <f aca="false">IF(D1023="","",IFERROR(INDEX(식자재단가!$M$4:$M$203,MATCH(D1023,식자재단가!$C$4:$C$203,0)),"과세"))</f>
        <v/>
      </c>
      <c r="K1023" s="28" t="str">
        <f aca="false">IF(I1023="","",IF(J1023="과세",ROUND(I1023*0.1,0),0))</f>
        <v/>
      </c>
      <c r="L1023" s="28" t="str">
        <f aca="false">IF(I1023="","",I1023+K1023)</f>
        <v/>
      </c>
      <c r="M1023" s="10"/>
      <c r="N1023" s="80"/>
      <c r="O1023" s="80"/>
      <c r="P1023" s="59" t="str">
        <f aca="false">IF(E1023="","",IFERROR(INDEX(기본설정!$H$4:$H$14,MATCH(E1023,기본설정!$G$4:$G$14,0)),""))</f>
        <v/>
      </c>
    </row>
    <row r="1024" customFormat="false" ht="15" hidden="false" customHeight="false" outlineLevel="0" collapsed="false">
      <c r="A1024" s="73"/>
      <c r="B1024" s="10"/>
      <c r="C1024" s="80"/>
      <c r="D1024" s="80"/>
      <c r="E1024" s="81" t="str">
        <f aca="false">IF(D1024="","",IFERROR(INDEX(식자재단가!$B$4:$B$203,MATCH(D1024,식자재단가!$C$4:$C$203,0)),""))</f>
        <v/>
      </c>
      <c r="F1024" s="76"/>
      <c r="G1024" s="59" t="str">
        <f aca="false">IF(D1024="","",IFERROR(INDEX(식자재단가!$F$4:$F$203,MATCH(D1024,식자재단가!$C$4:$C$203,0)),""))</f>
        <v/>
      </c>
      <c r="H1024" s="50"/>
      <c r="I1024" s="82" t="str">
        <f aca="false">IF(OR(F1024="",H1024=""),"",F1024*H1024)</f>
        <v/>
      </c>
      <c r="J1024" s="83" t="str">
        <f aca="false">IF(D1024="","",IFERROR(INDEX(식자재단가!$M$4:$M$203,MATCH(D1024,식자재단가!$C$4:$C$203,0)),"과세"))</f>
        <v/>
      </c>
      <c r="K1024" s="28" t="str">
        <f aca="false">IF(I1024="","",IF(J1024="과세",ROUND(I1024*0.1,0),0))</f>
        <v/>
      </c>
      <c r="L1024" s="28" t="str">
        <f aca="false">IF(I1024="","",I1024+K1024)</f>
        <v/>
      </c>
      <c r="M1024" s="10"/>
      <c r="N1024" s="80"/>
      <c r="O1024" s="80"/>
      <c r="P1024" s="59" t="str">
        <f aca="false">IF(E1024="","",IFERROR(INDEX(기본설정!$H$4:$H$14,MATCH(E1024,기본설정!$G$4:$G$14,0)),""))</f>
        <v/>
      </c>
    </row>
    <row r="1025" customFormat="false" ht="15" hidden="false" customHeight="false" outlineLevel="0" collapsed="false">
      <c r="A1025" s="73"/>
      <c r="B1025" s="10"/>
      <c r="C1025" s="80"/>
      <c r="D1025" s="80"/>
      <c r="E1025" s="81" t="str">
        <f aca="false">IF(D1025="","",IFERROR(INDEX(식자재단가!$B$4:$B$203,MATCH(D1025,식자재단가!$C$4:$C$203,0)),""))</f>
        <v/>
      </c>
      <c r="F1025" s="76"/>
      <c r="G1025" s="59" t="str">
        <f aca="false">IF(D1025="","",IFERROR(INDEX(식자재단가!$F$4:$F$203,MATCH(D1025,식자재단가!$C$4:$C$203,0)),""))</f>
        <v/>
      </c>
      <c r="H1025" s="50"/>
      <c r="I1025" s="82" t="str">
        <f aca="false">IF(OR(F1025="",H1025=""),"",F1025*H1025)</f>
        <v/>
      </c>
      <c r="J1025" s="83" t="str">
        <f aca="false">IF(D1025="","",IFERROR(INDEX(식자재단가!$M$4:$M$203,MATCH(D1025,식자재단가!$C$4:$C$203,0)),"과세"))</f>
        <v/>
      </c>
      <c r="K1025" s="28" t="str">
        <f aca="false">IF(I1025="","",IF(J1025="과세",ROUND(I1025*0.1,0),0))</f>
        <v/>
      </c>
      <c r="L1025" s="28" t="str">
        <f aca="false">IF(I1025="","",I1025+K1025)</f>
        <v/>
      </c>
      <c r="M1025" s="10"/>
      <c r="N1025" s="80"/>
      <c r="O1025" s="80"/>
      <c r="P1025" s="59" t="str">
        <f aca="false">IF(E1025="","",IFERROR(INDEX(기본설정!$H$4:$H$14,MATCH(E1025,기본설정!$G$4:$G$14,0)),""))</f>
        <v/>
      </c>
    </row>
    <row r="1026" customFormat="false" ht="15" hidden="false" customHeight="false" outlineLevel="0" collapsed="false">
      <c r="A1026" s="73"/>
      <c r="B1026" s="10"/>
      <c r="C1026" s="80"/>
      <c r="D1026" s="80"/>
      <c r="E1026" s="81" t="str">
        <f aca="false">IF(D1026="","",IFERROR(INDEX(식자재단가!$B$4:$B$203,MATCH(D1026,식자재단가!$C$4:$C$203,0)),""))</f>
        <v/>
      </c>
      <c r="F1026" s="76"/>
      <c r="G1026" s="59" t="str">
        <f aca="false">IF(D1026="","",IFERROR(INDEX(식자재단가!$F$4:$F$203,MATCH(D1026,식자재단가!$C$4:$C$203,0)),""))</f>
        <v/>
      </c>
      <c r="H1026" s="50"/>
      <c r="I1026" s="82" t="str">
        <f aca="false">IF(OR(F1026="",H1026=""),"",F1026*H1026)</f>
        <v/>
      </c>
      <c r="J1026" s="83" t="str">
        <f aca="false">IF(D1026="","",IFERROR(INDEX(식자재단가!$M$4:$M$203,MATCH(D1026,식자재단가!$C$4:$C$203,0)),"과세"))</f>
        <v/>
      </c>
      <c r="K1026" s="28" t="str">
        <f aca="false">IF(I1026="","",IF(J1026="과세",ROUND(I1026*0.1,0),0))</f>
        <v/>
      </c>
      <c r="L1026" s="28" t="str">
        <f aca="false">IF(I1026="","",I1026+K1026)</f>
        <v/>
      </c>
      <c r="M1026" s="10"/>
      <c r="N1026" s="80"/>
      <c r="O1026" s="80"/>
      <c r="P1026" s="59" t="str">
        <f aca="false">IF(E1026="","",IFERROR(INDEX(기본설정!$H$4:$H$14,MATCH(E1026,기본설정!$G$4:$G$14,0)),""))</f>
        <v/>
      </c>
    </row>
    <row r="1027" customFormat="false" ht="15" hidden="false" customHeight="false" outlineLevel="0" collapsed="false">
      <c r="A1027" s="73"/>
      <c r="B1027" s="10"/>
      <c r="C1027" s="80"/>
      <c r="D1027" s="80"/>
      <c r="E1027" s="81" t="str">
        <f aca="false">IF(D1027="","",IFERROR(INDEX(식자재단가!$B$4:$B$203,MATCH(D1027,식자재단가!$C$4:$C$203,0)),""))</f>
        <v/>
      </c>
      <c r="F1027" s="76"/>
      <c r="G1027" s="59" t="str">
        <f aca="false">IF(D1027="","",IFERROR(INDEX(식자재단가!$F$4:$F$203,MATCH(D1027,식자재단가!$C$4:$C$203,0)),""))</f>
        <v/>
      </c>
      <c r="H1027" s="50"/>
      <c r="I1027" s="82" t="str">
        <f aca="false">IF(OR(F1027="",H1027=""),"",F1027*H1027)</f>
        <v/>
      </c>
      <c r="J1027" s="83" t="str">
        <f aca="false">IF(D1027="","",IFERROR(INDEX(식자재단가!$M$4:$M$203,MATCH(D1027,식자재단가!$C$4:$C$203,0)),"과세"))</f>
        <v/>
      </c>
      <c r="K1027" s="28" t="str">
        <f aca="false">IF(I1027="","",IF(J1027="과세",ROUND(I1027*0.1,0),0))</f>
        <v/>
      </c>
      <c r="L1027" s="28" t="str">
        <f aca="false">IF(I1027="","",I1027+K1027)</f>
        <v/>
      </c>
      <c r="M1027" s="10"/>
      <c r="N1027" s="80"/>
      <c r="O1027" s="80"/>
      <c r="P1027" s="59" t="str">
        <f aca="false">IF(E1027="","",IFERROR(INDEX(기본설정!$H$4:$H$14,MATCH(E1027,기본설정!$G$4:$G$14,0)),""))</f>
        <v/>
      </c>
    </row>
    <row r="1028" customFormat="false" ht="15" hidden="false" customHeight="false" outlineLevel="0" collapsed="false">
      <c r="A1028" s="73"/>
      <c r="B1028" s="10"/>
      <c r="C1028" s="80"/>
      <c r="D1028" s="80"/>
      <c r="E1028" s="81" t="str">
        <f aca="false">IF(D1028="","",IFERROR(INDEX(식자재단가!$B$4:$B$203,MATCH(D1028,식자재단가!$C$4:$C$203,0)),""))</f>
        <v/>
      </c>
      <c r="F1028" s="76"/>
      <c r="G1028" s="59" t="str">
        <f aca="false">IF(D1028="","",IFERROR(INDEX(식자재단가!$F$4:$F$203,MATCH(D1028,식자재단가!$C$4:$C$203,0)),""))</f>
        <v/>
      </c>
      <c r="H1028" s="50"/>
      <c r="I1028" s="82" t="str">
        <f aca="false">IF(OR(F1028="",H1028=""),"",F1028*H1028)</f>
        <v/>
      </c>
      <c r="J1028" s="83" t="str">
        <f aca="false">IF(D1028="","",IFERROR(INDEX(식자재단가!$M$4:$M$203,MATCH(D1028,식자재단가!$C$4:$C$203,0)),"과세"))</f>
        <v/>
      </c>
      <c r="K1028" s="28" t="str">
        <f aca="false">IF(I1028="","",IF(J1028="과세",ROUND(I1028*0.1,0),0))</f>
        <v/>
      </c>
      <c r="L1028" s="28" t="str">
        <f aca="false">IF(I1028="","",I1028+K1028)</f>
        <v/>
      </c>
      <c r="M1028" s="10"/>
      <c r="N1028" s="80"/>
      <c r="O1028" s="80"/>
      <c r="P1028" s="59" t="str">
        <f aca="false">IF(E1028="","",IFERROR(INDEX(기본설정!$H$4:$H$14,MATCH(E1028,기본설정!$G$4:$G$14,0)),""))</f>
        <v/>
      </c>
    </row>
    <row r="1029" customFormat="false" ht="15" hidden="false" customHeight="false" outlineLevel="0" collapsed="false">
      <c r="A1029" s="73"/>
      <c r="B1029" s="10"/>
      <c r="C1029" s="80"/>
      <c r="D1029" s="80"/>
      <c r="E1029" s="81" t="str">
        <f aca="false">IF(D1029="","",IFERROR(INDEX(식자재단가!$B$4:$B$203,MATCH(D1029,식자재단가!$C$4:$C$203,0)),""))</f>
        <v/>
      </c>
      <c r="F1029" s="76"/>
      <c r="G1029" s="59" t="str">
        <f aca="false">IF(D1029="","",IFERROR(INDEX(식자재단가!$F$4:$F$203,MATCH(D1029,식자재단가!$C$4:$C$203,0)),""))</f>
        <v/>
      </c>
      <c r="H1029" s="50"/>
      <c r="I1029" s="82" t="str">
        <f aca="false">IF(OR(F1029="",H1029=""),"",F1029*H1029)</f>
        <v/>
      </c>
      <c r="J1029" s="83" t="str">
        <f aca="false">IF(D1029="","",IFERROR(INDEX(식자재단가!$M$4:$M$203,MATCH(D1029,식자재단가!$C$4:$C$203,0)),"과세"))</f>
        <v/>
      </c>
      <c r="K1029" s="28" t="str">
        <f aca="false">IF(I1029="","",IF(J1029="과세",ROUND(I1029*0.1,0),0))</f>
        <v/>
      </c>
      <c r="L1029" s="28" t="str">
        <f aca="false">IF(I1029="","",I1029+K1029)</f>
        <v/>
      </c>
      <c r="M1029" s="10"/>
      <c r="N1029" s="80"/>
      <c r="O1029" s="80"/>
      <c r="P1029" s="59" t="str">
        <f aca="false">IF(E1029="","",IFERROR(INDEX(기본설정!$H$4:$H$14,MATCH(E1029,기본설정!$G$4:$G$14,0)),""))</f>
        <v/>
      </c>
    </row>
    <row r="1030" customFormat="false" ht="15" hidden="false" customHeight="false" outlineLevel="0" collapsed="false">
      <c r="A1030" s="73"/>
      <c r="B1030" s="10"/>
      <c r="C1030" s="80"/>
      <c r="D1030" s="80"/>
      <c r="E1030" s="81" t="str">
        <f aca="false">IF(D1030="","",IFERROR(INDEX(식자재단가!$B$4:$B$203,MATCH(D1030,식자재단가!$C$4:$C$203,0)),""))</f>
        <v/>
      </c>
      <c r="F1030" s="76"/>
      <c r="G1030" s="59" t="str">
        <f aca="false">IF(D1030="","",IFERROR(INDEX(식자재단가!$F$4:$F$203,MATCH(D1030,식자재단가!$C$4:$C$203,0)),""))</f>
        <v/>
      </c>
      <c r="H1030" s="50"/>
      <c r="I1030" s="82" t="str">
        <f aca="false">IF(OR(F1030="",H1030=""),"",F1030*H1030)</f>
        <v/>
      </c>
      <c r="J1030" s="83" t="str">
        <f aca="false">IF(D1030="","",IFERROR(INDEX(식자재단가!$M$4:$M$203,MATCH(D1030,식자재단가!$C$4:$C$203,0)),"과세"))</f>
        <v/>
      </c>
      <c r="K1030" s="28" t="str">
        <f aca="false">IF(I1030="","",IF(J1030="과세",ROUND(I1030*0.1,0),0))</f>
        <v/>
      </c>
      <c r="L1030" s="28" t="str">
        <f aca="false">IF(I1030="","",I1030+K1030)</f>
        <v/>
      </c>
      <c r="M1030" s="10"/>
      <c r="N1030" s="80"/>
      <c r="O1030" s="80"/>
      <c r="P1030" s="59" t="str">
        <f aca="false">IF(E1030="","",IFERROR(INDEX(기본설정!$H$4:$H$14,MATCH(E1030,기본설정!$G$4:$G$14,0)),""))</f>
        <v/>
      </c>
    </row>
    <row r="1031" customFormat="false" ht="15" hidden="false" customHeight="false" outlineLevel="0" collapsed="false">
      <c r="A1031" s="73"/>
      <c r="B1031" s="10"/>
      <c r="C1031" s="80"/>
      <c r="D1031" s="80"/>
      <c r="E1031" s="81" t="str">
        <f aca="false">IF(D1031="","",IFERROR(INDEX(식자재단가!$B$4:$B$203,MATCH(D1031,식자재단가!$C$4:$C$203,0)),""))</f>
        <v/>
      </c>
      <c r="F1031" s="76"/>
      <c r="G1031" s="59" t="str">
        <f aca="false">IF(D1031="","",IFERROR(INDEX(식자재단가!$F$4:$F$203,MATCH(D1031,식자재단가!$C$4:$C$203,0)),""))</f>
        <v/>
      </c>
      <c r="H1031" s="50"/>
      <c r="I1031" s="82" t="str">
        <f aca="false">IF(OR(F1031="",H1031=""),"",F1031*H1031)</f>
        <v/>
      </c>
      <c r="J1031" s="83" t="str">
        <f aca="false">IF(D1031="","",IFERROR(INDEX(식자재단가!$M$4:$M$203,MATCH(D1031,식자재단가!$C$4:$C$203,0)),"과세"))</f>
        <v/>
      </c>
      <c r="K1031" s="28" t="str">
        <f aca="false">IF(I1031="","",IF(J1031="과세",ROUND(I1031*0.1,0),0))</f>
        <v/>
      </c>
      <c r="L1031" s="28" t="str">
        <f aca="false">IF(I1031="","",I1031+K1031)</f>
        <v/>
      </c>
      <c r="M1031" s="10"/>
      <c r="N1031" s="80"/>
      <c r="O1031" s="80"/>
      <c r="P1031" s="59" t="str">
        <f aca="false">IF(E1031="","",IFERROR(INDEX(기본설정!$H$4:$H$14,MATCH(E1031,기본설정!$G$4:$G$14,0)),""))</f>
        <v/>
      </c>
    </row>
    <row r="1032" customFormat="false" ht="15" hidden="false" customHeight="false" outlineLevel="0" collapsed="false">
      <c r="A1032" s="73"/>
      <c r="B1032" s="10"/>
      <c r="C1032" s="80"/>
      <c r="D1032" s="80"/>
      <c r="E1032" s="81" t="str">
        <f aca="false">IF(D1032="","",IFERROR(INDEX(식자재단가!$B$4:$B$203,MATCH(D1032,식자재단가!$C$4:$C$203,0)),""))</f>
        <v/>
      </c>
      <c r="F1032" s="76"/>
      <c r="G1032" s="59" t="str">
        <f aca="false">IF(D1032="","",IFERROR(INDEX(식자재단가!$F$4:$F$203,MATCH(D1032,식자재단가!$C$4:$C$203,0)),""))</f>
        <v/>
      </c>
      <c r="H1032" s="50"/>
      <c r="I1032" s="82" t="str">
        <f aca="false">IF(OR(F1032="",H1032=""),"",F1032*H1032)</f>
        <v/>
      </c>
      <c r="J1032" s="83" t="str">
        <f aca="false">IF(D1032="","",IFERROR(INDEX(식자재단가!$M$4:$M$203,MATCH(D1032,식자재단가!$C$4:$C$203,0)),"과세"))</f>
        <v/>
      </c>
      <c r="K1032" s="28" t="str">
        <f aca="false">IF(I1032="","",IF(J1032="과세",ROUND(I1032*0.1,0),0))</f>
        <v/>
      </c>
      <c r="L1032" s="28" t="str">
        <f aca="false">IF(I1032="","",I1032+K1032)</f>
        <v/>
      </c>
      <c r="M1032" s="10"/>
      <c r="N1032" s="80"/>
      <c r="O1032" s="80"/>
      <c r="P1032" s="59" t="str">
        <f aca="false">IF(E1032="","",IFERROR(INDEX(기본설정!$H$4:$H$14,MATCH(E1032,기본설정!$G$4:$G$14,0)),""))</f>
        <v/>
      </c>
    </row>
    <row r="1033" customFormat="false" ht="15" hidden="false" customHeight="false" outlineLevel="0" collapsed="false">
      <c r="A1033" s="73"/>
      <c r="B1033" s="10"/>
      <c r="C1033" s="80"/>
      <c r="D1033" s="80"/>
      <c r="E1033" s="81" t="str">
        <f aca="false">IF(D1033="","",IFERROR(INDEX(식자재단가!$B$4:$B$203,MATCH(D1033,식자재단가!$C$4:$C$203,0)),""))</f>
        <v/>
      </c>
      <c r="F1033" s="76"/>
      <c r="G1033" s="59" t="str">
        <f aca="false">IF(D1033="","",IFERROR(INDEX(식자재단가!$F$4:$F$203,MATCH(D1033,식자재단가!$C$4:$C$203,0)),""))</f>
        <v/>
      </c>
      <c r="H1033" s="50"/>
      <c r="I1033" s="82" t="str">
        <f aca="false">IF(OR(F1033="",H1033=""),"",F1033*H1033)</f>
        <v/>
      </c>
      <c r="J1033" s="83" t="str">
        <f aca="false">IF(D1033="","",IFERROR(INDEX(식자재단가!$M$4:$M$203,MATCH(D1033,식자재단가!$C$4:$C$203,0)),"과세"))</f>
        <v/>
      </c>
      <c r="K1033" s="28" t="str">
        <f aca="false">IF(I1033="","",IF(J1033="과세",ROUND(I1033*0.1,0),0))</f>
        <v/>
      </c>
      <c r="L1033" s="28" t="str">
        <f aca="false">IF(I1033="","",I1033+K1033)</f>
        <v/>
      </c>
      <c r="M1033" s="10"/>
      <c r="N1033" s="80"/>
      <c r="O1033" s="80"/>
      <c r="P1033" s="59" t="str">
        <f aca="false">IF(E1033="","",IFERROR(INDEX(기본설정!$H$4:$H$14,MATCH(E1033,기본설정!$G$4:$G$14,0)),""))</f>
        <v/>
      </c>
    </row>
    <row r="1034" customFormat="false" ht="15" hidden="false" customHeight="false" outlineLevel="0" collapsed="false">
      <c r="A1034" s="73"/>
      <c r="B1034" s="10"/>
      <c r="C1034" s="80"/>
      <c r="D1034" s="80"/>
      <c r="E1034" s="81" t="str">
        <f aca="false">IF(D1034="","",IFERROR(INDEX(식자재단가!$B$4:$B$203,MATCH(D1034,식자재단가!$C$4:$C$203,0)),""))</f>
        <v/>
      </c>
      <c r="F1034" s="76"/>
      <c r="G1034" s="59" t="str">
        <f aca="false">IF(D1034="","",IFERROR(INDEX(식자재단가!$F$4:$F$203,MATCH(D1034,식자재단가!$C$4:$C$203,0)),""))</f>
        <v/>
      </c>
      <c r="H1034" s="50"/>
      <c r="I1034" s="82" t="str">
        <f aca="false">IF(OR(F1034="",H1034=""),"",F1034*H1034)</f>
        <v/>
      </c>
      <c r="J1034" s="83" t="str">
        <f aca="false">IF(D1034="","",IFERROR(INDEX(식자재단가!$M$4:$M$203,MATCH(D1034,식자재단가!$C$4:$C$203,0)),"과세"))</f>
        <v/>
      </c>
      <c r="K1034" s="28" t="str">
        <f aca="false">IF(I1034="","",IF(J1034="과세",ROUND(I1034*0.1,0),0))</f>
        <v/>
      </c>
      <c r="L1034" s="28" t="str">
        <f aca="false">IF(I1034="","",I1034+K1034)</f>
        <v/>
      </c>
      <c r="M1034" s="10"/>
      <c r="N1034" s="80"/>
      <c r="O1034" s="80"/>
      <c r="P1034" s="59" t="str">
        <f aca="false">IF(E1034="","",IFERROR(INDEX(기본설정!$H$4:$H$14,MATCH(E1034,기본설정!$G$4:$G$14,0)),""))</f>
        <v/>
      </c>
    </row>
    <row r="1035" customFormat="false" ht="15" hidden="false" customHeight="false" outlineLevel="0" collapsed="false">
      <c r="A1035" s="73"/>
      <c r="B1035" s="10"/>
      <c r="C1035" s="80"/>
      <c r="D1035" s="80"/>
      <c r="E1035" s="81" t="str">
        <f aca="false">IF(D1035="","",IFERROR(INDEX(식자재단가!$B$4:$B$203,MATCH(D1035,식자재단가!$C$4:$C$203,0)),""))</f>
        <v/>
      </c>
      <c r="F1035" s="76"/>
      <c r="G1035" s="59" t="str">
        <f aca="false">IF(D1035="","",IFERROR(INDEX(식자재단가!$F$4:$F$203,MATCH(D1035,식자재단가!$C$4:$C$203,0)),""))</f>
        <v/>
      </c>
      <c r="H1035" s="50"/>
      <c r="I1035" s="82" t="str">
        <f aca="false">IF(OR(F1035="",H1035=""),"",F1035*H1035)</f>
        <v/>
      </c>
      <c r="J1035" s="83" t="str">
        <f aca="false">IF(D1035="","",IFERROR(INDEX(식자재단가!$M$4:$M$203,MATCH(D1035,식자재단가!$C$4:$C$203,0)),"과세"))</f>
        <v/>
      </c>
      <c r="K1035" s="28" t="str">
        <f aca="false">IF(I1035="","",IF(J1035="과세",ROUND(I1035*0.1,0),0))</f>
        <v/>
      </c>
      <c r="L1035" s="28" t="str">
        <f aca="false">IF(I1035="","",I1035+K1035)</f>
        <v/>
      </c>
      <c r="M1035" s="10"/>
      <c r="N1035" s="80"/>
      <c r="O1035" s="80"/>
      <c r="P1035" s="59" t="str">
        <f aca="false">IF(E1035="","",IFERROR(INDEX(기본설정!$H$4:$H$14,MATCH(E1035,기본설정!$G$4:$G$14,0)),""))</f>
        <v/>
      </c>
    </row>
    <row r="1036" customFormat="false" ht="15" hidden="false" customHeight="false" outlineLevel="0" collapsed="false">
      <c r="A1036" s="73"/>
      <c r="B1036" s="10"/>
      <c r="C1036" s="80"/>
      <c r="D1036" s="80"/>
      <c r="E1036" s="81" t="str">
        <f aca="false">IF(D1036="","",IFERROR(INDEX(식자재단가!$B$4:$B$203,MATCH(D1036,식자재단가!$C$4:$C$203,0)),""))</f>
        <v/>
      </c>
      <c r="F1036" s="76"/>
      <c r="G1036" s="59" t="str">
        <f aca="false">IF(D1036="","",IFERROR(INDEX(식자재단가!$F$4:$F$203,MATCH(D1036,식자재단가!$C$4:$C$203,0)),""))</f>
        <v/>
      </c>
      <c r="H1036" s="50"/>
      <c r="I1036" s="82" t="str">
        <f aca="false">IF(OR(F1036="",H1036=""),"",F1036*H1036)</f>
        <v/>
      </c>
      <c r="J1036" s="83" t="str">
        <f aca="false">IF(D1036="","",IFERROR(INDEX(식자재단가!$M$4:$M$203,MATCH(D1036,식자재단가!$C$4:$C$203,0)),"과세"))</f>
        <v/>
      </c>
      <c r="K1036" s="28" t="str">
        <f aca="false">IF(I1036="","",IF(J1036="과세",ROUND(I1036*0.1,0),0))</f>
        <v/>
      </c>
      <c r="L1036" s="28" t="str">
        <f aca="false">IF(I1036="","",I1036+K1036)</f>
        <v/>
      </c>
      <c r="M1036" s="10"/>
      <c r="N1036" s="80"/>
      <c r="O1036" s="80"/>
      <c r="P1036" s="59" t="str">
        <f aca="false">IF(E1036="","",IFERROR(INDEX(기본설정!$H$4:$H$14,MATCH(E1036,기본설정!$G$4:$G$14,0)),""))</f>
        <v/>
      </c>
    </row>
    <row r="1037" customFormat="false" ht="15" hidden="false" customHeight="false" outlineLevel="0" collapsed="false">
      <c r="A1037" s="73"/>
      <c r="B1037" s="10"/>
      <c r="C1037" s="80"/>
      <c r="D1037" s="80"/>
      <c r="E1037" s="81" t="str">
        <f aca="false">IF(D1037="","",IFERROR(INDEX(식자재단가!$B$4:$B$203,MATCH(D1037,식자재단가!$C$4:$C$203,0)),""))</f>
        <v/>
      </c>
      <c r="F1037" s="76"/>
      <c r="G1037" s="59" t="str">
        <f aca="false">IF(D1037="","",IFERROR(INDEX(식자재단가!$F$4:$F$203,MATCH(D1037,식자재단가!$C$4:$C$203,0)),""))</f>
        <v/>
      </c>
      <c r="H1037" s="50"/>
      <c r="I1037" s="82" t="str">
        <f aca="false">IF(OR(F1037="",H1037=""),"",F1037*H1037)</f>
        <v/>
      </c>
      <c r="J1037" s="83" t="str">
        <f aca="false">IF(D1037="","",IFERROR(INDEX(식자재단가!$M$4:$M$203,MATCH(D1037,식자재단가!$C$4:$C$203,0)),"과세"))</f>
        <v/>
      </c>
      <c r="K1037" s="28" t="str">
        <f aca="false">IF(I1037="","",IF(J1037="과세",ROUND(I1037*0.1,0),0))</f>
        <v/>
      </c>
      <c r="L1037" s="28" t="str">
        <f aca="false">IF(I1037="","",I1037+K1037)</f>
        <v/>
      </c>
      <c r="M1037" s="10"/>
      <c r="N1037" s="80"/>
      <c r="O1037" s="80"/>
      <c r="P1037" s="59" t="str">
        <f aca="false">IF(E1037="","",IFERROR(INDEX(기본설정!$H$4:$H$14,MATCH(E1037,기본설정!$G$4:$G$14,0)),""))</f>
        <v/>
      </c>
    </row>
    <row r="1038" customFormat="false" ht="15" hidden="false" customHeight="false" outlineLevel="0" collapsed="false">
      <c r="A1038" s="73"/>
      <c r="B1038" s="10"/>
      <c r="C1038" s="80"/>
      <c r="D1038" s="80"/>
      <c r="E1038" s="81" t="str">
        <f aca="false">IF(D1038="","",IFERROR(INDEX(식자재단가!$B$4:$B$203,MATCH(D1038,식자재단가!$C$4:$C$203,0)),""))</f>
        <v/>
      </c>
      <c r="F1038" s="76"/>
      <c r="G1038" s="59" t="str">
        <f aca="false">IF(D1038="","",IFERROR(INDEX(식자재단가!$F$4:$F$203,MATCH(D1038,식자재단가!$C$4:$C$203,0)),""))</f>
        <v/>
      </c>
      <c r="H1038" s="50"/>
      <c r="I1038" s="82" t="str">
        <f aca="false">IF(OR(F1038="",H1038=""),"",F1038*H1038)</f>
        <v/>
      </c>
      <c r="J1038" s="83" t="str">
        <f aca="false">IF(D1038="","",IFERROR(INDEX(식자재단가!$M$4:$M$203,MATCH(D1038,식자재단가!$C$4:$C$203,0)),"과세"))</f>
        <v/>
      </c>
      <c r="K1038" s="28" t="str">
        <f aca="false">IF(I1038="","",IF(J1038="과세",ROUND(I1038*0.1,0),0))</f>
        <v/>
      </c>
      <c r="L1038" s="28" t="str">
        <f aca="false">IF(I1038="","",I1038+K1038)</f>
        <v/>
      </c>
      <c r="M1038" s="10"/>
      <c r="N1038" s="80"/>
      <c r="O1038" s="80"/>
      <c r="P1038" s="59" t="str">
        <f aca="false">IF(E1038="","",IFERROR(INDEX(기본설정!$H$4:$H$14,MATCH(E1038,기본설정!$G$4:$G$14,0)),""))</f>
        <v/>
      </c>
    </row>
    <row r="1039" customFormat="false" ht="15" hidden="false" customHeight="false" outlineLevel="0" collapsed="false">
      <c r="A1039" s="73"/>
      <c r="B1039" s="10"/>
      <c r="C1039" s="80"/>
      <c r="D1039" s="80"/>
      <c r="E1039" s="81" t="str">
        <f aca="false">IF(D1039="","",IFERROR(INDEX(식자재단가!$B$4:$B$203,MATCH(D1039,식자재단가!$C$4:$C$203,0)),""))</f>
        <v/>
      </c>
      <c r="F1039" s="76"/>
      <c r="G1039" s="59" t="str">
        <f aca="false">IF(D1039="","",IFERROR(INDEX(식자재단가!$F$4:$F$203,MATCH(D1039,식자재단가!$C$4:$C$203,0)),""))</f>
        <v/>
      </c>
      <c r="H1039" s="50"/>
      <c r="I1039" s="82" t="str">
        <f aca="false">IF(OR(F1039="",H1039=""),"",F1039*H1039)</f>
        <v/>
      </c>
      <c r="J1039" s="83" t="str">
        <f aca="false">IF(D1039="","",IFERROR(INDEX(식자재단가!$M$4:$M$203,MATCH(D1039,식자재단가!$C$4:$C$203,0)),"과세"))</f>
        <v/>
      </c>
      <c r="K1039" s="28" t="str">
        <f aca="false">IF(I1039="","",IF(J1039="과세",ROUND(I1039*0.1,0),0))</f>
        <v/>
      </c>
      <c r="L1039" s="28" t="str">
        <f aca="false">IF(I1039="","",I1039+K1039)</f>
        <v/>
      </c>
      <c r="M1039" s="10"/>
      <c r="N1039" s="80"/>
      <c r="O1039" s="80"/>
      <c r="P1039" s="59" t="str">
        <f aca="false">IF(E1039="","",IFERROR(INDEX(기본설정!$H$4:$H$14,MATCH(E1039,기본설정!$G$4:$G$14,0)),""))</f>
        <v/>
      </c>
    </row>
    <row r="1040" customFormat="false" ht="15" hidden="false" customHeight="false" outlineLevel="0" collapsed="false">
      <c r="A1040" s="73"/>
      <c r="B1040" s="10"/>
      <c r="C1040" s="80"/>
      <c r="D1040" s="80"/>
      <c r="E1040" s="81" t="str">
        <f aca="false">IF(D1040="","",IFERROR(INDEX(식자재단가!$B$4:$B$203,MATCH(D1040,식자재단가!$C$4:$C$203,0)),""))</f>
        <v/>
      </c>
      <c r="F1040" s="76"/>
      <c r="G1040" s="59" t="str">
        <f aca="false">IF(D1040="","",IFERROR(INDEX(식자재단가!$F$4:$F$203,MATCH(D1040,식자재단가!$C$4:$C$203,0)),""))</f>
        <v/>
      </c>
      <c r="H1040" s="50"/>
      <c r="I1040" s="82" t="str">
        <f aca="false">IF(OR(F1040="",H1040=""),"",F1040*H1040)</f>
        <v/>
      </c>
      <c r="J1040" s="83" t="str">
        <f aca="false">IF(D1040="","",IFERROR(INDEX(식자재단가!$M$4:$M$203,MATCH(D1040,식자재단가!$C$4:$C$203,0)),"과세"))</f>
        <v/>
      </c>
      <c r="K1040" s="28" t="str">
        <f aca="false">IF(I1040="","",IF(J1040="과세",ROUND(I1040*0.1,0),0))</f>
        <v/>
      </c>
      <c r="L1040" s="28" t="str">
        <f aca="false">IF(I1040="","",I1040+K1040)</f>
        <v/>
      </c>
      <c r="M1040" s="10"/>
      <c r="N1040" s="80"/>
      <c r="O1040" s="80"/>
      <c r="P1040" s="59" t="str">
        <f aca="false">IF(E1040="","",IFERROR(INDEX(기본설정!$H$4:$H$14,MATCH(E1040,기본설정!$G$4:$G$14,0)),""))</f>
        <v/>
      </c>
    </row>
    <row r="1041" customFormat="false" ht="15" hidden="false" customHeight="false" outlineLevel="0" collapsed="false">
      <c r="A1041" s="73"/>
      <c r="B1041" s="10"/>
      <c r="C1041" s="80"/>
      <c r="D1041" s="80"/>
      <c r="E1041" s="81" t="str">
        <f aca="false">IF(D1041="","",IFERROR(INDEX(식자재단가!$B$4:$B$203,MATCH(D1041,식자재단가!$C$4:$C$203,0)),""))</f>
        <v/>
      </c>
      <c r="F1041" s="76"/>
      <c r="G1041" s="59" t="str">
        <f aca="false">IF(D1041="","",IFERROR(INDEX(식자재단가!$F$4:$F$203,MATCH(D1041,식자재단가!$C$4:$C$203,0)),""))</f>
        <v/>
      </c>
      <c r="H1041" s="50"/>
      <c r="I1041" s="82" t="str">
        <f aca="false">IF(OR(F1041="",H1041=""),"",F1041*H1041)</f>
        <v/>
      </c>
      <c r="J1041" s="83" t="str">
        <f aca="false">IF(D1041="","",IFERROR(INDEX(식자재단가!$M$4:$M$203,MATCH(D1041,식자재단가!$C$4:$C$203,0)),"과세"))</f>
        <v/>
      </c>
      <c r="K1041" s="28" t="str">
        <f aca="false">IF(I1041="","",IF(J1041="과세",ROUND(I1041*0.1,0),0))</f>
        <v/>
      </c>
      <c r="L1041" s="28" t="str">
        <f aca="false">IF(I1041="","",I1041+K1041)</f>
        <v/>
      </c>
      <c r="M1041" s="10"/>
      <c r="N1041" s="80"/>
      <c r="O1041" s="80"/>
      <c r="P1041" s="59" t="str">
        <f aca="false">IF(E1041="","",IFERROR(INDEX(기본설정!$H$4:$H$14,MATCH(E1041,기본설정!$G$4:$G$14,0)),""))</f>
        <v/>
      </c>
    </row>
    <row r="1042" customFormat="false" ht="15" hidden="false" customHeight="false" outlineLevel="0" collapsed="false">
      <c r="A1042" s="73"/>
      <c r="B1042" s="10"/>
      <c r="C1042" s="80"/>
      <c r="D1042" s="80"/>
      <c r="E1042" s="81" t="str">
        <f aca="false">IF(D1042="","",IFERROR(INDEX(식자재단가!$B$4:$B$203,MATCH(D1042,식자재단가!$C$4:$C$203,0)),""))</f>
        <v/>
      </c>
      <c r="F1042" s="76"/>
      <c r="G1042" s="59" t="str">
        <f aca="false">IF(D1042="","",IFERROR(INDEX(식자재단가!$F$4:$F$203,MATCH(D1042,식자재단가!$C$4:$C$203,0)),""))</f>
        <v/>
      </c>
      <c r="H1042" s="50"/>
      <c r="I1042" s="82" t="str">
        <f aca="false">IF(OR(F1042="",H1042=""),"",F1042*H1042)</f>
        <v/>
      </c>
      <c r="J1042" s="83" t="str">
        <f aca="false">IF(D1042="","",IFERROR(INDEX(식자재단가!$M$4:$M$203,MATCH(D1042,식자재단가!$C$4:$C$203,0)),"과세"))</f>
        <v/>
      </c>
      <c r="K1042" s="28" t="str">
        <f aca="false">IF(I1042="","",IF(J1042="과세",ROUND(I1042*0.1,0),0))</f>
        <v/>
      </c>
      <c r="L1042" s="28" t="str">
        <f aca="false">IF(I1042="","",I1042+K1042)</f>
        <v/>
      </c>
      <c r="M1042" s="10"/>
      <c r="N1042" s="80"/>
      <c r="O1042" s="80"/>
      <c r="P1042" s="59" t="str">
        <f aca="false">IF(E1042="","",IFERROR(INDEX(기본설정!$H$4:$H$14,MATCH(E1042,기본설정!$G$4:$G$14,0)),""))</f>
        <v/>
      </c>
    </row>
    <row r="1043" customFormat="false" ht="15" hidden="false" customHeight="false" outlineLevel="0" collapsed="false">
      <c r="A1043" s="73"/>
      <c r="B1043" s="10"/>
      <c r="C1043" s="80"/>
      <c r="D1043" s="80"/>
      <c r="E1043" s="81" t="str">
        <f aca="false">IF(D1043="","",IFERROR(INDEX(식자재단가!$B$4:$B$203,MATCH(D1043,식자재단가!$C$4:$C$203,0)),""))</f>
        <v/>
      </c>
      <c r="F1043" s="76"/>
      <c r="G1043" s="59" t="str">
        <f aca="false">IF(D1043="","",IFERROR(INDEX(식자재단가!$F$4:$F$203,MATCH(D1043,식자재단가!$C$4:$C$203,0)),""))</f>
        <v/>
      </c>
      <c r="H1043" s="50"/>
      <c r="I1043" s="82" t="str">
        <f aca="false">IF(OR(F1043="",H1043=""),"",F1043*H1043)</f>
        <v/>
      </c>
      <c r="J1043" s="83" t="str">
        <f aca="false">IF(D1043="","",IFERROR(INDEX(식자재단가!$M$4:$M$203,MATCH(D1043,식자재단가!$C$4:$C$203,0)),"과세"))</f>
        <v/>
      </c>
      <c r="K1043" s="28" t="str">
        <f aca="false">IF(I1043="","",IF(J1043="과세",ROUND(I1043*0.1,0),0))</f>
        <v/>
      </c>
      <c r="L1043" s="28" t="str">
        <f aca="false">IF(I1043="","",I1043+K1043)</f>
        <v/>
      </c>
      <c r="M1043" s="10"/>
      <c r="N1043" s="80"/>
      <c r="O1043" s="80"/>
      <c r="P1043" s="59" t="str">
        <f aca="false">IF(E1043="","",IFERROR(INDEX(기본설정!$H$4:$H$14,MATCH(E1043,기본설정!$G$4:$G$14,0)),""))</f>
        <v/>
      </c>
    </row>
    <row r="1044" customFormat="false" ht="15" hidden="false" customHeight="false" outlineLevel="0" collapsed="false">
      <c r="A1044" s="73"/>
      <c r="B1044" s="10"/>
      <c r="C1044" s="80"/>
      <c r="D1044" s="80"/>
      <c r="E1044" s="81" t="str">
        <f aca="false">IF(D1044="","",IFERROR(INDEX(식자재단가!$B$4:$B$203,MATCH(D1044,식자재단가!$C$4:$C$203,0)),""))</f>
        <v/>
      </c>
      <c r="F1044" s="76"/>
      <c r="G1044" s="59" t="str">
        <f aca="false">IF(D1044="","",IFERROR(INDEX(식자재단가!$F$4:$F$203,MATCH(D1044,식자재단가!$C$4:$C$203,0)),""))</f>
        <v/>
      </c>
      <c r="H1044" s="50"/>
      <c r="I1044" s="82" t="str">
        <f aca="false">IF(OR(F1044="",H1044=""),"",F1044*H1044)</f>
        <v/>
      </c>
      <c r="J1044" s="83" t="str">
        <f aca="false">IF(D1044="","",IFERROR(INDEX(식자재단가!$M$4:$M$203,MATCH(D1044,식자재단가!$C$4:$C$203,0)),"과세"))</f>
        <v/>
      </c>
      <c r="K1044" s="28" t="str">
        <f aca="false">IF(I1044="","",IF(J1044="과세",ROUND(I1044*0.1,0),0))</f>
        <v/>
      </c>
      <c r="L1044" s="28" t="str">
        <f aca="false">IF(I1044="","",I1044+K1044)</f>
        <v/>
      </c>
      <c r="M1044" s="10"/>
      <c r="N1044" s="80"/>
      <c r="O1044" s="80"/>
      <c r="P1044" s="59" t="str">
        <f aca="false">IF(E1044="","",IFERROR(INDEX(기본설정!$H$4:$H$14,MATCH(E1044,기본설정!$G$4:$G$14,0)),""))</f>
        <v/>
      </c>
    </row>
    <row r="1045" customFormat="false" ht="15" hidden="false" customHeight="false" outlineLevel="0" collapsed="false">
      <c r="A1045" s="73"/>
      <c r="B1045" s="10"/>
      <c r="C1045" s="80"/>
      <c r="D1045" s="80"/>
      <c r="E1045" s="81" t="str">
        <f aca="false">IF(D1045="","",IFERROR(INDEX(식자재단가!$B$4:$B$203,MATCH(D1045,식자재단가!$C$4:$C$203,0)),""))</f>
        <v/>
      </c>
      <c r="F1045" s="76"/>
      <c r="G1045" s="59" t="str">
        <f aca="false">IF(D1045="","",IFERROR(INDEX(식자재단가!$F$4:$F$203,MATCH(D1045,식자재단가!$C$4:$C$203,0)),""))</f>
        <v/>
      </c>
      <c r="H1045" s="50"/>
      <c r="I1045" s="82" t="str">
        <f aca="false">IF(OR(F1045="",H1045=""),"",F1045*H1045)</f>
        <v/>
      </c>
      <c r="J1045" s="83" t="str">
        <f aca="false">IF(D1045="","",IFERROR(INDEX(식자재단가!$M$4:$M$203,MATCH(D1045,식자재단가!$C$4:$C$203,0)),"과세"))</f>
        <v/>
      </c>
      <c r="K1045" s="28" t="str">
        <f aca="false">IF(I1045="","",IF(J1045="과세",ROUND(I1045*0.1,0),0))</f>
        <v/>
      </c>
      <c r="L1045" s="28" t="str">
        <f aca="false">IF(I1045="","",I1045+K1045)</f>
        <v/>
      </c>
      <c r="M1045" s="10"/>
      <c r="N1045" s="80"/>
      <c r="O1045" s="80"/>
      <c r="P1045" s="59" t="str">
        <f aca="false">IF(E1045="","",IFERROR(INDEX(기본설정!$H$4:$H$14,MATCH(E1045,기본설정!$G$4:$G$14,0)),""))</f>
        <v/>
      </c>
    </row>
    <row r="1046" customFormat="false" ht="15" hidden="false" customHeight="false" outlineLevel="0" collapsed="false">
      <c r="A1046" s="73"/>
      <c r="B1046" s="10"/>
      <c r="C1046" s="80"/>
      <c r="D1046" s="80"/>
      <c r="E1046" s="81" t="str">
        <f aca="false">IF(D1046="","",IFERROR(INDEX(식자재단가!$B$4:$B$203,MATCH(D1046,식자재단가!$C$4:$C$203,0)),""))</f>
        <v/>
      </c>
      <c r="F1046" s="76"/>
      <c r="G1046" s="59" t="str">
        <f aca="false">IF(D1046="","",IFERROR(INDEX(식자재단가!$F$4:$F$203,MATCH(D1046,식자재단가!$C$4:$C$203,0)),""))</f>
        <v/>
      </c>
      <c r="H1046" s="50"/>
      <c r="I1046" s="82" t="str">
        <f aca="false">IF(OR(F1046="",H1046=""),"",F1046*H1046)</f>
        <v/>
      </c>
      <c r="J1046" s="83" t="str">
        <f aca="false">IF(D1046="","",IFERROR(INDEX(식자재단가!$M$4:$M$203,MATCH(D1046,식자재단가!$C$4:$C$203,0)),"과세"))</f>
        <v/>
      </c>
      <c r="K1046" s="28" t="str">
        <f aca="false">IF(I1046="","",IF(J1046="과세",ROUND(I1046*0.1,0),0))</f>
        <v/>
      </c>
      <c r="L1046" s="28" t="str">
        <f aca="false">IF(I1046="","",I1046+K1046)</f>
        <v/>
      </c>
      <c r="M1046" s="10"/>
      <c r="N1046" s="80"/>
      <c r="O1046" s="80"/>
      <c r="P1046" s="59" t="str">
        <f aca="false">IF(E1046="","",IFERROR(INDEX(기본설정!$H$4:$H$14,MATCH(E1046,기본설정!$G$4:$G$14,0)),""))</f>
        <v/>
      </c>
    </row>
    <row r="1047" customFormat="false" ht="15" hidden="false" customHeight="false" outlineLevel="0" collapsed="false">
      <c r="A1047" s="73"/>
      <c r="B1047" s="10"/>
      <c r="C1047" s="80"/>
      <c r="D1047" s="80"/>
      <c r="E1047" s="81" t="str">
        <f aca="false">IF(D1047="","",IFERROR(INDEX(식자재단가!$B$4:$B$203,MATCH(D1047,식자재단가!$C$4:$C$203,0)),""))</f>
        <v/>
      </c>
      <c r="F1047" s="76"/>
      <c r="G1047" s="59" t="str">
        <f aca="false">IF(D1047="","",IFERROR(INDEX(식자재단가!$F$4:$F$203,MATCH(D1047,식자재단가!$C$4:$C$203,0)),""))</f>
        <v/>
      </c>
      <c r="H1047" s="50"/>
      <c r="I1047" s="82" t="str">
        <f aca="false">IF(OR(F1047="",H1047=""),"",F1047*H1047)</f>
        <v/>
      </c>
      <c r="J1047" s="83" t="str">
        <f aca="false">IF(D1047="","",IFERROR(INDEX(식자재단가!$M$4:$M$203,MATCH(D1047,식자재단가!$C$4:$C$203,0)),"과세"))</f>
        <v/>
      </c>
      <c r="K1047" s="28" t="str">
        <f aca="false">IF(I1047="","",IF(J1047="과세",ROUND(I1047*0.1,0),0))</f>
        <v/>
      </c>
      <c r="L1047" s="28" t="str">
        <f aca="false">IF(I1047="","",I1047+K1047)</f>
        <v/>
      </c>
      <c r="M1047" s="10"/>
      <c r="N1047" s="80"/>
      <c r="O1047" s="80"/>
      <c r="P1047" s="59" t="str">
        <f aca="false">IF(E1047="","",IFERROR(INDEX(기본설정!$H$4:$H$14,MATCH(E1047,기본설정!$G$4:$G$14,0)),""))</f>
        <v/>
      </c>
    </row>
    <row r="1048" customFormat="false" ht="15" hidden="false" customHeight="false" outlineLevel="0" collapsed="false">
      <c r="A1048" s="73"/>
      <c r="B1048" s="10"/>
      <c r="C1048" s="80"/>
      <c r="D1048" s="80"/>
      <c r="E1048" s="81" t="str">
        <f aca="false">IF(D1048="","",IFERROR(INDEX(식자재단가!$B$4:$B$203,MATCH(D1048,식자재단가!$C$4:$C$203,0)),""))</f>
        <v/>
      </c>
      <c r="F1048" s="76"/>
      <c r="G1048" s="59" t="str">
        <f aca="false">IF(D1048="","",IFERROR(INDEX(식자재단가!$F$4:$F$203,MATCH(D1048,식자재단가!$C$4:$C$203,0)),""))</f>
        <v/>
      </c>
      <c r="H1048" s="50"/>
      <c r="I1048" s="82" t="str">
        <f aca="false">IF(OR(F1048="",H1048=""),"",F1048*H1048)</f>
        <v/>
      </c>
      <c r="J1048" s="83" t="str">
        <f aca="false">IF(D1048="","",IFERROR(INDEX(식자재단가!$M$4:$M$203,MATCH(D1048,식자재단가!$C$4:$C$203,0)),"과세"))</f>
        <v/>
      </c>
      <c r="K1048" s="28" t="str">
        <f aca="false">IF(I1048="","",IF(J1048="과세",ROUND(I1048*0.1,0),0))</f>
        <v/>
      </c>
      <c r="L1048" s="28" t="str">
        <f aca="false">IF(I1048="","",I1048+K1048)</f>
        <v/>
      </c>
      <c r="M1048" s="10"/>
      <c r="N1048" s="80"/>
      <c r="O1048" s="80"/>
      <c r="P1048" s="59" t="str">
        <f aca="false">IF(E1048="","",IFERROR(INDEX(기본설정!$H$4:$H$14,MATCH(E1048,기본설정!$G$4:$G$14,0)),""))</f>
        <v/>
      </c>
    </row>
    <row r="1049" customFormat="false" ht="15" hidden="false" customHeight="false" outlineLevel="0" collapsed="false">
      <c r="A1049" s="73"/>
      <c r="B1049" s="10"/>
      <c r="C1049" s="80"/>
      <c r="D1049" s="80"/>
      <c r="E1049" s="81" t="str">
        <f aca="false">IF(D1049="","",IFERROR(INDEX(식자재단가!$B$4:$B$203,MATCH(D1049,식자재단가!$C$4:$C$203,0)),""))</f>
        <v/>
      </c>
      <c r="F1049" s="76"/>
      <c r="G1049" s="59" t="str">
        <f aca="false">IF(D1049="","",IFERROR(INDEX(식자재단가!$F$4:$F$203,MATCH(D1049,식자재단가!$C$4:$C$203,0)),""))</f>
        <v/>
      </c>
      <c r="H1049" s="50"/>
      <c r="I1049" s="82" t="str">
        <f aca="false">IF(OR(F1049="",H1049=""),"",F1049*H1049)</f>
        <v/>
      </c>
      <c r="J1049" s="83" t="str">
        <f aca="false">IF(D1049="","",IFERROR(INDEX(식자재단가!$M$4:$M$203,MATCH(D1049,식자재단가!$C$4:$C$203,0)),"과세"))</f>
        <v/>
      </c>
      <c r="K1049" s="28" t="str">
        <f aca="false">IF(I1049="","",IF(J1049="과세",ROUND(I1049*0.1,0),0))</f>
        <v/>
      </c>
      <c r="L1049" s="28" t="str">
        <f aca="false">IF(I1049="","",I1049+K1049)</f>
        <v/>
      </c>
      <c r="M1049" s="10"/>
      <c r="N1049" s="80"/>
      <c r="O1049" s="80"/>
      <c r="P1049" s="59" t="str">
        <f aca="false">IF(E1049="","",IFERROR(INDEX(기본설정!$H$4:$H$14,MATCH(E1049,기본설정!$G$4:$G$14,0)),""))</f>
        <v/>
      </c>
    </row>
    <row r="1050" customFormat="false" ht="15" hidden="false" customHeight="false" outlineLevel="0" collapsed="false">
      <c r="A1050" s="73"/>
      <c r="B1050" s="10"/>
      <c r="C1050" s="80"/>
      <c r="D1050" s="80"/>
      <c r="E1050" s="81" t="str">
        <f aca="false">IF(D1050="","",IFERROR(INDEX(식자재단가!$B$4:$B$203,MATCH(D1050,식자재단가!$C$4:$C$203,0)),""))</f>
        <v/>
      </c>
      <c r="F1050" s="76"/>
      <c r="G1050" s="59" t="str">
        <f aca="false">IF(D1050="","",IFERROR(INDEX(식자재단가!$F$4:$F$203,MATCH(D1050,식자재단가!$C$4:$C$203,0)),""))</f>
        <v/>
      </c>
      <c r="H1050" s="50"/>
      <c r="I1050" s="82" t="str">
        <f aca="false">IF(OR(F1050="",H1050=""),"",F1050*H1050)</f>
        <v/>
      </c>
      <c r="J1050" s="83" t="str">
        <f aca="false">IF(D1050="","",IFERROR(INDEX(식자재단가!$M$4:$M$203,MATCH(D1050,식자재단가!$C$4:$C$203,0)),"과세"))</f>
        <v/>
      </c>
      <c r="K1050" s="28" t="str">
        <f aca="false">IF(I1050="","",IF(J1050="과세",ROUND(I1050*0.1,0),0))</f>
        <v/>
      </c>
      <c r="L1050" s="28" t="str">
        <f aca="false">IF(I1050="","",I1050+K1050)</f>
        <v/>
      </c>
      <c r="M1050" s="10"/>
      <c r="N1050" s="80"/>
      <c r="O1050" s="80"/>
      <c r="P1050" s="59" t="str">
        <f aca="false">IF(E1050="","",IFERROR(INDEX(기본설정!$H$4:$H$14,MATCH(E1050,기본설정!$G$4:$G$14,0)),""))</f>
        <v/>
      </c>
    </row>
    <row r="1051" customFormat="false" ht="15" hidden="false" customHeight="false" outlineLevel="0" collapsed="false">
      <c r="A1051" s="73"/>
      <c r="B1051" s="10"/>
      <c r="C1051" s="80"/>
      <c r="D1051" s="80"/>
      <c r="E1051" s="81" t="str">
        <f aca="false">IF(D1051="","",IFERROR(INDEX(식자재단가!$B$4:$B$203,MATCH(D1051,식자재단가!$C$4:$C$203,0)),""))</f>
        <v/>
      </c>
      <c r="F1051" s="76"/>
      <c r="G1051" s="59" t="str">
        <f aca="false">IF(D1051="","",IFERROR(INDEX(식자재단가!$F$4:$F$203,MATCH(D1051,식자재단가!$C$4:$C$203,0)),""))</f>
        <v/>
      </c>
      <c r="H1051" s="50"/>
      <c r="I1051" s="82" t="str">
        <f aca="false">IF(OR(F1051="",H1051=""),"",F1051*H1051)</f>
        <v/>
      </c>
      <c r="J1051" s="83" t="str">
        <f aca="false">IF(D1051="","",IFERROR(INDEX(식자재단가!$M$4:$M$203,MATCH(D1051,식자재단가!$C$4:$C$203,0)),"과세"))</f>
        <v/>
      </c>
      <c r="K1051" s="28" t="str">
        <f aca="false">IF(I1051="","",IF(J1051="과세",ROUND(I1051*0.1,0),0))</f>
        <v/>
      </c>
      <c r="L1051" s="28" t="str">
        <f aca="false">IF(I1051="","",I1051+K1051)</f>
        <v/>
      </c>
      <c r="M1051" s="10"/>
      <c r="N1051" s="80"/>
      <c r="O1051" s="80"/>
      <c r="P1051" s="59" t="str">
        <f aca="false">IF(E1051="","",IFERROR(INDEX(기본설정!$H$4:$H$14,MATCH(E1051,기본설정!$G$4:$G$14,0)),""))</f>
        <v/>
      </c>
    </row>
    <row r="1052" customFormat="false" ht="15" hidden="false" customHeight="false" outlineLevel="0" collapsed="false">
      <c r="A1052" s="73"/>
      <c r="B1052" s="10"/>
      <c r="C1052" s="80"/>
      <c r="D1052" s="80"/>
      <c r="E1052" s="81" t="str">
        <f aca="false">IF(D1052="","",IFERROR(INDEX(식자재단가!$B$4:$B$203,MATCH(D1052,식자재단가!$C$4:$C$203,0)),""))</f>
        <v/>
      </c>
      <c r="F1052" s="76"/>
      <c r="G1052" s="59" t="str">
        <f aca="false">IF(D1052="","",IFERROR(INDEX(식자재단가!$F$4:$F$203,MATCH(D1052,식자재단가!$C$4:$C$203,0)),""))</f>
        <v/>
      </c>
      <c r="H1052" s="50"/>
      <c r="I1052" s="82" t="str">
        <f aca="false">IF(OR(F1052="",H1052=""),"",F1052*H1052)</f>
        <v/>
      </c>
      <c r="J1052" s="83" t="str">
        <f aca="false">IF(D1052="","",IFERROR(INDEX(식자재단가!$M$4:$M$203,MATCH(D1052,식자재단가!$C$4:$C$203,0)),"과세"))</f>
        <v/>
      </c>
      <c r="K1052" s="28" t="str">
        <f aca="false">IF(I1052="","",IF(J1052="과세",ROUND(I1052*0.1,0),0))</f>
        <v/>
      </c>
      <c r="L1052" s="28" t="str">
        <f aca="false">IF(I1052="","",I1052+K1052)</f>
        <v/>
      </c>
      <c r="M1052" s="10"/>
      <c r="N1052" s="80"/>
      <c r="O1052" s="80"/>
      <c r="P1052" s="59" t="str">
        <f aca="false">IF(E1052="","",IFERROR(INDEX(기본설정!$H$4:$H$14,MATCH(E1052,기본설정!$G$4:$G$14,0)),""))</f>
        <v/>
      </c>
    </row>
    <row r="1053" customFormat="false" ht="15" hidden="false" customHeight="false" outlineLevel="0" collapsed="false">
      <c r="A1053" s="73"/>
      <c r="B1053" s="10"/>
      <c r="C1053" s="80"/>
      <c r="D1053" s="80"/>
      <c r="E1053" s="81" t="str">
        <f aca="false">IF(D1053="","",IFERROR(INDEX(식자재단가!$B$4:$B$203,MATCH(D1053,식자재단가!$C$4:$C$203,0)),""))</f>
        <v/>
      </c>
      <c r="F1053" s="76"/>
      <c r="G1053" s="59" t="str">
        <f aca="false">IF(D1053="","",IFERROR(INDEX(식자재단가!$F$4:$F$203,MATCH(D1053,식자재단가!$C$4:$C$203,0)),""))</f>
        <v/>
      </c>
      <c r="H1053" s="50"/>
      <c r="I1053" s="82" t="str">
        <f aca="false">IF(OR(F1053="",H1053=""),"",F1053*H1053)</f>
        <v/>
      </c>
      <c r="J1053" s="83" t="str">
        <f aca="false">IF(D1053="","",IFERROR(INDEX(식자재단가!$M$4:$M$203,MATCH(D1053,식자재단가!$C$4:$C$203,0)),"과세"))</f>
        <v/>
      </c>
      <c r="K1053" s="28" t="str">
        <f aca="false">IF(I1053="","",IF(J1053="과세",ROUND(I1053*0.1,0),0))</f>
        <v/>
      </c>
      <c r="L1053" s="28" t="str">
        <f aca="false">IF(I1053="","",I1053+K1053)</f>
        <v/>
      </c>
      <c r="M1053" s="10"/>
      <c r="N1053" s="80"/>
      <c r="O1053" s="80"/>
      <c r="P1053" s="59" t="str">
        <f aca="false">IF(E1053="","",IFERROR(INDEX(기본설정!$H$4:$H$14,MATCH(E1053,기본설정!$G$4:$G$14,0)),""))</f>
        <v/>
      </c>
    </row>
    <row r="1054" customFormat="false" ht="15" hidden="false" customHeight="false" outlineLevel="0" collapsed="false">
      <c r="A1054" s="73"/>
      <c r="B1054" s="10"/>
      <c r="C1054" s="80"/>
      <c r="D1054" s="80"/>
      <c r="E1054" s="81" t="str">
        <f aca="false">IF(D1054="","",IFERROR(INDEX(식자재단가!$B$4:$B$203,MATCH(D1054,식자재단가!$C$4:$C$203,0)),""))</f>
        <v/>
      </c>
      <c r="F1054" s="76"/>
      <c r="G1054" s="59" t="str">
        <f aca="false">IF(D1054="","",IFERROR(INDEX(식자재단가!$F$4:$F$203,MATCH(D1054,식자재단가!$C$4:$C$203,0)),""))</f>
        <v/>
      </c>
      <c r="H1054" s="50"/>
      <c r="I1054" s="82" t="str">
        <f aca="false">IF(OR(F1054="",H1054=""),"",F1054*H1054)</f>
        <v/>
      </c>
      <c r="J1054" s="83" t="str">
        <f aca="false">IF(D1054="","",IFERROR(INDEX(식자재단가!$M$4:$M$203,MATCH(D1054,식자재단가!$C$4:$C$203,0)),"과세"))</f>
        <v/>
      </c>
      <c r="K1054" s="28" t="str">
        <f aca="false">IF(I1054="","",IF(J1054="과세",ROUND(I1054*0.1,0),0))</f>
        <v/>
      </c>
      <c r="L1054" s="28" t="str">
        <f aca="false">IF(I1054="","",I1054+K1054)</f>
        <v/>
      </c>
      <c r="M1054" s="10"/>
      <c r="N1054" s="80"/>
      <c r="O1054" s="80"/>
      <c r="P1054" s="59" t="str">
        <f aca="false">IF(E1054="","",IFERROR(INDEX(기본설정!$H$4:$H$14,MATCH(E1054,기본설정!$G$4:$G$14,0)),""))</f>
        <v/>
      </c>
    </row>
    <row r="1055" customFormat="false" ht="15" hidden="false" customHeight="false" outlineLevel="0" collapsed="false">
      <c r="A1055" s="73"/>
      <c r="B1055" s="10"/>
      <c r="C1055" s="80"/>
      <c r="D1055" s="80"/>
      <c r="E1055" s="81" t="str">
        <f aca="false">IF(D1055="","",IFERROR(INDEX(식자재단가!$B$4:$B$203,MATCH(D1055,식자재단가!$C$4:$C$203,0)),""))</f>
        <v/>
      </c>
      <c r="F1055" s="76"/>
      <c r="G1055" s="59" t="str">
        <f aca="false">IF(D1055="","",IFERROR(INDEX(식자재단가!$F$4:$F$203,MATCH(D1055,식자재단가!$C$4:$C$203,0)),""))</f>
        <v/>
      </c>
      <c r="H1055" s="50"/>
      <c r="I1055" s="82" t="str">
        <f aca="false">IF(OR(F1055="",H1055=""),"",F1055*H1055)</f>
        <v/>
      </c>
      <c r="J1055" s="83" t="str">
        <f aca="false">IF(D1055="","",IFERROR(INDEX(식자재단가!$M$4:$M$203,MATCH(D1055,식자재단가!$C$4:$C$203,0)),"과세"))</f>
        <v/>
      </c>
      <c r="K1055" s="28" t="str">
        <f aca="false">IF(I1055="","",IF(J1055="과세",ROUND(I1055*0.1,0),0))</f>
        <v/>
      </c>
      <c r="L1055" s="28" t="str">
        <f aca="false">IF(I1055="","",I1055+K1055)</f>
        <v/>
      </c>
      <c r="M1055" s="10"/>
      <c r="N1055" s="80"/>
      <c r="O1055" s="80"/>
      <c r="P1055" s="59" t="str">
        <f aca="false">IF(E1055="","",IFERROR(INDEX(기본설정!$H$4:$H$14,MATCH(E1055,기본설정!$G$4:$G$14,0)),""))</f>
        <v/>
      </c>
    </row>
    <row r="1056" customFormat="false" ht="15" hidden="false" customHeight="false" outlineLevel="0" collapsed="false">
      <c r="A1056" s="73"/>
      <c r="B1056" s="10"/>
      <c r="C1056" s="80"/>
      <c r="D1056" s="80"/>
      <c r="E1056" s="81" t="str">
        <f aca="false">IF(D1056="","",IFERROR(INDEX(식자재단가!$B$4:$B$203,MATCH(D1056,식자재단가!$C$4:$C$203,0)),""))</f>
        <v/>
      </c>
      <c r="F1056" s="76"/>
      <c r="G1056" s="59" t="str">
        <f aca="false">IF(D1056="","",IFERROR(INDEX(식자재단가!$F$4:$F$203,MATCH(D1056,식자재단가!$C$4:$C$203,0)),""))</f>
        <v/>
      </c>
      <c r="H1056" s="50"/>
      <c r="I1056" s="82" t="str">
        <f aca="false">IF(OR(F1056="",H1056=""),"",F1056*H1056)</f>
        <v/>
      </c>
      <c r="J1056" s="83" t="str">
        <f aca="false">IF(D1056="","",IFERROR(INDEX(식자재단가!$M$4:$M$203,MATCH(D1056,식자재단가!$C$4:$C$203,0)),"과세"))</f>
        <v/>
      </c>
      <c r="K1056" s="28" t="str">
        <f aca="false">IF(I1056="","",IF(J1056="과세",ROUND(I1056*0.1,0),0))</f>
        <v/>
      </c>
      <c r="L1056" s="28" t="str">
        <f aca="false">IF(I1056="","",I1056+K1056)</f>
        <v/>
      </c>
      <c r="M1056" s="10"/>
      <c r="N1056" s="80"/>
      <c r="O1056" s="80"/>
      <c r="P1056" s="59" t="str">
        <f aca="false">IF(E1056="","",IFERROR(INDEX(기본설정!$H$4:$H$14,MATCH(E1056,기본설정!$G$4:$G$14,0)),""))</f>
        <v/>
      </c>
    </row>
    <row r="1057" customFormat="false" ht="15" hidden="false" customHeight="false" outlineLevel="0" collapsed="false">
      <c r="A1057" s="73"/>
      <c r="B1057" s="10"/>
      <c r="C1057" s="80"/>
      <c r="D1057" s="80"/>
      <c r="E1057" s="81" t="str">
        <f aca="false">IF(D1057="","",IFERROR(INDEX(식자재단가!$B$4:$B$203,MATCH(D1057,식자재단가!$C$4:$C$203,0)),""))</f>
        <v/>
      </c>
      <c r="F1057" s="76"/>
      <c r="G1057" s="59" t="str">
        <f aca="false">IF(D1057="","",IFERROR(INDEX(식자재단가!$F$4:$F$203,MATCH(D1057,식자재단가!$C$4:$C$203,0)),""))</f>
        <v/>
      </c>
      <c r="H1057" s="50"/>
      <c r="I1057" s="82" t="str">
        <f aca="false">IF(OR(F1057="",H1057=""),"",F1057*H1057)</f>
        <v/>
      </c>
      <c r="J1057" s="83" t="str">
        <f aca="false">IF(D1057="","",IFERROR(INDEX(식자재단가!$M$4:$M$203,MATCH(D1057,식자재단가!$C$4:$C$203,0)),"과세"))</f>
        <v/>
      </c>
      <c r="K1057" s="28" t="str">
        <f aca="false">IF(I1057="","",IF(J1057="과세",ROUND(I1057*0.1,0),0))</f>
        <v/>
      </c>
      <c r="L1057" s="28" t="str">
        <f aca="false">IF(I1057="","",I1057+K1057)</f>
        <v/>
      </c>
      <c r="M1057" s="10"/>
      <c r="N1057" s="80"/>
      <c r="O1057" s="80"/>
      <c r="P1057" s="59" t="str">
        <f aca="false">IF(E1057="","",IFERROR(INDEX(기본설정!$H$4:$H$14,MATCH(E1057,기본설정!$G$4:$G$14,0)),""))</f>
        <v/>
      </c>
    </row>
    <row r="1058" customFormat="false" ht="15" hidden="false" customHeight="false" outlineLevel="0" collapsed="false">
      <c r="A1058" s="73"/>
      <c r="B1058" s="10"/>
      <c r="C1058" s="80"/>
      <c r="D1058" s="80"/>
      <c r="E1058" s="81" t="str">
        <f aca="false">IF(D1058="","",IFERROR(INDEX(식자재단가!$B$4:$B$203,MATCH(D1058,식자재단가!$C$4:$C$203,0)),""))</f>
        <v/>
      </c>
      <c r="F1058" s="76"/>
      <c r="G1058" s="59" t="str">
        <f aca="false">IF(D1058="","",IFERROR(INDEX(식자재단가!$F$4:$F$203,MATCH(D1058,식자재단가!$C$4:$C$203,0)),""))</f>
        <v/>
      </c>
      <c r="H1058" s="50"/>
      <c r="I1058" s="82" t="str">
        <f aca="false">IF(OR(F1058="",H1058=""),"",F1058*H1058)</f>
        <v/>
      </c>
      <c r="J1058" s="83" t="str">
        <f aca="false">IF(D1058="","",IFERROR(INDEX(식자재단가!$M$4:$M$203,MATCH(D1058,식자재단가!$C$4:$C$203,0)),"과세"))</f>
        <v/>
      </c>
      <c r="K1058" s="28" t="str">
        <f aca="false">IF(I1058="","",IF(J1058="과세",ROUND(I1058*0.1,0),0))</f>
        <v/>
      </c>
      <c r="L1058" s="28" t="str">
        <f aca="false">IF(I1058="","",I1058+K1058)</f>
        <v/>
      </c>
      <c r="M1058" s="10"/>
      <c r="N1058" s="80"/>
      <c r="O1058" s="80"/>
      <c r="P1058" s="59" t="str">
        <f aca="false">IF(E1058="","",IFERROR(INDEX(기본설정!$H$4:$H$14,MATCH(E1058,기본설정!$G$4:$G$14,0)),""))</f>
        <v/>
      </c>
    </row>
    <row r="1059" customFormat="false" ht="15" hidden="false" customHeight="false" outlineLevel="0" collapsed="false">
      <c r="A1059" s="73"/>
      <c r="B1059" s="10"/>
      <c r="C1059" s="80"/>
      <c r="D1059" s="80"/>
      <c r="E1059" s="81" t="str">
        <f aca="false">IF(D1059="","",IFERROR(INDEX(식자재단가!$B$4:$B$203,MATCH(D1059,식자재단가!$C$4:$C$203,0)),""))</f>
        <v/>
      </c>
      <c r="F1059" s="76"/>
      <c r="G1059" s="59" t="str">
        <f aca="false">IF(D1059="","",IFERROR(INDEX(식자재단가!$F$4:$F$203,MATCH(D1059,식자재단가!$C$4:$C$203,0)),""))</f>
        <v/>
      </c>
      <c r="H1059" s="50"/>
      <c r="I1059" s="82" t="str">
        <f aca="false">IF(OR(F1059="",H1059=""),"",F1059*H1059)</f>
        <v/>
      </c>
      <c r="J1059" s="83" t="str">
        <f aca="false">IF(D1059="","",IFERROR(INDEX(식자재단가!$M$4:$M$203,MATCH(D1059,식자재단가!$C$4:$C$203,0)),"과세"))</f>
        <v/>
      </c>
      <c r="K1059" s="28" t="str">
        <f aca="false">IF(I1059="","",IF(J1059="과세",ROUND(I1059*0.1,0),0))</f>
        <v/>
      </c>
      <c r="L1059" s="28" t="str">
        <f aca="false">IF(I1059="","",I1059+K1059)</f>
        <v/>
      </c>
      <c r="M1059" s="10"/>
      <c r="N1059" s="80"/>
      <c r="O1059" s="80"/>
      <c r="P1059" s="59" t="str">
        <f aca="false">IF(E1059="","",IFERROR(INDEX(기본설정!$H$4:$H$14,MATCH(E1059,기본설정!$G$4:$G$14,0)),""))</f>
        <v/>
      </c>
    </row>
    <row r="1060" customFormat="false" ht="15" hidden="false" customHeight="false" outlineLevel="0" collapsed="false">
      <c r="A1060" s="73"/>
      <c r="B1060" s="10"/>
      <c r="C1060" s="80"/>
      <c r="D1060" s="80"/>
      <c r="E1060" s="81" t="str">
        <f aca="false">IF(D1060="","",IFERROR(INDEX(식자재단가!$B$4:$B$203,MATCH(D1060,식자재단가!$C$4:$C$203,0)),""))</f>
        <v/>
      </c>
      <c r="F1060" s="76"/>
      <c r="G1060" s="59" t="str">
        <f aca="false">IF(D1060="","",IFERROR(INDEX(식자재단가!$F$4:$F$203,MATCH(D1060,식자재단가!$C$4:$C$203,0)),""))</f>
        <v/>
      </c>
      <c r="H1060" s="50"/>
      <c r="I1060" s="82" t="str">
        <f aca="false">IF(OR(F1060="",H1060=""),"",F1060*H1060)</f>
        <v/>
      </c>
      <c r="J1060" s="83" t="str">
        <f aca="false">IF(D1060="","",IFERROR(INDEX(식자재단가!$M$4:$M$203,MATCH(D1060,식자재단가!$C$4:$C$203,0)),"과세"))</f>
        <v/>
      </c>
      <c r="K1060" s="28" t="str">
        <f aca="false">IF(I1060="","",IF(J1060="과세",ROUND(I1060*0.1,0),0))</f>
        <v/>
      </c>
      <c r="L1060" s="28" t="str">
        <f aca="false">IF(I1060="","",I1060+K1060)</f>
        <v/>
      </c>
      <c r="M1060" s="10"/>
      <c r="N1060" s="80"/>
      <c r="O1060" s="80"/>
      <c r="P1060" s="59" t="str">
        <f aca="false">IF(E1060="","",IFERROR(INDEX(기본설정!$H$4:$H$14,MATCH(E1060,기본설정!$G$4:$G$14,0)),""))</f>
        <v/>
      </c>
    </row>
    <row r="1061" customFormat="false" ht="15" hidden="false" customHeight="false" outlineLevel="0" collapsed="false">
      <c r="A1061" s="73"/>
      <c r="B1061" s="10"/>
      <c r="C1061" s="80"/>
      <c r="D1061" s="80"/>
      <c r="E1061" s="81" t="str">
        <f aca="false">IF(D1061="","",IFERROR(INDEX(식자재단가!$B$4:$B$203,MATCH(D1061,식자재단가!$C$4:$C$203,0)),""))</f>
        <v/>
      </c>
      <c r="F1061" s="76"/>
      <c r="G1061" s="59" t="str">
        <f aca="false">IF(D1061="","",IFERROR(INDEX(식자재단가!$F$4:$F$203,MATCH(D1061,식자재단가!$C$4:$C$203,0)),""))</f>
        <v/>
      </c>
      <c r="H1061" s="50"/>
      <c r="I1061" s="82" t="str">
        <f aca="false">IF(OR(F1061="",H1061=""),"",F1061*H1061)</f>
        <v/>
      </c>
      <c r="J1061" s="83" t="str">
        <f aca="false">IF(D1061="","",IFERROR(INDEX(식자재단가!$M$4:$M$203,MATCH(D1061,식자재단가!$C$4:$C$203,0)),"과세"))</f>
        <v/>
      </c>
      <c r="K1061" s="28" t="str">
        <f aca="false">IF(I1061="","",IF(J1061="과세",ROUND(I1061*0.1,0),0))</f>
        <v/>
      </c>
      <c r="L1061" s="28" t="str">
        <f aca="false">IF(I1061="","",I1061+K1061)</f>
        <v/>
      </c>
      <c r="M1061" s="10"/>
      <c r="N1061" s="80"/>
      <c r="O1061" s="80"/>
      <c r="P1061" s="59" t="str">
        <f aca="false">IF(E1061="","",IFERROR(INDEX(기본설정!$H$4:$H$14,MATCH(E1061,기본설정!$G$4:$G$14,0)),""))</f>
        <v/>
      </c>
    </row>
    <row r="1062" customFormat="false" ht="15" hidden="false" customHeight="false" outlineLevel="0" collapsed="false">
      <c r="A1062" s="73"/>
      <c r="B1062" s="10"/>
      <c r="C1062" s="80"/>
      <c r="D1062" s="80"/>
      <c r="E1062" s="81" t="str">
        <f aca="false">IF(D1062="","",IFERROR(INDEX(식자재단가!$B$4:$B$203,MATCH(D1062,식자재단가!$C$4:$C$203,0)),""))</f>
        <v/>
      </c>
      <c r="F1062" s="76"/>
      <c r="G1062" s="59" t="str">
        <f aca="false">IF(D1062="","",IFERROR(INDEX(식자재단가!$F$4:$F$203,MATCH(D1062,식자재단가!$C$4:$C$203,0)),""))</f>
        <v/>
      </c>
      <c r="H1062" s="50"/>
      <c r="I1062" s="82" t="str">
        <f aca="false">IF(OR(F1062="",H1062=""),"",F1062*H1062)</f>
        <v/>
      </c>
      <c r="J1062" s="83" t="str">
        <f aca="false">IF(D1062="","",IFERROR(INDEX(식자재단가!$M$4:$M$203,MATCH(D1062,식자재단가!$C$4:$C$203,0)),"과세"))</f>
        <v/>
      </c>
      <c r="K1062" s="28" t="str">
        <f aca="false">IF(I1062="","",IF(J1062="과세",ROUND(I1062*0.1,0),0))</f>
        <v/>
      </c>
      <c r="L1062" s="28" t="str">
        <f aca="false">IF(I1062="","",I1062+K1062)</f>
        <v/>
      </c>
      <c r="M1062" s="10"/>
      <c r="N1062" s="80"/>
      <c r="O1062" s="80"/>
      <c r="P1062" s="59" t="str">
        <f aca="false">IF(E1062="","",IFERROR(INDEX(기본설정!$H$4:$H$14,MATCH(E1062,기본설정!$G$4:$G$14,0)),""))</f>
        <v/>
      </c>
    </row>
    <row r="1063" customFormat="false" ht="15" hidden="false" customHeight="false" outlineLevel="0" collapsed="false">
      <c r="A1063" s="73"/>
      <c r="B1063" s="10"/>
      <c r="C1063" s="80"/>
      <c r="D1063" s="80"/>
      <c r="E1063" s="81" t="str">
        <f aca="false">IF(D1063="","",IFERROR(INDEX(식자재단가!$B$4:$B$203,MATCH(D1063,식자재단가!$C$4:$C$203,0)),""))</f>
        <v/>
      </c>
      <c r="F1063" s="76"/>
      <c r="G1063" s="59" t="str">
        <f aca="false">IF(D1063="","",IFERROR(INDEX(식자재단가!$F$4:$F$203,MATCH(D1063,식자재단가!$C$4:$C$203,0)),""))</f>
        <v/>
      </c>
      <c r="H1063" s="50"/>
      <c r="I1063" s="82" t="str">
        <f aca="false">IF(OR(F1063="",H1063=""),"",F1063*H1063)</f>
        <v/>
      </c>
      <c r="J1063" s="83" t="str">
        <f aca="false">IF(D1063="","",IFERROR(INDEX(식자재단가!$M$4:$M$203,MATCH(D1063,식자재단가!$C$4:$C$203,0)),"과세"))</f>
        <v/>
      </c>
      <c r="K1063" s="28" t="str">
        <f aca="false">IF(I1063="","",IF(J1063="과세",ROUND(I1063*0.1,0),0))</f>
        <v/>
      </c>
      <c r="L1063" s="28" t="str">
        <f aca="false">IF(I1063="","",I1063+K1063)</f>
        <v/>
      </c>
      <c r="M1063" s="10"/>
      <c r="N1063" s="80"/>
      <c r="O1063" s="80"/>
      <c r="P1063" s="59" t="str">
        <f aca="false">IF(E1063="","",IFERROR(INDEX(기본설정!$H$4:$H$14,MATCH(E1063,기본설정!$G$4:$G$14,0)),""))</f>
        <v/>
      </c>
    </row>
    <row r="1064" customFormat="false" ht="15" hidden="false" customHeight="false" outlineLevel="0" collapsed="false">
      <c r="A1064" s="73"/>
      <c r="B1064" s="10"/>
      <c r="C1064" s="80"/>
      <c r="D1064" s="80"/>
      <c r="E1064" s="81" t="str">
        <f aca="false">IF(D1064="","",IFERROR(INDEX(식자재단가!$B$4:$B$203,MATCH(D1064,식자재단가!$C$4:$C$203,0)),""))</f>
        <v/>
      </c>
      <c r="F1064" s="76"/>
      <c r="G1064" s="59" t="str">
        <f aca="false">IF(D1064="","",IFERROR(INDEX(식자재단가!$F$4:$F$203,MATCH(D1064,식자재단가!$C$4:$C$203,0)),""))</f>
        <v/>
      </c>
      <c r="H1064" s="50"/>
      <c r="I1064" s="82" t="str">
        <f aca="false">IF(OR(F1064="",H1064=""),"",F1064*H1064)</f>
        <v/>
      </c>
      <c r="J1064" s="83" t="str">
        <f aca="false">IF(D1064="","",IFERROR(INDEX(식자재단가!$M$4:$M$203,MATCH(D1064,식자재단가!$C$4:$C$203,0)),"과세"))</f>
        <v/>
      </c>
      <c r="K1064" s="28" t="str">
        <f aca="false">IF(I1064="","",IF(J1064="과세",ROUND(I1064*0.1,0),0))</f>
        <v/>
      </c>
      <c r="L1064" s="28" t="str">
        <f aca="false">IF(I1064="","",I1064+K1064)</f>
        <v/>
      </c>
      <c r="M1064" s="10"/>
      <c r="N1064" s="80"/>
      <c r="O1064" s="80"/>
      <c r="P1064" s="59" t="str">
        <f aca="false">IF(E1064="","",IFERROR(INDEX(기본설정!$H$4:$H$14,MATCH(E1064,기본설정!$G$4:$G$14,0)),""))</f>
        <v/>
      </c>
    </row>
    <row r="1065" customFormat="false" ht="15" hidden="false" customHeight="false" outlineLevel="0" collapsed="false">
      <c r="A1065" s="73"/>
      <c r="B1065" s="10"/>
      <c r="C1065" s="80"/>
      <c r="D1065" s="80"/>
      <c r="E1065" s="81" t="str">
        <f aca="false">IF(D1065="","",IFERROR(INDEX(식자재단가!$B$4:$B$203,MATCH(D1065,식자재단가!$C$4:$C$203,0)),""))</f>
        <v/>
      </c>
      <c r="F1065" s="76"/>
      <c r="G1065" s="59" t="str">
        <f aca="false">IF(D1065="","",IFERROR(INDEX(식자재단가!$F$4:$F$203,MATCH(D1065,식자재단가!$C$4:$C$203,0)),""))</f>
        <v/>
      </c>
      <c r="H1065" s="50"/>
      <c r="I1065" s="82" t="str">
        <f aca="false">IF(OR(F1065="",H1065=""),"",F1065*H1065)</f>
        <v/>
      </c>
      <c r="J1065" s="83" t="str">
        <f aca="false">IF(D1065="","",IFERROR(INDEX(식자재단가!$M$4:$M$203,MATCH(D1065,식자재단가!$C$4:$C$203,0)),"과세"))</f>
        <v/>
      </c>
      <c r="K1065" s="28" t="str">
        <f aca="false">IF(I1065="","",IF(J1065="과세",ROUND(I1065*0.1,0),0))</f>
        <v/>
      </c>
      <c r="L1065" s="28" t="str">
        <f aca="false">IF(I1065="","",I1065+K1065)</f>
        <v/>
      </c>
      <c r="M1065" s="10"/>
      <c r="N1065" s="80"/>
      <c r="O1065" s="80"/>
      <c r="P1065" s="59" t="str">
        <f aca="false">IF(E1065="","",IFERROR(INDEX(기본설정!$H$4:$H$14,MATCH(E1065,기본설정!$G$4:$G$14,0)),""))</f>
        <v/>
      </c>
    </row>
    <row r="1066" customFormat="false" ht="15" hidden="false" customHeight="false" outlineLevel="0" collapsed="false">
      <c r="A1066" s="73"/>
      <c r="B1066" s="10"/>
      <c r="C1066" s="80"/>
      <c r="D1066" s="80"/>
      <c r="E1066" s="81" t="str">
        <f aca="false">IF(D1066="","",IFERROR(INDEX(식자재단가!$B$4:$B$203,MATCH(D1066,식자재단가!$C$4:$C$203,0)),""))</f>
        <v/>
      </c>
      <c r="F1066" s="76"/>
      <c r="G1066" s="59" t="str">
        <f aca="false">IF(D1066="","",IFERROR(INDEX(식자재단가!$F$4:$F$203,MATCH(D1066,식자재단가!$C$4:$C$203,0)),""))</f>
        <v/>
      </c>
      <c r="H1066" s="50"/>
      <c r="I1066" s="82" t="str">
        <f aca="false">IF(OR(F1066="",H1066=""),"",F1066*H1066)</f>
        <v/>
      </c>
      <c r="J1066" s="83" t="str">
        <f aca="false">IF(D1066="","",IFERROR(INDEX(식자재단가!$M$4:$M$203,MATCH(D1066,식자재단가!$C$4:$C$203,0)),"과세"))</f>
        <v/>
      </c>
      <c r="K1066" s="28" t="str">
        <f aca="false">IF(I1066="","",IF(J1066="과세",ROUND(I1066*0.1,0),0))</f>
        <v/>
      </c>
      <c r="L1066" s="28" t="str">
        <f aca="false">IF(I1066="","",I1066+K1066)</f>
        <v/>
      </c>
      <c r="M1066" s="10"/>
      <c r="N1066" s="80"/>
      <c r="O1066" s="80"/>
      <c r="P1066" s="59" t="str">
        <f aca="false">IF(E1066="","",IFERROR(INDEX(기본설정!$H$4:$H$14,MATCH(E1066,기본설정!$G$4:$G$14,0)),""))</f>
        <v/>
      </c>
    </row>
    <row r="1067" customFormat="false" ht="15" hidden="false" customHeight="false" outlineLevel="0" collapsed="false">
      <c r="A1067" s="73"/>
      <c r="B1067" s="10"/>
      <c r="C1067" s="80"/>
      <c r="D1067" s="80"/>
      <c r="E1067" s="81" t="str">
        <f aca="false">IF(D1067="","",IFERROR(INDEX(식자재단가!$B$4:$B$203,MATCH(D1067,식자재단가!$C$4:$C$203,0)),""))</f>
        <v/>
      </c>
      <c r="F1067" s="76"/>
      <c r="G1067" s="59" t="str">
        <f aca="false">IF(D1067="","",IFERROR(INDEX(식자재단가!$F$4:$F$203,MATCH(D1067,식자재단가!$C$4:$C$203,0)),""))</f>
        <v/>
      </c>
      <c r="H1067" s="50"/>
      <c r="I1067" s="82" t="str">
        <f aca="false">IF(OR(F1067="",H1067=""),"",F1067*H1067)</f>
        <v/>
      </c>
      <c r="J1067" s="83" t="str">
        <f aca="false">IF(D1067="","",IFERROR(INDEX(식자재단가!$M$4:$M$203,MATCH(D1067,식자재단가!$C$4:$C$203,0)),"과세"))</f>
        <v/>
      </c>
      <c r="K1067" s="28" t="str">
        <f aca="false">IF(I1067="","",IF(J1067="과세",ROUND(I1067*0.1,0),0))</f>
        <v/>
      </c>
      <c r="L1067" s="28" t="str">
        <f aca="false">IF(I1067="","",I1067+K1067)</f>
        <v/>
      </c>
      <c r="M1067" s="10"/>
      <c r="N1067" s="80"/>
      <c r="O1067" s="80"/>
      <c r="P1067" s="59" t="str">
        <f aca="false">IF(E1067="","",IFERROR(INDEX(기본설정!$H$4:$H$14,MATCH(E1067,기본설정!$G$4:$G$14,0)),""))</f>
        <v/>
      </c>
    </row>
    <row r="1068" customFormat="false" ht="15" hidden="false" customHeight="false" outlineLevel="0" collapsed="false">
      <c r="A1068" s="73"/>
      <c r="B1068" s="10"/>
      <c r="C1068" s="80"/>
      <c r="D1068" s="80"/>
      <c r="E1068" s="81" t="str">
        <f aca="false">IF(D1068="","",IFERROR(INDEX(식자재단가!$B$4:$B$203,MATCH(D1068,식자재단가!$C$4:$C$203,0)),""))</f>
        <v/>
      </c>
      <c r="F1068" s="76"/>
      <c r="G1068" s="59" t="str">
        <f aca="false">IF(D1068="","",IFERROR(INDEX(식자재단가!$F$4:$F$203,MATCH(D1068,식자재단가!$C$4:$C$203,0)),""))</f>
        <v/>
      </c>
      <c r="H1068" s="50"/>
      <c r="I1068" s="82" t="str">
        <f aca="false">IF(OR(F1068="",H1068=""),"",F1068*H1068)</f>
        <v/>
      </c>
      <c r="J1068" s="83" t="str">
        <f aca="false">IF(D1068="","",IFERROR(INDEX(식자재단가!$M$4:$M$203,MATCH(D1068,식자재단가!$C$4:$C$203,0)),"과세"))</f>
        <v/>
      </c>
      <c r="K1068" s="28" t="str">
        <f aca="false">IF(I1068="","",IF(J1068="과세",ROUND(I1068*0.1,0),0))</f>
        <v/>
      </c>
      <c r="L1068" s="28" t="str">
        <f aca="false">IF(I1068="","",I1068+K1068)</f>
        <v/>
      </c>
      <c r="M1068" s="10"/>
      <c r="N1068" s="80"/>
      <c r="O1068" s="80"/>
      <c r="P1068" s="59" t="str">
        <f aca="false">IF(E1068="","",IFERROR(INDEX(기본설정!$H$4:$H$14,MATCH(E1068,기본설정!$G$4:$G$14,0)),""))</f>
        <v/>
      </c>
    </row>
    <row r="1069" customFormat="false" ht="15" hidden="false" customHeight="false" outlineLevel="0" collapsed="false">
      <c r="A1069" s="73"/>
      <c r="B1069" s="10"/>
      <c r="C1069" s="80"/>
      <c r="D1069" s="80"/>
      <c r="E1069" s="81" t="str">
        <f aca="false">IF(D1069="","",IFERROR(INDEX(식자재단가!$B$4:$B$203,MATCH(D1069,식자재단가!$C$4:$C$203,0)),""))</f>
        <v/>
      </c>
      <c r="F1069" s="76"/>
      <c r="G1069" s="59" t="str">
        <f aca="false">IF(D1069="","",IFERROR(INDEX(식자재단가!$F$4:$F$203,MATCH(D1069,식자재단가!$C$4:$C$203,0)),""))</f>
        <v/>
      </c>
      <c r="H1069" s="50"/>
      <c r="I1069" s="82" t="str">
        <f aca="false">IF(OR(F1069="",H1069=""),"",F1069*H1069)</f>
        <v/>
      </c>
      <c r="J1069" s="83" t="str">
        <f aca="false">IF(D1069="","",IFERROR(INDEX(식자재단가!$M$4:$M$203,MATCH(D1069,식자재단가!$C$4:$C$203,0)),"과세"))</f>
        <v/>
      </c>
      <c r="K1069" s="28" t="str">
        <f aca="false">IF(I1069="","",IF(J1069="과세",ROUND(I1069*0.1,0),0))</f>
        <v/>
      </c>
      <c r="L1069" s="28" t="str">
        <f aca="false">IF(I1069="","",I1069+K1069)</f>
        <v/>
      </c>
      <c r="M1069" s="10"/>
      <c r="N1069" s="80"/>
      <c r="O1069" s="80"/>
      <c r="P1069" s="59" t="str">
        <f aca="false">IF(E1069="","",IFERROR(INDEX(기본설정!$H$4:$H$14,MATCH(E1069,기본설정!$G$4:$G$14,0)),""))</f>
        <v/>
      </c>
    </row>
    <row r="1070" customFormat="false" ht="15" hidden="false" customHeight="false" outlineLevel="0" collapsed="false">
      <c r="A1070" s="73"/>
      <c r="B1070" s="10"/>
      <c r="C1070" s="80"/>
      <c r="D1070" s="80"/>
      <c r="E1070" s="81" t="str">
        <f aca="false">IF(D1070="","",IFERROR(INDEX(식자재단가!$B$4:$B$203,MATCH(D1070,식자재단가!$C$4:$C$203,0)),""))</f>
        <v/>
      </c>
      <c r="F1070" s="76"/>
      <c r="G1070" s="59" t="str">
        <f aca="false">IF(D1070="","",IFERROR(INDEX(식자재단가!$F$4:$F$203,MATCH(D1070,식자재단가!$C$4:$C$203,0)),""))</f>
        <v/>
      </c>
      <c r="H1070" s="50"/>
      <c r="I1070" s="82" t="str">
        <f aca="false">IF(OR(F1070="",H1070=""),"",F1070*H1070)</f>
        <v/>
      </c>
      <c r="J1070" s="83" t="str">
        <f aca="false">IF(D1070="","",IFERROR(INDEX(식자재단가!$M$4:$M$203,MATCH(D1070,식자재단가!$C$4:$C$203,0)),"과세"))</f>
        <v/>
      </c>
      <c r="K1070" s="28" t="str">
        <f aca="false">IF(I1070="","",IF(J1070="과세",ROUND(I1070*0.1,0),0))</f>
        <v/>
      </c>
      <c r="L1070" s="28" t="str">
        <f aca="false">IF(I1070="","",I1070+K1070)</f>
        <v/>
      </c>
      <c r="M1070" s="10"/>
      <c r="N1070" s="80"/>
      <c r="O1070" s="80"/>
      <c r="P1070" s="59" t="str">
        <f aca="false">IF(E1070="","",IFERROR(INDEX(기본설정!$H$4:$H$14,MATCH(E1070,기본설정!$G$4:$G$14,0)),""))</f>
        <v/>
      </c>
    </row>
    <row r="1071" customFormat="false" ht="15" hidden="false" customHeight="false" outlineLevel="0" collapsed="false">
      <c r="A1071" s="73"/>
      <c r="B1071" s="10"/>
      <c r="C1071" s="80"/>
      <c r="D1071" s="80"/>
      <c r="E1071" s="81" t="str">
        <f aca="false">IF(D1071="","",IFERROR(INDEX(식자재단가!$B$4:$B$203,MATCH(D1071,식자재단가!$C$4:$C$203,0)),""))</f>
        <v/>
      </c>
      <c r="F1071" s="76"/>
      <c r="G1071" s="59" t="str">
        <f aca="false">IF(D1071="","",IFERROR(INDEX(식자재단가!$F$4:$F$203,MATCH(D1071,식자재단가!$C$4:$C$203,0)),""))</f>
        <v/>
      </c>
      <c r="H1071" s="50"/>
      <c r="I1071" s="82" t="str">
        <f aca="false">IF(OR(F1071="",H1071=""),"",F1071*H1071)</f>
        <v/>
      </c>
      <c r="J1071" s="83" t="str">
        <f aca="false">IF(D1071="","",IFERROR(INDEX(식자재단가!$M$4:$M$203,MATCH(D1071,식자재단가!$C$4:$C$203,0)),"과세"))</f>
        <v/>
      </c>
      <c r="K1071" s="28" t="str">
        <f aca="false">IF(I1071="","",IF(J1071="과세",ROUND(I1071*0.1,0),0))</f>
        <v/>
      </c>
      <c r="L1071" s="28" t="str">
        <f aca="false">IF(I1071="","",I1071+K1071)</f>
        <v/>
      </c>
      <c r="M1071" s="10"/>
      <c r="N1071" s="80"/>
      <c r="O1071" s="80"/>
      <c r="P1071" s="59" t="str">
        <f aca="false">IF(E1071="","",IFERROR(INDEX(기본설정!$H$4:$H$14,MATCH(E1071,기본설정!$G$4:$G$14,0)),""))</f>
        <v/>
      </c>
    </row>
    <row r="1072" customFormat="false" ht="15" hidden="false" customHeight="false" outlineLevel="0" collapsed="false">
      <c r="A1072" s="73"/>
      <c r="B1072" s="10"/>
      <c r="C1072" s="80"/>
      <c r="D1072" s="80"/>
      <c r="E1072" s="81" t="str">
        <f aca="false">IF(D1072="","",IFERROR(INDEX(식자재단가!$B$4:$B$203,MATCH(D1072,식자재단가!$C$4:$C$203,0)),""))</f>
        <v/>
      </c>
      <c r="F1072" s="76"/>
      <c r="G1072" s="59" t="str">
        <f aca="false">IF(D1072="","",IFERROR(INDEX(식자재단가!$F$4:$F$203,MATCH(D1072,식자재단가!$C$4:$C$203,0)),""))</f>
        <v/>
      </c>
      <c r="H1072" s="50"/>
      <c r="I1072" s="82" t="str">
        <f aca="false">IF(OR(F1072="",H1072=""),"",F1072*H1072)</f>
        <v/>
      </c>
      <c r="J1072" s="83" t="str">
        <f aca="false">IF(D1072="","",IFERROR(INDEX(식자재단가!$M$4:$M$203,MATCH(D1072,식자재단가!$C$4:$C$203,0)),"과세"))</f>
        <v/>
      </c>
      <c r="K1072" s="28" t="str">
        <f aca="false">IF(I1072="","",IF(J1072="과세",ROUND(I1072*0.1,0),0))</f>
        <v/>
      </c>
      <c r="L1072" s="28" t="str">
        <f aca="false">IF(I1072="","",I1072+K1072)</f>
        <v/>
      </c>
      <c r="M1072" s="10"/>
      <c r="N1072" s="80"/>
      <c r="O1072" s="80"/>
      <c r="P1072" s="59" t="str">
        <f aca="false">IF(E1072="","",IFERROR(INDEX(기본설정!$H$4:$H$14,MATCH(E1072,기본설정!$G$4:$G$14,0)),""))</f>
        <v/>
      </c>
    </row>
    <row r="1073" customFormat="false" ht="15" hidden="false" customHeight="false" outlineLevel="0" collapsed="false">
      <c r="A1073" s="73"/>
      <c r="B1073" s="10"/>
      <c r="C1073" s="80"/>
      <c r="D1073" s="80"/>
      <c r="E1073" s="81" t="str">
        <f aca="false">IF(D1073="","",IFERROR(INDEX(식자재단가!$B$4:$B$203,MATCH(D1073,식자재단가!$C$4:$C$203,0)),""))</f>
        <v/>
      </c>
      <c r="F1073" s="76"/>
      <c r="G1073" s="59" t="str">
        <f aca="false">IF(D1073="","",IFERROR(INDEX(식자재단가!$F$4:$F$203,MATCH(D1073,식자재단가!$C$4:$C$203,0)),""))</f>
        <v/>
      </c>
      <c r="H1073" s="50"/>
      <c r="I1073" s="82" t="str">
        <f aca="false">IF(OR(F1073="",H1073=""),"",F1073*H1073)</f>
        <v/>
      </c>
      <c r="J1073" s="83" t="str">
        <f aca="false">IF(D1073="","",IFERROR(INDEX(식자재단가!$M$4:$M$203,MATCH(D1073,식자재단가!$C$4:$C$203,0)),"과세"))</f>
        <v/>
      </c>
      <c r="K1073" s="28" t="str">
        <f aca="false">IF(I1073="","",IF(J1073="과세",ROUND(I1073*0.1,0),0))</f>
        <v/>
      </c>
      <c r="L1073" s="28" t="str">
        <f aca="false">IF(I1073="","",I1073+K1073)</f>
        <v/>
      </c>
      <c r="M1073" s="10"/>
      <c r="N1073" s="80"/>
      <c r="O1073" s="80"/>
      <c r="P1073" s="59" t="str">
        <f aca="false">IF(E1073="","",IFERROR(INDEX(기본설정!$H$4:$H$14,MATCH(E1073,기본설정!$G$4:$G$14,0)),""))</f>
        <v/>
      </c>
    </row>
    <row r="1074" customFormat="false" ht="15" hidden="false" customHeight="false" outlineLevel="0" collapsed="false">
      <c r="A1074" s="73"/>
      <c r="B1074" s="10"/>
      <c r="C1074" s="80"/>
      <c r="D1074" s="80"/>
      <c r="E1074" s="81" t="str">
        <f aca="false">IF(D1074="","",IFERROR(INDEX(식자재단가!$B$4:$B$203,MATCH(D1074,식자재단가!$C$4:$C$203,0)),""))</f>
        <v/>
      </c>
      <c r="F1074" s="76"/>
      <c r="G1074" s="59" t="str">
        <f aca="false">IF(D1074="","",IFERROR(INDEX(식자재단가!$F$4:$F$203,MATCH(D1074,식자재단가!$C$4:$C$203,0)),""))</f>
        <v/>
      </c>
      <c r="H1074" s="50"/>
      <c r="I1074" s="82" t="str">
        <f aca="false">IF(OR(F1074="",H1074=""),"",F1074*H1074)</f>
        <v/>
      </c>
      <c r="J1074" s="83" t="str">
        <f aca="false">IF(D1074="","",IFERROR(INDEX(식자재단가!$M$4:$M$203,MATCH(D1074,식자재단가!$C$4:$C$203,0)),"과세"))</f>
        <v/>
      </c>
      <c r="K1074" s="28" t="str">
        <f aca="false">IF(I1074="","",IF(J1074="과세",ROUND(I1074*0.1,0),0))</f>
        <v/>
      </c>
      <c r="L1074" s="28" t="str">
        <f aca="false">IF(I1074="","",I1074+K1074)</f>
        <v/>
      </c>
      <c r="M1074" s="10"/>
      <c r="N1074" s="80"/>
      <c r="O1074" s="80"/>
      <c r="P1074" s="59" t="str">
        <f aca="false">IF(E1074="","",IFERROR(INDEX(기본설정!$H$4:$H$14,MATCH(E1074,기본설정!$G$4:$G$14,0)),""))</f>
        <v/>
      </c>
    </row>
    <row r="1075" customFormat="false" ht="15" hidden="false" customHeight="false" outlineLevel="0" collapsed="false">
      <c r="A1075" s="73"/>
      <c r="B1075" s="10"/>
      <c r="C1075" s="80"/>
      <c r="D1075" s="80"/>
      <c r="E1075" s="81" t="str">
        <f aca="false">IF(D1075="","",IFERROR(INDEX(식자재단가!$B$4:$B$203,MATCH(D1075,식자재단가!$C$4:$C$203,0)),""))</f>
        <v/>
      </c>
      <c r="F1075" s="76"/>
      <c r="G1075" s="59" t="str">
        <f aca="false">IF(D1075="","",IFERROR(INDEX(식자재단가!$F$4:$F$203,MATCH(D1075,식자재단가!$C$4:$C$203,0)),""))</f>
        <v/>
      </c>
      <c r="H1075" s="50"/>
      <c r="I1075" s="82" t="str">
        <f aca="false">IF(OR(F1075="",H1075=""),"",F1075*H1075)</f>
        <v/>
      </c>
      <c r="J1075" s="83" t="str">
        <f aca="false">IF(D1075="","",IFERROR(INDEX(식자재단가!$M$4:$M$203,MATCH(D1075,식자재단가!$C$4:$C$203,0)),"과세"))</f>
        <v/>
      </c>
      <c r="K1075" s="28" t="str">
        <f aca="false">IF(I1075="","",IF(J1075="과세",ROUND(I1075*0.1,0),0))</f>
        <v/>
      </c>
      <c r="L1075" s="28" t="str">
        <f aca="false">IF(I1075="","",I1075+K1075)</f>
        <v/>
      </c>
      <c r="M1075" s="10"/>
      <c r="N1075" s="80"/>
      <c r="O1075" s="80"/>
      <c r="P1075" s="59" t="str">
        <f aca="false">IF(E1075="","",IFERROR(INDEX(기본설정!$H$4:$H$14,MATCH(E1075,기본설정!$G$4:$G$14,0)),""))</f>
        <v/>
      </c>
    </row>
    <row r="1076" customFormat="false" ht="15" hidden="false" customHeight="false" outlineLevel="0" collapsed="false">
      <c r="A1076" s="73"/>
      <c r="B1076" s="10"/>
      <c r="C1076" s="80"/>
      <c r="D1076" s="80"/>
      <c r="E1076" s="81" t="str">
        <f aca="false">IF(D1076="","",IFERROR(INDEX(식자재단가!$B$4:$B$203,MATCH(D1076,식자재단가!$C$4:$C$203,0)),""))</f>
        <v/>
      </c>
      <c r="F1076" s="76"/>
      <c r="G1076" s="59" t="str">
        <f aca="false">IF(D1076="","",IFERROR(INDEX(식자재단가!$F$4:$F$203,MATCH(D1076,식자재단가!$C$4:$C$203,0)),""))</f>
        <v/>
      </c>
      <c r="H1076" s="50"/>
      <c r="I1076" s="82" t="str">
        <f aca="false">IF(OR(F1076="",H1076=""),"",F1076*H1076)</f>
        <v/>
      </c>
      <c r="J1076" s="83" t="str">
        <f aca="false">IF(D1076="","",IFERROR(INDEX(식자재단가!$M$4:$M$203,MATCH(D1076,식자재단가!$C$4:$C$203,0)),"과세"))</f>
        <v/>
      </c>
      <c r="K1076" s="28" t="str">
        <f aca="false">IF(I1076="","",IF(J1076="과세",ROUND(I1076*0.1,0),0))</f>
        <v/>
      </c>
      <c r="L1076" s="28" t="str">
        <f aca="false">IF(I1076="","",I1076+K1076)</f>
        <v/>
      </c>
      <c r="M1076" s="10"/>
      <c r="N1076" s="80"/>
      <c r="O1076" s="80"/>
      <c r="P1076" s="59" t="str">
        <f aca="false">IF(E1076="","",IFERROR(INDEX(기본설정!$H$4:$H$14,MATCH(E1076,기본설정!$G$4:$G$14,0)),""))</f>
        <v/>
      </c>
    </row>
    <row r="1077" customFormat="false" ht="15" hidden="false" customHeight="false" outlineLevel="0" collapsed="false">
      <c r="A1077" s="73"/>
      <c r="B1077" s="10"/>
      <c r="C1077" s="80"/>
      <c r="D1077" s="80"/>
      <c r="E1077" s="81" t="str">
        <f aca="false">IF(D1077="","",IFERROR(INDEX(식자재단가!$B$4:$B$203,MATCH(D1077,식자재단가!$C$4:$C$203,0)),""))</f>
        <v/>
      </c>
      <c r="F1077" s="76"/>
      <c r="G1077" s="59" t="str">
        <f aca="false">IF(D1077="","",IFERROR(INDEX(식자재단가!$F$4:$F$203,MATCH(D1077,식자재단가!$C$4:$C$203,0)),""))</f>
        <v/>
      </c>
      <c r="H1077" s="50"/>
      <c r="I1077" s="82" t="str">
        <f aca="false">IF(OR(F1077="",H1077=""),"",F1077*H1077)</f>
        <v/>
      </c>
      <c r="J1077" s="83" t="str">
        <f aca="false">IF(D1077="","",IFERROR(INDEX(식자재단가!$M$4:$M$203,MATCH(D1077,식자재단가!$C$4:$C$203,0)),"과세"))</f>
        <v/>
      </c>
      <c r="K1077" s="28" t="str">
        <f aca="false">IF(I1077="","",IF(J1077="과세",ROUND(I1077*0.1,0),0))</f>
        <v/>
      </c>
      <c r="L1077" s="28" t="str">
        <f aca="false">IF(I1077="","",I1077+K1077)</f>
        <v/>
      </c>
      <c r="M1077" s="10"/>
      <c r="N1077" s="80"/>
      <c r="O1077" s="80"/>
      <c r="P1077" s="59" t="str">
        <f aca="false">IF(E1077="","",IFERROR(INDEX(기본설정!$H$4:$H$14,MATCH(E1077,기본설정!$G$4:$G$14,0)),""))</f>
        <v/>
      </c>
    </row>
    <row r="1078" customFormat="false" ht="15" hidden="false" customHeight="false" outlineLevel="0" collapsed="false">
      <c r="A1078" s="73"/>
      <c r="B1078" s="10"/>
      <c r="C1078" s="80"/>
      <c r="D1078" s="80"/>
      <c r="E1078" s="81" t="str">
        <f aca="false">IF(D1078="","",IFERROR(INDEX(식자재단가!$B$4:$B$203,MATCH(D1078,식자재단가!$C$4:$C$203,0)),""))</f>
        <v/>
      </c>
      <c r="F1078" s="76"/>
      <c r="G1078" s="59" t="str">
        <f aca="false">IF(D1078="","",IFERROR(INDEX(식자재단가!$F$4:$F$203,MATCH(D1078,식자재단가!$C$4:$C$203,0)),""))</f>
        <v/>
      </c>
      <c r="H1078" s="50"/>
      <c r="I1078" s="82" t="str">
        <f aca="false">IF(OR(F1078="",H1078=""),"",F1078*H1078)</f>
        <v/>
      </c>
      <c r="J1078" s="83" t="str">
        <f aca="false">IF(D1078="","",IFERROR(INDEX(식자재단가!$M$4:$M$203,MATCH(D1078,식자재단가!$C$4:$C$203,0)),"과세"))</f>
        <v/>
      </c>
      <c r="K1078" s="28" t="str">
        <f aca="false">IF(I1078="","",IF(J1078="과세",ROUND(I1078*0.1,0),0))</f>
        <v/>
      </c>
      <c r="L1078" s="28" t="str">
        <f aca="false">IF(I1078="","",I1078+K1078)</f>
        <v/>
      </c>
      <c r="M1078" s="10"/>
      <c r="N1078" s="80"/>
      <c r="O1078" s="80"/>
      <c r="P1078" s="59" t="str">
        <f aca="false">IF(E1078="","",IFERROR(INDEX(기본설정!$H$4:$H$14,MATCH(E1078,기본설정!$G$4:$G$14,0)),""))</f>
        <v/>
      </c>
    </row>
    <row r="1079" customFormat="false" ht="15" hidden="false" customHeight="false" outlineLevel="0" collapsed="false">
      <c r="A1079" s="73"/>
      <c r="B1079" s="10"/>
      <c r="C1079" s="80"/>
      <c r="D1079" s="80"/>
      <c r="E1079" s="81" t="str">
        <f aca="false">IF(D1079="","",IFERROR(INDEX(식자재단가!$B$4:$B$203,MATCH(D1079,식자재단가!$C$4:$C$203,0)),""))</f>
        <v/>
      </c>
      <c r="F1079" s="76"/>
      <c r="G1079" s="59" t="str">
        <f aca="false">IF(D1079="","",IFERROR(INDEX(식자재단가!$F$4:$F$203,MATCH(D1079,식자재단가!$C$4:$C$203,0)),""))</f>
        <v/>
      </c>
      <c r="H1079" s="50"/>
      <c r="I1079" s="82" t="str">
        <f aca="false">IF(OR(F1079="",H1079=""),"",F1079*H1079)</f>
        <v/>
      </c>
      <c r="J1079" s="83" t="str">
        <f aca="false">IF(D1079="","",IFERROR(INDEX(식자재단가!$M$4:$M$203,MATCH(D1079,식자재단가!$C$4:$C$203,0)),"과세"))</f>
        <v/>
      </c>
      <c r="K1079" s="28" t="str">
        <f aca="false">IF(I1079="","",IF(J1079="과세",ROUND(I1079*0.1,0),0))</f>
        <v/>
      </c>
      <c r="L1079" s="28" t="str">
        <f aca="false">IF(I1079="","",I1079+K1079)</f>
        <v/>
      </c>
      <c r="M1079" s="10"/>
      <c r="N1079" s="80"/>
      <c r="O1079" s="80"/>
      <c r="P1079" s="59" t="str">
        <f aca="false">IF(E1079="","",IFERROR(INDEX(기본설정!$H$4:$H$14,MATCH(E1079,기본설정!$G$4:$G$14,0)),""))</f>
        <v/>
      </c>
    </row>
    <row r="1080" customFormat="false" ht="15" hidden="false" customHeight="false" outlineLevel="0" collapsed="false">
      <c r="A1080" s="73"/>
      <c r="B1080" s="10"/>
      <c r="C1080" s="80"/>
      <c r="D1080" s="80"/>
      <c r="E1080" s="81" t="str">
        <f aca="false">IF(D1080="","",IFERROR(INDEX(식자재단가!$B$4:$B$203,MATCH(D1080,식자재단가!$C$4:$C$203,0)),""))</f>
        <v/>
      </c>
      <c r="F1080" s="76"/>
      <c r="G1080" s="59" t="str">
        <f aca="false">IF(D1080="","",IFERROR(INDEX(식자재단가!$F$4:$F$203,MATCH(D1080,식자재단가!$C$4:$C$203,0)),""))</f>
        <v/>
      </c>
      <c r="H1080" s="50"/>
      <c r="I1080" s="82" t="str">
        <f aca="false">IF(OR(F1080="",H1080=""),"",F1080*H1080)</f>
        <v/>
      </c>
      <c r="J1080" s="83" t="str">
        <f aca="false">IF(D1080="","",IFERROR(INDEX(식자재단가!$M$4:$M$203,MATCH(D1080,식자재단가!$C$4:$C$203,0)),"과세"))</f>
        <v/>
      </c>
      <c r="K1080" s="28" t="str">
        <f aca="false">IF(I1080="","",IF(J1080="과세",ROUND(I1080*0.1,0),0))</f>
        <v/>
      </c>
      <c r="L1080" s="28" t="str">
        <f aca="false">IF(I1080="","",I1080+K1080)</f>
        <v/>
      </c>
      <c r="M1080" s="10"/>
      <c r="N1080" s="80"/>
      <c r="O1080" s="80"/>
      <c r="P1080" s="59" t="str">
        <f aca="false">IF(E1080="","",IFERROR(INDEX(기본설정!$H$4:$H$14,MATCH(E1080,기본설정!$G$4:$G$14,0)),""))</f>
        <v/>
      </c>
    </row>
    <row r="1081" customFormat="false" ht="15" hidden="false" customHeight="false" outlineLevel="0" collapsed="false">
      <c r="A1081" s="73"/>
      <c r="B1081" s="10"/>
      <c r="C1081" s="80"/>
      <c r="D1081" s="80"/>
      <c r="E1081" s="81" t="str">
        <f aca="false">IF(D1081="","",IFERROR(INDEX(식자재단가!$B$4:$B$203,MATCH(D1081,식자재단가!$C$4:$C$203,0)),""))</f>
        <v/>
      </c>
      <c r="F1081" s="76"/>
      <c r="G1081" s="59" t="str">
        <f aca="false">IF(D1081="","",IFERROR(INDEX(식자재단가!$F$4:$F$203,MATCH(D1081,식자재단가!$C$4:$C$203,0)),""))</f>
        <v/>
      </c>
      <c r="H1081" s="50"/>
      <c r="I1081" s="82" t="str">
        <f aca="false">IF(OR(F1081="",H1081=""),"",F1081*H1081)</f>
        <v/>
      </c>
      <c r="J1081" s="83" t="str">
        <f aca="false">IF(D1081="","",IFERROR(INDEX(식자재단가!$M$4:$M$203,MATCH(D1081,식자재단가!$C$4:$C$203,0)),"과세"))</f>
        <v/>
      </c>
      <c r="K1081" s="28" t="str">
        <f aca="false">IF(I1081="","",IF(J1081="과세",ROUND(I1081*0.1,0),0))</f>
        <v/>
      </c>
      <c r="L1081" s="28" t="str">
        <f aca="false">IF(I1081="","",I1081+K1081)</f>
        <v/>
      </c>
      <c r="M1081" s="10"/>
      <c r="N1081" s="80"/>
      <c r="O1081" s="80"/>
      <c r="P1081" s="59" t="str">
        <f aca="false">IF(E1081="","",IFERROR(INDEX(기본설정!$H$4:$H$14,MATCH(E1081,기본설정!$G$4:$G$14,0)),""))</f>
        <v/>
      </c>
    </row>
    <row r="1082" customFormat="false" ht="15" hidden="false" customHeight="false" outlineLevel="0" collapsed="false">
      <c r="A1082" s="73"/>
      <c r="B1082" s="10"/>
      <c r="C1082" s="80"/>
      <c r="D1082" s="80"/>
      <c r="E1082" s="81" t="str">
        <f aca="false">IF(D1082="","",IFERROR(INDEX(식자재단가!$B$4:$B$203,MATCH(D1082,식자재단가!$C$4:$C$203,0)),""))</f>
        <v/>
      </c>
      <c r="F1082" s="76"/>
      <c r="G1082" s="59" t="str">
        <f aca="false">IF(D1082="","",IFERROR(INDEX(식자재단가!$F$4:$F$203,MATCH(D1082,식자재단가!$C$4:$C$203,0)),""))</f>
        <v/>
      </c>
      <c r="H1082" s="50"/>
      <c r="I1082" s="82" t="str">
        <f aca="false">IF(OR(F1082="",H1082=""),"",F1082*H1082)</f>
        <v/>
      </c>
      <c r="J1082" s="83" t="str">
        <f aca="false">IF(D1082="","",IFERROR(INDEX(식자재단가!$M$4:$M$203,MATCH(D1082,식자재단가!$C$4:$C$203,0)),"과세"))</f>
        <v/>
      </c>
      <c r="K1082" s="28" t="str">
        <f aca="false">IF(I1082="","",IF(J1082="과세",ROUND(I1082*0.1,0),0))</f>
        <v/>
      </c>
      <c r="L1082" s="28" t="str">
        <f aca="false">IF(I1082="","",I1082+K1082)</f>
        <v/>
      </c>
      <c r="M1082" s="10"/>
      <c r="N1082" s="80"/>
      <c r="O1082" s="80"/>
      <c r="P1082" s="59" t="str">
        <f aca="false">IF(E1082="","",IFERROR(INDEX(기본설정!$H$4:$H$14,MATCH(E1082,기본설정!$G$4:$G$14,0)),""))</f>
        <v/>
      </c>
    </row>
    <row r="1083" customFormat="false" ht="15" hidden="false" customHeight="false" outlineLevel="0" collapsed="false">
      <c r="A1083" s="73"/>
      <c r="B1083" s="10"/>
      <c r="C1083" s="80"/>
      <c r="D1083" s="80"/>
      <c r="E1083" s="81" t="str">
        <f aca="false">IF(D1083="","",IFERROR(INDEX(식자재단가!$B$4:$B$203,MATCH(D1083,식자재단가!$C$4:$C$203,0)),""))</f>
        <v/>
      </c>
      <c r="F1083" s="76"/>
      <c r="G1083" s="59" t="str">
        <f aca="false">IF(D1083="","",IFERROR(INDEX(식자재단가!$F$4:$F$203,MATCH(D1083,식자재단가!$C$4:$C$203,0)),""))</f>
        <v/>
      </c>
      <c r="H1083" s="50"/>
      <c r="I1083" s="82" t="str">
        <f aca="false">IF(OR(F1083="",H1083=""),"",F1083*H1083)</f>
        <v/>
      </c>
      <c r="J1083" s="83" t="str">
        <f aca="false">IF(D1083="","",IFERROR(INDEX(식자재단가!$M$4:$M$203,MATCH(D1083,식자재단가!$C$4:$C$203,0)),"과세"))</f>
        <v/>
      </c>
      <c r="K1083" s="28" t="str">
        <f aca="false">IF(I1083="","",IF(J1083="과세",ROUND(I1083*0.1,0),0))</f>
        <v/>
      </c>
      <c r="L1083" s="28" t="str">
        <f aca="false">IF(I1083="","",I1083+K1083)</f>
        <v/>
      </c>
      <c r="M1083" s="10"/>
      <c r="N1083" s="80"/>
      <c r="O1083" s="80"/>
      <c r="P1083" s="59" t="str">
        <f aca="false">IF(E1083="","",IFERROR(INDEX(기본설정!$H$4:$H$14,MATCH(E1083,기본설정!$G$4:$G$14,0)),""))</f>
        <v/>
      </c>
    </row>
    <row r="1084" customFormat="false" ht="15" hidden="false" customHeight="false" outlineLevel="0" collapsed="false">
      <c r="A1084" s="73"/>
      <c r="B1084" s="10"/>
      <c r="C1084" s="80"/>
      <c r="D1084" s="80"/>
      <c r="E1084" s="81" t="str">
        <f aca="false">IF(D1084="","",IFERROR(INDEX(식자재단가!$B$4:$B$203,MATCH(D1084,식자재단가!$C$4:$C$203,0)),""))</f>
        <v/>
      </c>
      <c r="F1084" s="76"/>
      <c r="G1084" s="59" t="str">
        <f aca="false">IF(D1084="","",IFERROR(INDEX(식자재단가!$F$4:$F$203,MATCH(D1084,식자재단가!$C$4:$C$203,0)),""))</f>
        <v/>
      </c>
      <c r="H1084" s="50"/>
      <c r="I1084" s="82" t="str">
        <f aca="false">IF(OR(F1084="",H1084=""),"",F1084*H1084)</f>
        <v/>
      </c>
      <c r="J1084" s="83" t="str">
        <f aca="false">IF(D1084="","",IFERROR(INDEX(식자재단가!$M$4:$M$203,MATCH(D1084,식자재단가!$C$4:$C$203,0)),"과세"))</f>
        <v/>
      </c>
      <c r="K1084" s="28" t="str">
        <f aca="false">IF(I1084="","",IF(J1084="과세",ROUND(I1084*0.1,0),0))</f>
        <v/>
      </c>
      <c r="L1084" s="28" t="str">
        <f aca="false">IF(I1084="","",I1084+K1084)</f>
        <v/>
      </c>
      <c r="M1084" s="10"/>
      <c r="N1084" s="80"/>
      <c r="O1084" s="80"/>
      <c r="P1084" s="59" t="str">
        <f aca="false">IF(E1084="","",IFERROR(INDEX(기본설정!$H$4:$H$14,MATCH(E1084,기본설정!$G$4:$G$14,0)),""))</f>
        <v/>
      </c>
    </row>
    <row r="1085" customFormat="false" ht="15" hidden="false" customHeight="false" outlineLevel="0" collapsed="false">
      <c r="A1085" s="73"/>
      <c r="B1085" s="10"/>
      <c r="C1085" s="80"/>
      <c r="D1085" s="80"/>
      <c r="E1085" s="81" t="str">
        <f aca="false">IF(D1085="","",IFERROR(INDEX(식자재단가!$B$4:$B$203,MATCH(D1085,식자재단가!$C$4:$C$203,0)),""))</f>
        <v/>
      </c>
      <c r="F1085" s="76"/>
      <c r="G1085" s="59" t="str">
        <f aca="false">IF(D1085="","",IFERROR(INDEX(식자재단가!$F$4:$F$203,MATCH(D1085,식자재단가!$C$4:$C$203,0)),""))</f>
        <v/>
      </c>
      <c r="H1085" s="50"/>
      <c r="I1085" s="82" t="str">
        <f aca="false">IF(OR(F1085="",H1085=""),"",F1085*H1085)</f>
        <v/>
      </c>
      <c r="J1085" s="83" t="str">
        <f aca="false">IF(D1085="","",IFERROR(INDEX(식자재단가!$M$4:$M$203,MATCH(D1085,식자재단가!$C$4:$C$203,0)),"과세"))</f>
        <v/>
      </c>
      <c r="K1085" s="28" t="str">
        <f aca="false">IF(I1085="","",IF(J1085="과세",ROUND(I1085*0.1,0),0))</f>
        <v/>
      </c>
      <c r="L1085" s="28" t="str">
        <f aca="false">IF(I1085="","",I1085+K1085)</f>
        <v/>
      </c>
      <c r="M1085" s="10"/>
      <c r="N1085" s="80"/>
      <c r="O1085" s="80"/>
      <c r="P1085" s="59" t="str">
        <f aca="false">IF(E1085="","",IFERROR(INDEX(기본설정!$H$4:$H$14,MATCH(E1085,기본설정!$G$4:$G$14,0)),""))</f>
        <v/>
      </c>
    </row>
    <row r="1086" customFormat="false" ht="15" hidden="false" customHeight="false" outlineLevel="0" collapsed="false">
      <c r="A1086" s="73"/>
      <c r="B1086" s="10"/>
      <c r="C1086" s="80"/>
      <c r="D1086" s="80"/>
      <c r="E1086" s="81" t="str">
        <f aca="false">IF(D1086="","",IFERROR(INDEX(식자재단가!$B$4:$B$203,MATCH(D1086,식자재단가!$C$4:$C$203,0)),""))</f>
        <v/>
      </c>
      <c r="F1086" s="76"/>
      <c r="G1086" s="59" t="str">
        <f aca="false">IF(D1086="","",IFERROR(INDEX(식자재단가!$F$4:$F$203,MATCH(D1086,식자재단가!$C$4:$C$203,0)),""))</f>
        <v/>
      </c>
      <c r="H1086" s="50"/>
      <c r="I1086" s="82" t="str">
        <f aca="false">IF(OR(F1086="",H1086=""),"",F1086*H1086)</f>
        <v/>
      </c>
      <c r="J1086" s="83" t="str">
        <f aca="false">IF(D1086="","",IFERROR(INDEX(식자재단가!$M$4:$M$203,MATCH(D1086,식자재단가!$C$4:$C$203,0)),"과세"))</f>
        <v/>
      </c>
      <c r="K1086" s="28" t="str">
        <f aca="false">IF(I1086="","",IF(J1086="과세",ROUND(I1086*0.1,0),0))</f>
        <v/>
      </c>
      <c r="L1086" s="28" t="str">
        <f aca="false">IF(I1086="","",I1086+K1086)</f>
        <v/>
      </c>
      <c r="M1086" s="10"/>
      <c r="N1086" s="80"/>
      <c r="O1086" s="80"/>
      <c r="P1086" s="59" t="str">
        <f aca="false">IF(E1086="","",IFERROR(INDEX(기본설정!$H$4:$H$14,MATCH(E1086,기본설정!$G$4:$G$14,0)),""))</f>
        <v/>
      </c>
    </row>
    <row r="1087" customFormat="false" ht="15" hidden="false" customHeight="false" outlineLevel="0" collapsed="false">
      <c r="A1087" s="73"/>
      <c r="B1087" s="10"/>
      <c r="C1087" s="80"/>
      <c r="D1087" s="80"/>
      <c r="E1087" s="81" t="str">
        <f aca="false">IF(D1087="","",IFERROR(INDEX(식자재단가!$B$4:$B$203,MATCH(D1087,식자재단가!$C$4:$C$203,0)),""))</f>
        <v/>
      </c>
      <c r="F1087" s="76"/>
      <c r="G1087" s="59" t="str">
        <f aca="false">IF(D1087="","",IFERROR(INDEX(식자재단가!$F$4:$F$203,MATCH(D1087,식자재단가!$C$4:$C$203,0)),""))</f>
        <v/>
      </c>
      <c r="H1087" s="50"/>
      <c r="I1087" s="82" t="str">
        <f aca="false">IF(OR(F1087="",H1087=""),"",F1087*H1087)</f>
        <v/>
      </c>
      <c r="J1087" s="83" t="str">
        <f aca="false">IF(D1087="","",IFERROR(INDEX(식자재단가!$M$4:$M$203,MATCH(D1087,식자재단가!$C$4:$C$203,0)),"과세"))</f>
        <v/>
      </c>
      <c r="K1087" s="28" t="str">
        <f aca="false">IF(I1087="","",IF(J1087="과세",ROUND(I1087*0.1,0),0))</f>
        <v/>
      </c>
      <c r="L1087" s="28" t="str">
        <f aca="false">IF(I1087="","",I1087+K1087)</f>
        <v/>
      </c>
      <c r="M1087" s="10"/>
      <c r="N1087" s="80"/>
      <c r="O1087" s="80"/>
      <c r="P1087" s="59" t="str">
        <f aca="false">IF(E1087="","",IFERROR(INDEX(기본설정!$H$4:$H$14,MATCH(E1087,기본설정!$G$4:$G$14,0)),""))</f>
        <v/>
      </c>
    </row>
    <row r="1088" customFormat="false" ht="15" hidden="false" customHeight="false" outlineLevel="0" collapsed="false">
      <c r="A1088" s="73"/>
      <c r="B1088" s="10"/>
      <c r="C1088" s="80"/>
      <c r="D1088" s="80"/>
      <c r="E1088" s="81" t="str">
        <f aca="false">IF(D1088="","",IFERROR(INDEX(식자재단가!$B$4:$B$203,MATCH(D1088,식자재단가!$C$4:$C$203,0)),""))</f>
        <v/>
      </c>
      <c r="F1088" s="76"/>
      <c r="G1088" s="59" t="str">
        <f aca="false">IF(D1088="","",IFERROR(INDEX(식자재단가!$F$4:$F$203,MATCH(D1088,식자재단가!$C$4:$C$203,0)),""))</f>
        <v/>
      </c>
      <c r="H1088" s="50"/>
      <c r="I1088" s="82" t="str">
        <f aca="false">IF(OR(F1088="",H1088=""),"",F1088*H1088)</f>
        <v/>
      </c>
      <c r="J1088" s="83" t="str">
        <f aca="false">IF(D1088="","",IFERROR(INDEX(식자재단가!$M$4:$M$203,MATCH(D1088,식자재단가!$C$4:$C$203,0)),"과세"))</f>
        <v/>
      </c>
      <c r="K1088" s="28" t="str">
        <f aca="false">IF(I1088="","",IF(J1088="과세",ROUND(I1088*0.1,0),0))</f>
        <v/>
      </c>
      <c r="L1088" s="28" t="str">
        <f aca="false">IF(I1088="","",I1088+K1088)</f>
        <v/>
      </c>
      <c r="M1088" s="10"/>
      <c r="N1088" s="80"/>
      <c r="O1088" s="80"/>
      <c r="P1088" s="59" t="str">
        <f aca="false">IF(E1088="","",IFERROR(INDEX(기본설정!$H$4:$H$14,MATCH(E1088,기본설정!$G$4:$G$14,0)),""))</f>
        <v/>
      </c>
    </row>
    <row r="1089" customFormat="false" ht="15" hidden="false" customHeight="false" outlineLevel="0" collapsed="false">
      <c r="A1089" s="73"/>
      <c r="B1089" s="10"/>
      <c r="C1089" s="80"/>
      <c r="D1089" s="80"/>
      <c r="E1089" s="81" t="str">
        <f aca="false">IF(D1089="","",IFERROR(INDEX(식자재단가!$B$4:$B$203,MATCH(D1089,식자재단가!$C$4:$C$203,0)),""))</f>
        <v/>
      </c>
      <c r="F1089" s="76"/>
      <c r="G1089" s="59" t="str">
        <f aca="false">IF(D1089="","",IFERROR(INDEX(식자재단가!$F$4:$F$203,MATCH(D1089,식자재단가!$C$4:$C$203,0)),""))</f>
        <v/>
      </c>
      <c r="H1089" s="50"/>
      <c r="I1089" s="82" t="str">
        <f aca="false">IF(OR(F1089="",H1089=""),"",F1089*H1089)</f>
        <v/>
      </c>
      <c r="J1089" s="83" t="str">
        <f aca="false">IF(D1089="","",IFERROR(INDEX(식자재단가!$M$4:$M$203,MATCH(D1089,식자재단가!$C$4:$C$203,0)),"과세"))</f>
        <v/>
      </c>
      <c r="K1089" s="28" t="str">
        <f aca="false">IF(I1089="","",IF(J1089="과세",ROUND(I1089*0.1,0),0))</f>
        <v/>
      </c>
      <c r="L1089" s="28" t="str">
        <f aca="false">IF(I1089="","",I1089+K1089)</f>
        <v/>
      </c>
      <c r="M1089" s="10"/>
      <c r="N1089" s="80"/>
      <c r="O1089" s="80"/>
      <c r="P1089" s="59" t="str">
        <f aca="false">IF(E1089="","",IFERROR(INDEX(기본설정!$H$4:$H$14,MATCH(E1089,기본설정!$G$4:$G$14,0)),""))</f>
        <v/>
      </c>
    </row>
    <row r="1090" customFormat="false" ht="15" hidden="false" customHeight="false" outlineLevel="0" collapsed="false">
      <c r="A1090" s="73"/>
      <c r="B1090" s="10"/>
      <c r="C1090" s="80"/>
      <c r="D1090" s="80"/>
      <c r="E1090" s="81" t="str">
        <f aca="false">IF(D1090="","",IFERROR(INDEX(식자재단가!$B$4:$B$203,MATCH(D1090,식자재단가!$C$4:$C$203,0)),""))</f>
        <v/>
      </c>
      <c r="F1090" s="76"/>
      <c r="G1090" s="59" t="str">
        <f aca="false">IF(D1090="","",IFERROR(INDEX(식자재단가!$F$4:$F$203,MATCH(D1090,식자재단가!$C$4:$C$203,0)),""))</f>
        <v/>
      </c>
      <c r="H1090" s="50"/>
      <c r="I1090" s="82" t="str">
        <f aca="false">IF(OR(F1090="",H1090=""),"",F1090*H1090)</f>
        <v/>
      </c>
      <c r="J1090" s="83" t="str">
        <f aca="false">IF(D1090="","",IFERROR(INDEX(식자재단가!$M$4:$M$203,MATCH(D1090,식자재단가!$C$4:$C$203,0)),"과세"))</f>
        <v/>
      </c>
      <c r="K1090" s="28" t="str">
        <f aca="false">IF(I1090="","",IF(J1090="과세",ROUND(I1090*0.1,0),0))</f>
        <v/>
      </c>
      <c r="L1090" s="28" t="str">
        <f aca="false">IF(I1090="","",I1090+K1090)</f>
        <v/>
      </c>
      <c r="M1090" s="10"/>
      <c r="N1090" s="80"/>
      <c r="O1090" s="80"/>
      <c r="P1090" s="59" t="str">
        <f aca="false">IF(E1090="","",IFERROR(INDEX(기본설정!$H$4:$H$14,MATCH(E1090,기본설정!$G$4:$G$14,0)),""))</f>
        <v/>
      </c>
    </row>
    <row r="1091" customFormat="false" ht="15" hidden="false" customHeight="false" outlineLevel="0" collapsed="false">
      <c r="A1091" s="73"/>
      <c r="B1091" s="10"/>
      <c r="C1091" s="80"/>
      <c r="D1091" s="80"/>
      <c r="E1091" s="81" t="str">
        <f aca="false">IF(D1091="","",IFERROR(INDEX(식자재단가!$B$4:$B$203,MATCH(D1091,식자재단가!$C$4:$C$203,0)),""))</f>
        <v/>
      </c>
      <c r="F1091" s="76"/>
      <c r="G1091" s="59" t="str">
        <f aca="false">IF(D1091="","",IFERROR(INDEX(식자재단가!$F$4:$F$203,MATCH(D1091,식자재단가!$C$4:$C$203,0)),""))</f>
        <v/>
      </c>
      <c r="H1091" s="50"/>
      <c r="I1091" s="82" t="str">
        <f aca="false">IF(OR(F1091="",H1091=""),"",F1091*H1091)</f>
        <v/>
      </c>
      <c r="J1091" s="83" t="str">
        <f aca="false">IF(D1091="","",IFERROR(INDEX(식자재단가!$M$4:$M$203,MATCH(D1091,식자재단가!$C$4:$C$203,0)),"과세"))</f>
        <v/>
      </c>
      <c r="K1091" s="28" t="str">
        <f aca="false">IF(I1091="","",IF(J1091="과세",ROUND(I1091*0.1,0),0))</f>
        <v/>
      </c>
      <c r="L1091" s="28" t="str">
        <f aca="false">IF(I1091="","",I1091+K1091)</f>
        <v/>
      </c>
      <c r="M1091" s="10"/>
      <c r="N1091" s="80"/>
      <c r="O1091" s="80"/>
      <c r="P1091" s="59" t="str">
        <f aca="false">IF(E1091="","",IFERROR(INDEX(기본설정!$H$4:$H$14,MATCH(E1091,기본설정!$G$4:$G$14,0)),""))</f>
        <v/>
      </c>
    </row>
    <row r="1092" customFormat="false" ht="15" hidden="false" customHeight="false" outlineLevel="0" collapsed="false">
      <c r="A1092" s="73"/>
      <c r="B1092" s="10"/>
      <c r="C1092" s="80"/>
      <c r="D1092" s="80"/>
      <c r="E1092" s="81" t="str">
        <f aca="false">IF(D1092="","",IFERROR(INDEX(식자재단가!$B$4:$B$203,MATCH(D1092,식자재단가!$C$4:$C$203,0)),""))</f>
        <v/>
      </c>
      <c r="F1092" s="76"/>
      <c r="G1092" s="59" t="str">
        <f aca="false">IF(D1092="","",IFERROR(INDEX(식자재단가!$F$4:$F$203,MATCH(D1092,식자재단가!$C$4:$C$203,0)),""))</f>
        <v/>
      </c>
      <c r="H1092" s="50"/>
      <c r="I1092" s="82" t="str">
        <f aca="false">IF(OR(F1092="",H1092=""),"",F1092*H1092)</f>
        <v/>
      </c>
      <c r="J1092" s="83" t="str">
        <f aca="false">IF(D1092="","",IFERROR(INDEX(식자재단가!$M$4:$M$203,MATCH(D1092,식자재단가!$C$4:$C$203,0)),"과세"))</f>
        <v/>
      </c>
      <c r="K1092" s="28" t="str">
        <f aca="false">IF(I1092="","",IF(J1092="과세",ROUND(I1092*0.1,0),0))</f>
        <v/>
      </c>
      <c r="L1092" s="28" t="str">
        <f aca="false">IF(I1092="","",I1092+K1092)</f>
        <v/>
      </c>
      <c r="M1092" s="10"/>
      <c r="N1092" s="80"/>
      <c r="O1092" s="80"/>
      <c r="P1092" s="59" t="str">
        <f aca="false">IF(E1092="","",IFERROR(INDEX(기본설정!$H$4:$H$14,MATCH(E1092,기본설정!$G$4:$G$14,0)),""))</f>
        <v/>
      </c>
    </row>
    <row r="1093" customFormat="false" ht="15" hidden="false" customHeight="false" outlineLevel="0" collapsed="false">
      <c r="A1093" s="73"/>
      <c r="B1093" s="10"/>
      <c r="C1093" s="80"/>
      <c r="D1093" s="80"/>
      <c r="E1093" s="81" t="str">
        <f aca="false">IF(D1093="","",IFERROR(INDEX(식자재단가!$B$4:$B$203,MATCH(D1093,식자재단가!$C$4:$C$203,0)),""))</f>
        <v/>
      </c>
      <c r="F1093" s="76"/>
      <c r="G1093" s="59" t="str">
        <f aca="false">IF(D1093="","",IFERROR(INDEX(식자재단가!$F$4:$F$203,MATCH(D1093,식자재단가!$C$4:$C$203,0)),""))</f>
        <v/>
      </c>
      <c r="H1093" s="50"/>
      <c r="I1093" s="82" t="str">
        <f aca="false">IF(OR(F1093="",H1093=""),"",F1093*H1093)</f>
        <v/>
      </c>
      <c r="J1093" s="83" t="str">
        <f aca="false">IF(D1093="","",IFERROR(INDEX(식자재단가!$M$4:$M$203,MATCH(D1093,식자재단가!$C$4:$C$203,0)),"과세"))</f>
        <v/>
      </c>
      <c r="K1093" s="28" t="str">
        <f aca="false">IF(I1093="","",IF(J1093="과세",ROUND(I1093*0.1,0),0))</f>
        <v/>
      </c>
      <c r="L1093" s="28" t="str">
        <f aca="false">IF(I1093="","",I1093+K1093)</f>
        <v/>
      </c>
      <c r="M1093" s="10"/>
      <c r="N1093" s="80"/>
      <c r="O1093" s="80"/>
      <c r="P1093" s="59" t="str">
        <f aca="false">IF(E1093="","",IFERROR(INDEX(기본설정!$H$4:$H$14,MATCH(E1093,기본설정!$G$4:$G$14,0)),""))</f>
        <v/>
      </c>
    </row>
    <row r="1094" customFormat="false" ht="15" hidden="false" customHeight="false" outlineLevel="0" collapsed="false">
      <c r="A1094" s="73"/>
      <c r="B1094" s="10"/>
      <c r="C1094" s="80"/>
      <c r="D1094" s="80"/>
      <c r="E1094" s="81" t="str">
        <f aca="false">IF(D1094="","",IFERROR(INDEX(식자재단가!$B$4:$B$203,MATCH(D1094,식자재단가!$C$4:$C$203,0)),""))</f>
        <v/>
      </c>
      <c r="F1094" s="76"/>
      <c r="G1094" s="59" t="str">
        <f aca="false">IF(D1094="","",IFERROR(INDEX(식자재단가!$F$4:$F$203,MATCH(D1094,식자재단가!$C$4:$C$203,0)),""))</f>
        <v/>
      </c>
      <c r="H1094" s="50"/>
      <c r="I1094" s="82" t="str">
        <f aca="false">IF(OR(F1094="",H1094=""),"",F1094*H1094)</f>
        <v/>
      </c>
      <c r="J1094" s="83" t="str">
        <f aca="false">IF(D1094="","",IFERROR(INDEX(식자재단가!$M$4:$M$203,MATCH(D1094,식자재단가!$C$4:$C$203,0)),"과세"))</f>
        <v/>
      </c>
      <c r="K1094" s="28" t="str">
        <f aca="false">IF(I1094="","",IF(J1094="과세",ROUND(I1094*0.1,0),0))</f>
        <v/>
      </c>
      <c r="L1094" s="28" t="str">
        <f aca="false">IF(I1094="","",I1094+K1094)</f>
        <v/>
      </c>
      <c r="M1094" s="10"/>
      <c r="N1094" s="80"/>
      <c r="O1094" s="80"/>
      <c r="P1094" s="59" t="str">
        <f aca="false">IF(E1094="","",IFERROR(INDEX(기본설정!$H$4:$H$14,MATCH(E1094,기본설정!$G$4:$G$14,0)),""))</f>
        <v/>
      </c>
    </row>
    <row r="1095" customFormat="false" ht="15" hidden="false" customHeight="false" outlineLevel="0" collapsed="false">
      <c r="A1095" s="73"/>
      <c r="B1095" s="10"/>
      <c r="C1095" s="80"/>
      <c r="D1095" s="80"/>
      <c r="E1095" s="81" t="str">
        <f aca="false">IF(D1095="","",IFERROR(INDEX(식자재단가!$B$4:$B$203,MATCH(D1095,식자재단가!$C$4:$C$203,0)),""))</f>
        <v/>
      </c>
      <c r="F1095" s="76"/>
      <c r="G1095" s="59" t="str">
        <f aca="false">IF(D1095="","",IFERROR(INDEX(식자재단가!$F$4:$F$203,MATCH(D1095,식자재단가!$C$4:$C$203,0)),""))</f>
        <v/>
      </c>
      <c r="H1095" s="50"/>
      <c r="I1095" s="82" t="str">
        <f aca="false">IF(OR(F1095="",H1095=""),"",F1095*H1095)</f>
        <v/>
      </c>
      <c r="J1095" s="83" t="str">
        <f aca="false">IF(D1095="","",IFERROR(INDEX(식자재단가!$M$4:$M$203,MATCH(D1095,식자재단가!$C$4:$C$203,0)),"과세"))</f>
        <v/>
      </c>
      <c r="K1095" s="28" t="str">
        <f aca="false">IF(I1095="","",IF(J1095="과세",ROUND(I1095*0.1,0),0))</f>
        <v/>
      </c>
      <c r="L1095" s="28" t="str">
        <f aca="false">IF(I1095="","",I1095+K1095)</f>
        <v/>
      </c>
      <c r="M1095" s="10"/>
      <c r="N1095" s="80"/>
      <c r="O1095" s="80"/>
      <c r="P1095" s="59" t="str">
        <f aca="false">IF(E1095="","",IFERROR(INDEX(기본설정!$H$4:$H$14,MATCH(E1095,기본설정!$G$4:$G$14,0)),""))</f>
        <v/>
      </c>
    </row>
    <row r="1096" customFormat="false" ht="15" hidden="false" customHeight="false" outlineLevel="0" collapsed="false">
      <c r="A1096" s="73"/>
      <c r="B1096" s="10"/>
      <c r="C1096" s="80"/>
      <c r="D1096" s="80"/>
      <c r="E1096" s="81" t="str">
        <f aca="false">IF(D1096="","",IFERROR(INDEX(식자재단가!$B$4:$B$203,MATCH(D1096,식자재단가!$C$4:$C$203,0)),""))</f>
        <v/>
      </c>
      <c r="F1096" s="76"/>
      <c r="G1096" s="59" t="str">
        <f aca="false">IF(D1096="","",IFERROR(INDEX(식자재단가!$F$4:$F$203,MATCH(D1096,식자재단가!$C$4:$C$203,0)),""))</f>
        <v/>
      </c>
      <c r="H1096" s="50"/>
      <c r="I1096" s="82" t="str">
        <f aca="false">IF(OR(F1096="",H1096=""),"",F1096*H1096)</f>
        <v/>
      </c>
      <c r="J1096" s="83" t="str">
        <f aca="false">IF(D1096="","",IFERROR(INDEX(식자재단가!$M$4:$M$203,MATCH(D1096,식자재단가!$C$4:$C$203,0)),"과세"))</f>
        <v/>
      </c>
      <c r="K1096" s="28" t="str">
        <f aca="false">IF(I1096="","",IF(J1096="과세",ROUND(I1096*0.1,0),0))</f>
        <v/>
      </c>
      <c r="L1096" s="28" t="str">
        <f aca="false">IF(I1096="","",I1096+K1096)</f>
        <v/>
      </c>
      <c r="M1096" s="10"/>
      <c r="N1096" s="80"/>
      <c r="O1096" s="80"/>
      <c r="P1096" s="59" t="str">
        <f aca="false">IF(E1096="","",IFERROR(INDEX(기본설정!$H$4:$H$14,MATCH(E1096,기본설정!$G$4:$G$14,0)),""))</f>
        <v/>
      </c>
    </row>
    <row r="1097" customFormat="false" ht="15" hidden="false" customHeight="false" outlineLevel="0" collapsed="false">
      <c r="A1097" s="73"/>
      <c r="B1097" s="10"/>
      <c r="C1097" s="80"/>
      <c r="D1097" s="80"/>
      <c r="E1097" s="81" t="str">
        <f aca="false">IF(D1097="","",IFERROR(INDEX(식자재단가!$B$4:$B$203,MATCH(D1097,식자재단가!$C$4:$C$203,0)),""))</f>
        <v/>
      </c>
      <c r="F1097" s="76"/>
      <c r="G1097" s="59" t="str">
        <f aca="false">IF(D1097="","",IFERROR(INDEX(식자재단가!$F$4:$F$203,MATCH(D1097,식자재단가!$C$4:$C$203,0)),""))</f>
        <v/>
      </c>
      <c r="H1097" s="50"/>
      <c r="I1097" s="82" t="str">
        <f aca="false">IF(OR(F1097="",H1097=""),"",F1097*H1097)</f>
        <v/>
      </c>
      <c r="J1097" s="83" t="str">
        <f aca="false">IF(D1097="","",IFERROR(INDEX(식자재단가!$M$4:$M$203,MATCH(D1097,식자재단가!$C$4:$C$203,0)),"과세"))</f>
        <v/>
      </c>
      <c r="K1097" s="28" t="str">
        <f aca="false">IF(I1097="","",IF(J1097="과세",ROUND(I1097*0.1,0),0))</f>
        <v/>
      </c>
      <c r="L1097" s="28" t="str">
        <f aca="false">IF(I1097="","",I1097+K1097)</f>
        <v/>
      </c>
      <c r="M1097" s="10"/>
      <c r="N1097" s="80"/>
      <c r="O1097" s="80"/>
      <c r="P1097" s="59" t="str">
        <f aca="false">IF(E1097="","",IFERROR(INDEX(기본설정!$H$4:$H$14,MATCH(E1097,기본설정!$G$4:$G$14,0)),""))</f>
        <v/>
      </c>
    </row>
    <row r="1098" customFormat="false" ht="15" hidden="false" customHeight="false" outlineLevel="0" collapsed="false">
      <c r="A1098" s="73"/>
      <c r="B1098" s="10"/>
      <c r="C1098" s="80"/>
      <c r="D1098" s="80"/>
      <c r="E1098" s="81" t="str">
        <f aca="false">IF(D1098="","",IFERROR(INDEX(식자재단가!$B$4:$B$203,MATCH(D1098,식자재단가!$C$4:$C$203,0)),""))</f>
        <v/>
      </c>
      <c r="F1098" s="76"/>
      <c r="G1098" s="59" t="str">
        <f aca="false">IF(D1098="","",IFERROR(INDEX(식자재단가!$F$4:$F$203,MATCH(D1098,식자재단가!$C$4:$C$203,0)),""))</f>
        <v/>
      </c>
      <c r="H1098" s="50"/>
      <c r="I1098" s="82" t="str">
        <f aca="false">IF(OR(F1098="",H1098=""),"",F1098*H1098)</f>
        <v/>
      </c>
      <c r="J1098" s="83" t="str">
        <f aca="false">IF(D1098="","",IFERROR(INDEX(식자재단가!$M$4:$M$203,MATCH(D1098,식자재단가!$C$4:$C$203,0)),"과세"))</f>
        <v/>
      </c>
      <c r="K1098" s="28" t="str">
        <f aca="false">IF(I1098="","",IF(J1098="과세",ROUND(I1098*0.1,0),0))</f>
        <v/>
      </c>
      <c r="L1098" s="28" t="str">
        <f aca="false">IF(I1098="","",I1098+K1098)</f>
        <v/>
      </c>
      <c r="M1098" s="10"/>
      <c r="N1098" s="80"/>
      <c r="O1098" s="80"/>
      <c r="P1098" s="59" t="str">
        <f aca="false">IF(E1098="","",IFERROR(INDEX(기본설정!$H$4:$H$14,MATCH(E1098,기본설정!$G$4:$G$14,0)),""))</f>
        <v/>
      </c>
    </row>
    <row r="1099" customFormat="false" ht="15" hidden="false" customHeight="false" outlineLevel="0" collapsed="false">
      <c r="A1099" s="73"/>
      <c r="B1099" s="10"/>
      <c r="C1099" s="80"/>
      <c r="D1099" s="80"/>
      <c r="E1099" s="81" t="str">
        <f aca="false">IF(D1099="","",IFERROR(INDEX(식자재단가!$B$4:$B$203,MATCH(D1099,식자재단가!$C$4:$C$203,0)),""))</f>
        <v/>
      </c>
      <c r="F1099" s="76"/>
      <c r="G1099" s="59" t="str">
        <f aca="false">IF(D1099="","",IFERROR(INDEX(식자재단가!$F$4:$F$203,MATCH(D1099,식자재단가!$C$4:$C$203,0)),""))</f>
        <v/>
      </c>
      <c r="H1099" s="50"/>
      <c r="I1099" s="82" t="str">
        <f aca="false">IF(OR(F1099="",H1099=""),"",F1099*H1099)</f>
        <v/>
      </c>
      <c r="J1099" s="83" t="str">
        <f aca="false">IF(D1099="","",IFERROR(INDEX(식자재단가!$M$4:$M$203,MATCH(D1099,식자재단가!$C$4:$C$203,0)),"과세"))</f>
        <v/>
      </c>
      <c r="K1099" s="28" t="str">
        <f aca="false">IF(I1099="","",IF(J1099="과세",ROUND(I1099*0.1,0),0))</f>
        <v/>
      </c>
      <c r="L1099" s="28" t="str">
        <f aca="false">IF(I1099="","",I1099+K1099)</f>
        <v/>
      </c>
      <c r="M1099" s="10"/>
      <c r="N1099" s="80"/>
      <c r="O1099" s="80"/>
      <c r="P1099" s="59" t="str">
        <f aca="false">IF(E1099="","",IFERROR(INDEX(기본설정!$H$4:$H$14,MATCH(E1099,기본설정!$G$4:$G$14,0)),""))</f>
        <v/>
      </c>
    </row>
    <row r="1100" customFormat="false" ht="15" hidden="false" customHeight="false" outlineLevel="0" collapsed="false">
      <c r="A1100" s="73"/>
      <c r="B1100" s="10"/>
      <c r="C1100" s="80"/>
      <c r="D1100" s="80"/>
      <c r="E1100" s="81" t="str">
        <f aca="false">IF(D1100="","",IFERROR(INDEX(식자재단가!$B$4:$B$203,MATCH(D1100,식자재단가!$C$4:$C$203,0)),""))</f>
        <v/>
      </c>
      <c r="F1100" s="76"/>
      <c r="G1100" s="59" t="str">
        <f aca="false">IF(D1100="","",IFERROR(INDEX(식자재단가!$F$4:$F$203,MATCH(D1100,식자재단가!$C$4:$C$203,0)),""))</f>
        <v/>
      </c>
      <c r="H1100" s="50"/>
      <c r="I1100" s="82" t="str">
        <f aca="false">IF(OR(F1100="",H1100=""),"",F1100*H1100)</f>
        <v/>
      </c>
      <c r="J1100" s="83" t="str">
        <f aca="false">IF(D1100="","",IFERROR(INDEX(식자재단가!$M$4:$M$203,MATCH(D1100,식자재단가!$C$4:$C$203,0)),"과세"))</f>
        <v/>
      </c>
      <c r="K1100" s="28" t="str">
        <f aca="false">IF(I1100="","",IF(J1100="과세",ROUND(I1100*0.1,0),0))</f>
        <v/>
      </c>
      <c r="L1100" s="28" t="str">
        <f aca="false">IF(I1100="","",I1100+K1100)</f>
        <v/>
      </c>
      <c r="M1100" s="10"/>
      <c r="N1100" s="80"/>
      <c r="O1100" s="80"/>
      <c r="P1100" s="59" t="str">
        <f aca="false">IF(E1100="","",IFERROR(INDEX(기본설정!$H$4:$H$14,MATCH(E1100,기본설정!$G$4:$G$14,0)),""))</f>
        <v/>
      </c>
    </row>
    <row r="1101" customFormat="false" ht="15" hidden="false" customHeight="false" outlineLevel="0" collapsed="false">
      <c r="A1101" s="73"/>
      <c r="B1101" s="10"/>
      <c r="C1101" s="80"/>
      <c r="D1101" s="80"/>
      <c r="E1101" s="81" t="str">
        <f aca="false">IF(D1101="","",IFERROR(INDEX(식자재단가!$B$4:$B$203,MATCH(D1101,식자재단가!$C$4:$C$203,0)),""))</f>
        <v/>
      </c>
      <c r="F1101" s="76"/>
      <c r="G1101" s="59" t="str">
        <f aca="false">IF(D1101="","",IFERROR(INDEX(식자재단가!$F$4:$F$203,MATCH(D1101,식자재단가!$C$4:$C$203,0)),""))</f>
        <v/>
      </c>
      <c r="H1101" s="50"/>
      <c r="I1101" s="82" t="str">
        <f aca="false">IF(OR(F1101="",H1101=""),"",F1101*H1101)</f>
        <v/>
      </c>
      <c r="J1101" s="83" t="str">
        <f aca="false">IF(D1101="","",IFERROR(INDEX(식자재단가!$M$4:$M$203,MATCH(D1101,식자재단가!$C$4:$C$203,0)),"과세"))</f>
        <v/>
      </c>
      <c r="K1101" s="28" t="str">
        <f aca="false">IF(I1101="","",IF(J1101="과세",ROUND(I1101*0.1,0),0))</f>
        <v/>
      </c>
      <c r="L1101" s="28" t="str">
        <f aca="false">IF(I1101="","",I1101+K1101)</f>
        <v/>
      </c>
      <c r="M1101" s="10"/>
      <c r="N1101" s="80"/>
      <c r="O1101" s="80"/>
      <c r="P1101" s="59" t="str">
        <f aca="false">IF(E1101="","",IFERROR(INDEX(기본설정!$H$4:$H$14,MATCH(E1101,기본설정!$G$4:$G$14,0)),""))</f>
        <v/>
      </c>
    </row>
    <row r="1102" customFormat="false" ht="15" hidden="false" customHeight="false" outlineLevel="0" collapsed="false">
      <c r="A1102" s="73"/>
      <c r="B1102" s="10"/>
      <c r="C1102" s="80"/>
      <c r="D1102" s="80"/>
      <c r="E1102" s="81" t="str">
        <f aca="false">IF(D1102="","",IFERROR(INDEX(식자재단가!$B$4:$B$203,MATCH(D1102,식자재단가!$C$4:$C$203,0)),""))</f>
        <v/>
      </c>
      <c r="F1102" s="76"/>
      <c r="G1102" s="59" t="str">
        <f aca="false">IF(D1102="","",IFERROR(INDEX(식자재단가!$F$4:$F$203,MATCH(D1102,식자재단가!$C$4:$C$203,0)),""))</f>
        <v/>
      </c>
      <c r="H1102" s="50"/>
      <c r="I1102" s="82" t="str">
        <f aca="false">IF(OR(F1102="",H1102=""),"",F1102*H1102)</f>
        <v/>
      </c>
      <c r="J1102" s="83" t="str">
        <f aca="false">IF(D1102="","",IFERROR(INDEX(식자재단가!$M$4:$M$203,MATCH(D1102,식자재단가!$C$4:$C$203,0)),"과세"))</f>
        <v/>
      </c>
      <c r="K1102" s="28" t="str">
        <f aca="false">IF(I1102="","",IF(J1102="과세",ROUND(I1102*0.1,0),0))</f>
        <v/>
      </c>
      <c r="L1102" s="28" t="str">
        <f aca="false">IF(I1102="","",I1102+K1102)</f>
        <v/>
      </c>
      <c r="M1102" s="10"/>
      <c r="N1102" s="80"/>
      <c r="O1102" s="80"/>
      <c r="P1102" s="59" t="str">
        <f aca="false">IF(E1102="","",IFERROR(INDEX(기본설정!$H$4:$H$14,MATCH(E1102,기본설정!$G$4:$G$14,0)),""))</f>
        <v/>
      </c>
    </row>
    <row r="1103" customFormat="false" ht="15" hidden="false" customHeight="false" outlineLevel="0" collapsed="false">
      <c r="A1103" s="73"/>
      <c r="B1103" s="10"/>
      <c r="C1103" s="80"/>
      <c r="D1103" s="80"/>
      <c r="E1103" s="81" t="str">
        <f aca="false">IF(D1103="","",IFERROR(INDEX(식자재단가!$B$4:$B$203,MATCH(D1103,식자재단가!$C$4:$C$203,0)),""))</f>
        <v/>
      </c>
      <c r="F1103" s="76"/>
      <c r="G1103" s="59" t="str">
        <f aca="false">IF(D1103="","",IFERROR(INDEX(식자재단가!$F$4:$F$203,MATCH(D1103,식자재단가!$C$4:$C$203,0)),""))</f>
        <v/>
      </c>
      <c r="H1103" s="50"/>
      <c r="I1103" s="82" t="str">
        <f aca="false">IF(OR(F1103="",H1103=""),"",F1103*H1103)</f>
        <v/>
      </c>
      <c r="J1103" s="83" t="str">
        <f aca="false">IF(D1103="","",IFERROR(INDEX(식자재단가!$M$4:$M$203,MATCH(D1103,식자재단가!$C$4:$C$203,0)),"과세"))</f>
        <v/>
      </c>
      <c r="K1103" s="28" t="str">
        <f aca="false">IF(I1103="","",IF(J1103="과세",ROUND(I1103*0.1,0),0))</f>
        <v/>
      </c>
      <c r="L1103" s="28" t="str">
        <f aca="false">IF(I1103="","",I1103+K1103)</f>
        <v/>
      </c>
      <c r="M1103" s="10"/>
      <c r="N1103" s="80"/>
      <c r="O1103" s="80"/>
      <c r="P1103" s="59" t="str">
        <f aca="false">IF(E1103="","",IFERROR(INDEX(기본설정!$H$4:$H$14,MATCH(E1103,기본설정!$G$4:$G$14,0)),""))</f>
        <v/>
      </c>
    </row>
    <row r="1104" customFormat="false" ht="15" hidden="false" customHeight="false" outlineLevel="0" collapsed="false">
      <c r="A1104" s="73"/>
      <c r="B1104" s="10"/>
      <c r="C1104" s="80"/>
      <c r="D1104" s="80"/>
      <c r="E1104" s="81" t="str">
        <f aca="false">IF(D1104="","",IFERROR(INDEX(식자재단가!$B$4:$B$203,MATCH(D1104,식자재단가!$C$4:$C$203,0)),""))</f>
        <v/>
      </c>
      <c r="F1104" s="76"/>
      <c r="G1104" s="59" t="str">
        <f aca="false">IF(D1104="","",IFERROR(INDEX(식자재단가!$F$4:$F$203,MATCH(D1104,식자재단가!$C$4:$C$203,0)),""))</f>
        <v/>
      </c>
      <c r="H1104" s="50"/>
      <c r="I1104" s="82" t="str">
        <f aca="false">IF(OR(F1104="",H1104=""),"",F1104*H1104)</f>
        <v/>
      </c>
      <c r="J1104" s="83" t="str">
        <f aca="false">IF(D1104="","",IFERROR(INDEX(식자재단가!$M$4:$M$203,MATCH(D1104,식자재단가!$C$4:$C$203,0)),"과세"))</f>
        <v/>
      </c>
      <c r="K1104" s="28" t="str">
        <f aca="false">IF(I1104="","",IF(J1104="과세",ROUND(I1104*0.1,0),0))</f>
        <v/>
      </c>
      <c r="L1104" s="28" t="str">
        <f aca="false">IF(I1104="","",I1104+K1104)</f>
        <v/>
      </c>
      <c r="M1104" s="10"/>
      <c r="N1104" s="80"/>
      <c r="O1104" s="80"/>
      <c r="P1104" s="59" t="str">
        <f aca="false">IF(E1104="","",IFERROR(INDEX(기본설정!$H$4:$H$14,MATCH(E1104,기본설정!$G$4:$G$14,0)),""))</f>
        <v/>
      </c>
    </row>
    <row r="1105" customFormat="false" ht="15" hidden="false" customHeight="false" outlineLevel="0" collapsed="false">
      <c r="A1105" s="73"/>
      <c r="B1105" s="10"/>
      <c r="C1105" s="80"/>
      <c r="D1105" s="80"/>
      <c r="E1105" s="81" t="str">
        <f aca="false">IF(D1105="","",IFERROR(INDEX(식자재단가!$B$4:$B$203,MATCH(D1105,식자재단가!$C$4:$C$203,0)),""))</f>
        <v/>
      </c>
      <c r="F1105" s="76"/>
      <c r="G1105" s="59" t="str">
        <f aca="false">IF(D1105="","",IFERROR(INDEX(식자재단가!$F$4:$F$203,MATCH(D1105,식자재단가!$C$4:$C$203,0)),""))</f>
        <v/>
      </c>
      <c r="H1105" s="50"/>
      <c r="I1105" s="82" t="str">
        <f aca="false">IF(OR(F1105="",H1105=""),"",F1105*H1105)</f>
        <v/>
      </c>
      <c r="J1105" s="83" t="str">
        <f aca="false">IF(D1105="","",IFERROR(INDEX(식자재단가!$M$4:$M$203,MATCH(D1105,식자재단가!$C$4:$C$203,0)),"과세"))</f>
        <v/>
      </c>
      <c r="K1105" s="28" t="str">
        <f aca="false">IF(I1105="","",IF(J1105="과세",ROUND(I1105*0.1,0),0))</f>
        <v/>
      </c>
      <c r="L1105" s="28" t="str">
        <f aca="false">IF(I1105="","",I1105+K1105)</f>
        <v/>
      </c>
      <c r="M1105" s="10"/>
      <c r="N1105" s="80"/>
      <c r="O1105" s="80"/>
      <c r="P1105" s="59" t="str">
        <f aca="false">IF(E1105="","",IFERROR(INDEX(기본설정!$H$4:$H$14,MATCH(E1105,기본설정!$G$4:$G$14,0)),""))</f>
        <v/>
      </c>
    </row>
    <row r="1106" customFormat="false" ht="15" hidden="false" customHeight="false" outlineLevel="0" collapsed="false">
      <c r="A1106" s="73"/>
      <c r="B1106" s="10"/>
      <c r="C1106" s="80"/>
      <c r="D1106" s="80"/>
      <c r="E1106" s="81" t="str">
        <f aca="false">IF(D1106="","",IFERROR(INDEX(식자재단가!$B$4:$B$203,MATCH(D1106,식자재단가!$C$4:$C$203,0)),""))</f>
        <v/>
      </c>
      <c r="F1106" s="76"/>
      <c r="G1106" s="59" t="str">
        <f aca="false">IF(D1106="","",IFERROR(INDEX(식자재단가!$F$4:$F$203,MATCH(D1106,식자재단가!$C$4:$C$203,0)),""))</f>
        <v/>
      </c>
      <c r="H1106" s="50"/>
      <c r="I1106" s="82" t="str">
        <f aca="false">IF(OR(F1106="",H1106=""),"",F1106*H1106)</f>
        <v/>
      </c>
      <c r="J1106" s="83" t="str">
        <f aca="false">IF(D1106="","",IFERROR(INDEX(식자재단가!$M$4:$M$203,MATCH(D1106,식자재단가!$C$4:$C$203,0)),"과세"))</f>
        <v/>
      </c>
      <c r="K1106" s="28" t="str">
        <f aca="false">IF(I1106="","",IF(J1106="과세",ROUND(I1106*0.1,0),0))</f>
        <v/>
      </c>
      <c r="L1106" s="28" t="str">
        <f aca="false">IF(I1106="","",I1106+K1106)</f>
        <v/>
      </c>
      <c r="M1106" s="10"/>
      <c r="N1106" s="80"/>
      <c r="O1106" s="80"/>
      <c r="P1106" s="59" t="str">
        <f aca="false">IF(E1106="","",IFERROR(INDEX(기본설정!$H$4:$H$14,MATCH(E1106,기본설정!$G$4:$G$14,0)),""))</f>
        <v/>
      </c>
    </row>
    <row r="1107" customFormat="false" ht="15" hidden="false" customHeight="false" outlineLevel="0" collapsed="false">
      <c r="A1107" s="73"/>
      <c r="B1107" s="10"/>
      <c r="C1107" s="80"/>
      <c r="D1107" s="80"/>
      <c r="E1107" s="81" t="str">
        <f aca="false">IF(D1107="","",IFERROR(INDEX(식자재단가!$B$4:$B$203,MATCH(D1107,식자재단가!$C$4:$C$203,0)),""))</f>
        <v/>
      </c>
      <c r="F1107" s="76"/>
      <c r="G1107" s="59" t="str">
        <f aca="false">IF(D1107="","",IFERROR(INDEX(식자재단가!$F$4:$F$203,MATCH(D1107,식자재단가!$C$4:$C$203,0)),""))</f>
        <v/>
      </c>
      <c r="H1107" s="50"/>
      <c r="I1107" s="82" t="str">
        <f aca="false">IF(OR(F1107="",H1107=""),"",F1107*H1107)</f>
        <v/>
      </c>
      <c r="J1107" s="83" t="str">
        <f aca="false">IF(D1107="","",IFERROR(INDEX(식자재단가!$M$4:$M$203,MATCH(D1107,식자재단가!$C$4:$C$203,0)),"과세"))</f>
        <v/>
      </c>
      <c r="K1107" s="28" t="str">
        <f aca="false">IF(I1107="","",IF(J1107="과세",ROUND(I1107*0.1,0),0))</f>
        <v/>
      </c>
      <c r="L1107" s="28" t="str">
        <f aca="false">IF(I1107="","",I1107+K1107)</f>
        <v/>
      </c>
      <c r="M1107" s="10"/>
      <c r="N1107" s="80"/>
      <c r="O1107" s="80"/>
      <c r="P1107" s="59" t="str">
        <f aca="false">IF(E1107="","",IFERROR(INDEX(기본설정!$H$4:$H$14,MATCH(E1107,기본설정!$G$4:$G$14,0)),""))</f>
        <v/>
      </c>
    </row>
    <row r="1108" customFormat="false" ht="15" hidden="false" customHeight="false" outlineLevel="0" collapsed="false">
      <c r="A1108" s="73"/>
      <c r="B1108" s="10"/>
      <c r="C1108" s="80"/>
      <c r="D1108" s="80"/>
      <c r="E1108" s="81" t="str">
        <f aca="false">IF(D1108="","",IFERROR(INDEX(식자재단가!$B$4:$B$203,MATCH(D1108,식자재단가!$C$4:$C$203,0)),""))</f>
        <v/>
      </c>
      <c r="F1108" s="76"/>
      <c r="G1108" s="59" t="str">
        <f aca="false">IF(D1108="","",IFERROR(INDEX(식자재단가!$F$4:$F$203,MATCH(D1108,식자재단가!$C$4:$C$203,0)),""))</f>
        <v/>
      </c>
      <c r="H1108" s="50"/>
      <c r="I1108" s="82" t="str">
        <f aca="false">IF(OR(F1108="",H1108=""),"",F1108*H1108)</f>
        <v/>
      </c>
      <c r="J1108" s="83" t="str">
        <f aca="false">IF(D1108="","",IFERROR(INDEX(식자재단가!$M$4:$M$203,MATCH(D1108,식자재단가!$C$4:$C$203,0)),"과세"))</f>
        <v/>
      </c>
      <c r="K1108" s="28" t="str">
        <f aca="false">IF(I1108="","",IF(J1108="과세",ROUND(I1108*0.1,0),0))</f>
        <v/>
      </c>
      <c r="L1108" s="28" t="str">
        <f aca="false">IF(I1108="","",I1108+K1108)</f>
        <v/>
      </c>
      <c r="M1108" s="10"/>
      <c r="N1108" s="80"/>
      <c r="O1108" s="80"/>
      <c r="P1108" s="59" t="str">
        <f aca="false">IF(E1108="","",IFERROR(INDEX(기본설정!$H$4:$H$14,MATCH(E1108,기본설정!$G$4:$G$14,0)),""))</f>
        <v/>
      </c>
    </row>
    <row r="1109" customFormat="false" ht="15" hidden="false" customHeight="false" outlineLevel="0" collapsed="false">
      <c r="A1109" s="73"/>
      <c r="B1109" s="10"/>
      <c r="C1109" s="80"/>
      <c r="D1109" s="80"/>
      <c r="E1109" s="81" t="str">
        <f aca="false">IF(D1109="","",IFERROR(INDEX(식자재단가!$B$4:$B$203,MATCH(D1109,식자재단가!$C$4:$C$203,0)),""))</f>
        <v/>
      </c>
      <c r="F1109" s="76"/>
      <c r="G1109" s="59" t="str">
        <f aca="false">IF(D1109="","",IFERROR(INDEX(식자재단가!$F$4:$F$203,MATCH(D1109,식자재단가!$C$4:$C$203,0)),""))</f>
        <v/>
      </c>
      <c r="H1109" s="50"/>
      <c r="I1109" s="82" t="str">
        <f aca="false">IF(OR(F1109="",H1109=""),"",F1109*H1109)</f>
        <v/>
      </c>
      <c r="J1109" s="83" t="str">
        <f aca="false">IF(D1109="","",IFERROR(INDEX(식자재단가!$M$4:$M$203,MATCH(D1109,식자재단가!$C$4:$C$203,0)),"과세"))</f>
        <v/>
      </c>
      <c r="K1109" s="28" t="str">
        <f aca="false">IF(I1109="","",IF(J1109="과세",ROUND(I1109*0.1,0),0))</f>
        <v/>
      </c>
      <c r="L1109" s="28" t="str">
        <f aca="false">IF(I1109="","",I1109+K1109)</f>
        <v/>
      </c>
      <c r="M1109" s="10"/>
      <c r="N1109" s="80"/>
      <c r="O1109" s="80"/>
      <c r="P1109" s="59" t="str">
        <f aca="false">IF(E1109="","",IFERROR(INDEX(기본설정!$H$4:$H$14,MATCH(E1109,기본설정!$G$4:$G$14,0)),""))</f>
        <v/>
      </c>
    </row>
    <row r="1110" customFormat="false" ht="15" hidden="false" customHeight="false" outlineLevel="0" collapsed="false">
      <c r="A1110" s="73"/>
      <c r="B1110" s="10"/>
      <c r="C1110" s="80"/>
      <c r="D1110" s="80"/>
      <c r="E1110" s="81" t="str">
        <f aca="false">IF(D1110="","",IFERROR(INDEX(식자재단가!$B$4:$B$203,MATCH(D1110,식자재단가!$C$4:$C$203,0)),""))</f>
        <v/>
      </c>
      <c r="F1110" s="76"/>
      <c r="G1110" s="59" t="str">
        <f aca="false">IF(D1110="","",IFERROR(INDEX(식자재단가!$F$4:$F$203,MATCH(D1110,식자재단가!$C$4:$C$203,0)),""))</f>
        <v/>
      </c>
      <c r="H1110" s="50"/>
      <c r="I1110" s="82" t="str">
        <f aca="false">IF(OR(F1110="",H1110=""),"",F1110*H1110)</f>
        <v/>
      </c>
      <c r="J1110" s="83" t="str">
        <f aca="false">IF(D1110="","",IFERROR(INDEX(식자재단가!$M$4:$M$203,MATCH(D1110,식자재단가!$C$4:$C$203,0)),"과세"))</f>
        <v/>
      </c>
      <c r="K1110" s="28" t="str">
        <f aca="false">IF(I1110="","",IF(J1110="과세",ROUND(I1110*0.1,0),0))</f>
        <v/>
      </c>
      <c r="L1110" s="28" t="str">
        <f aca="false">IF(I1110="","",I1110+K1110)</f>
        <v/>
      </c>
      <c r="M1110" s="10"/>
      <c r="N1110" s="80"/>
      <c r="O1110" s="80"/>
      <c r="P1110" s="59" t="str">
        <f aca="false">IF(E1110="","",IFERROR(INDEX(기본설정!$H$4:$H$14,MATCH(E1110,기본설정!$G$4:$G$14,0)),""))</f>
        <v/>
      </c>
    </row>
    <row r="1111" customFormat="false" ht="15" hidden="false" customHeight="false" outlineLevel="0" collapsed="false">
      <c r="A1111" s="73"/>
      <c r="B1111" s="10"/>
      <c r="C1111" s="80"/>
      <c r="D1111" s="80"/>
      <c r="E1111" s="81" t="str">
        <f aca="false">IF(D1111="","",IFERROR(INDEX(식자재단가!$B$4:$B$203,MATCH(D1111,식자재단가!$C$4:$C$203,0)),""))</f>
        <v/>
      </c>
      <c r="F1111" s="76"/>
      <c r="G1111" s="59" t="str">
        <f aca="false">IF(D1111="","",IFERROR(INDEX(식자재단가!$F$4:$F$203,MATCH(D1111,식자재단가!$C$4:$C$203,0)),""))</f>
        <v/>
      </c>
      <c r="H1111" s="50"/>
      <c r="I1111" s="82" t="str">
        <f aca="false">IF(OR(F1111="",H1111=""),"",F1111*H1111)</f>
        <v/>
      </c>
      <c r="J1111" s="83" t="str">
        <f aca="false">IF(D1111="","",IFERROR(INDEX(식자재단가!$M$4:$M$203,MATCH(D1111,식자재단가!$C$4:$C$203,0)),"과세"))</f>
        <v/>
      </c>
      <c r="K1111" s="28" t="str">
        <f aca="false">IF(I1111="","",IF(J1111="과세",ROUND(I1111*0.1,0),0))</f>
        <v/>
      </c>
      <c r="L1111" s="28" t="str">
        <f aca="false">IF(I1111="","",I1111+K1111)</f>
        <v/>
      </c>
      <c r="M1111" s="10"/>
      <c r="N1111" s="80"/>
      <c r="O1111" s="80"/>
      <c r="P1111" s="59" t="str">
        <f aca="false">IF(E1111="","",IFERROR(INDEX(기본설정!$H$4:$H$14,MATCH(E1111,기본설정!$G$4:$G$14,0)),""))</f>
        <v/>
      </c>
    </row>
    <row r="1112" customFormat="false" ht="15" hidden="false" customHeight="false" outlineLevel="0" collapsed="false">
      <c r="A1112" s="73"/>
      <c r="B1112" s="10"/>
      <c r="C1112" s="80"/>
      <c r="D1112" s="80"/>
      <c r="E1112" s="81" t="str">
        <f aca="false">IF(D1112="","",IFERROR(INDEX(식자재단가!$B$4:$B$203,MATCH(D1112,식자재단가!$C$4:$C$203,0)),""))</f>
        <v/>
      </c>
      <c r="F1112" s="76"/>
      <c r="G1112" s="59" t="str">
        <f aca="false">IF(D1112="","",IFERROR(INDEX(식자재단가!$F$4:$F$203,MATCH(D1112,식자재단가!$C$4:$C$203,0)),""))</f>
        <v/>
      </c>
      <c r="H1112" s="50"/>
      <c r="I1112" s="82" t="str">
        <f aca="false">IF(OR(F1112="",H1112=""),"",F1112*H1112)</f>
        <v/>
      </c>
      <c r="J1112" s="83" t="str">
        <f aca="false">IF(D1112="","",IFERROR(INDEX(식자재단가!$M$4:$M$203,MATCH(D1112,식자재단가!$C$4:$C$203,0)),"과세"))</f>
        <v/>
      </c>
      <c r="K1112" s="28" t="str">
        <f aca="false">IF(I1112="","",IF(J1112="과세",ROUND(I1112*0.1,0),0))</f>
        <v/>
      </c>
      <c r="L1112" s="28" t="str">
        <f aca="false">IF(I1112="","",I1112+K1112)</f>
        <v/>
      </c>
      <c r="M1112" s="10"/>
      <c r="N1112" s="80"/>
      <c r="O1112" s="80"/>
      <c r="P1112" s="59" t="str">
        <f aca="false">IF(E1112="","",IFERROR(INDEX(기본설정!$H$4:$H$14,MATCH(E1112,기본설정!$G$4:$G$14,0)),""))</f>
        <v/>
      </c>
    </row>
    <row r="1113" customFormat="false" ht="15" hidden="false" customHeight="false" outlineLevel="0" collapsed="false">
      <c r="A1113" s="73"/>
      <c r="B1113" s="10"/>
      <c r="C1113" s="80"/>
      <c r="D1113" s="80"/>
      <c r="E1113" s="81" t="str">
        <f aca="false">IF(D1113="","",IFERROR(INDEX(식자재단가!$B$4:$B$203,MATCH(D1113,식자재단가!$C$4:$C$203,0)),""))</f>
        <v/>
      </c>
      <c r="F1113" s="76"/>
      <c r="G1113" s="59" t="str">
        <f aca="false">IF(D1113="","",IFERROR(INDEX(식자재단가!$F$4:$F$203,MATCH(D1113,식자재단가!$C$4:$C$203,0)),""))</f>
        <v/>
      </c>
      <c r="H1113" s="50"/>
      <c r="I1113" s="82" t="str">
        <f aca="false">IF(OR(F1113="",H1113=""),"",F1113*H1113)</f>
        <v/>
      </c>
      <c r="J1113" s="83" t="str">
        <f aca="false">IF(D1113="","",IFERROR(INDEX(식자재단가!$M$4:$M$203,MATCH(D1113,식자재단가!$C$4:$C$203,0)),"과세"))</f>
        <v/>
      </c>
      <c r="K1113" s="28" t="str">
        <f aca="false">IF(I1113="","",IF(J1113="과세",ROUND(I1113*0.1,0),0))</f>
        <v/>
      </c>
      <c r="L1113" s="28" t="str">
        <f aca="false">IF(I1113="","",I1113+K1113)</f>
        <v/>
      </c>
      <c r="M1113" s="10"/>
      <c r="N1113" s="80"/>
      <c r="O1113" s="80"/>
      <c r="P1113" s="59" t="str">
        <f aca="false">IF(E1113="","",IFERROR(INDEX(기본설정!$H$4:$H$14,MATCH(E1113,기본설정!$G$4:$G$14,0)),""))</f>
        <v/>
      </c>
    </row>
    <row r="1114" customFormat="false" ht="15" hidden="false" customHeight="false" outlineLevel="0" collapsed="false">
      <c r="A1114" s="73"/>
      <c r="B1114" s="10"/>
      <c r="C1114" s="80"/>
      <c r="D1114" s="80"/>
      <c r="E1114" s="81" t="str">
        <f aca="false">IF(D1114="","",IFERROR(INDEX(식자재단가!$B$4:$B$203,MATCH(D1114,식자재단가!$C$4:$C$203,0)),""))</f>
        <v/>
      </c>
      <c r="F1114" s="76"/>
      <c r="G1114" s="59" t="str">
        <f aca="false">IF(D1114="","",IFERROR(INDEX(식자재단가!$F$4:$F$203,MATCH(D1114,식자재단가!$C$4:$C$203,0)),""))</f>
        <v/>
      </c>
      <c r="H1114" s="50"/>
      <c r="I1114" s="82" t="str">
        <f aca="false">IF(OR(F1114="",H1114=""),"",F1114*H1114)</f>
        <v/>
      </c>
      <c r="J1114" s="83" t="str">
        <f aca="false">IF(D1114="","",IFERROR(INDEX(식자재단가!$M$4:$M$203,MATCH(D1114,식자재단가!$C$4:$C$203,0)),"과세"))</f>
        <v/>
      </c>
      <c r="K1114" s="28" t="str">
        <f aca="false">IF(I1114="","",IF(J1114="과세",ROUND(I1114*0.1,0),0))</f>
        <v/>
      </c>
      <c r="L1114" s="28" t="str">
        <f aca="false">IF(I1114="","",I1114+K1114)</f>
        <v/>
      </c>
      <c r="M1114" s="10"/>
      <c r="N1114" s="80"/>
      <c r="O1114" s="80"/>
      <c r="P1114" s="59" t="str">
        <f aca="false">IF(E1114="","",IFERROR(INDEX(기본설정!$H$4:$H$14,MATCH(E1114,기본설정!$G$4:$G$14,0)),""))</f>
        <v/>
      </c>
    </row>
    <row r="1115" customFormat="false" ht="15" hidden="false" customHeight="false" outlineLevel="0" collapsed="false">
      <c r="A1115" s="73"/>
      <c r="B1115" s="10"/>
      <c r="C1115" s="80"/>
      <c r="D1115" s="80"/>
      <c r="E1115" s="81" t="str">
        <f aca="false">IF(D1115="","",IFERROR(INDEX(식자재단가!$B$4:$B$203,MATCH(D1115,식자재단가!$C$4:$C$203,0)),""))</f>
        <v/>
      </c>
      <c r="F1115" s="76"/>
      <c r="G1115" s="59" t="str">
        <f aca="false">IF(D1115="","",IFERROR(INDEX(식자재단가!$F$4:$F$203,MATCH(D1115,식자재단가!$C$4:$C$203,0)),""))</f>
        <v/>
      </c>
      <c r="H1115" s="50"/>
      <c r="I1115" s="82" t="str">
        <f aca="false">IF(OR(F1115="",H1115=""),"",F1115*H1115)</f>
        <v/>
      </c>
      <c r="J1115" s="83" t="str">
        <f aca="false">IF(D1115="","",IFERROR(INDEX(식자재단가!$M$4:$M$203,MATCH(D1115,식자재단가!$C$4:$C$203,0)),"과세"))</f>
        <v/>
      </c>
      <c r="K1115" s="28" t="str">
        <f aca="false">IF(I1115="","",IF(J1115="과세",ROUND(I1115*0.1,0),0))</f>
        <v/>
      </c>
      <c r="L1115" s="28" t="str">
        <f aca="false">IF(I1115="","",I1115+K1115)</f>
        <v/>
      </c>
      <c r="M1115" s="10"/>
      <c r="N1115" s="80"/>
      <c r="O1115" s="80"/>
      <c r="P1115" s="59" t="str">
        <f aca="false">IF(E1115="","",IFERROR(INDEX(기본설정!$H$4:$H$14,MATCH(E1115,기본설정!$G$4:$G$14,0)),""))</f>
        <v/>
      </c>
    </row>
    <row r="1116" customFormat="false" ht="15" hidden="false" customHeight="false" outlineLevel="0" collapsed="false">
      <c r="A1116" s="73"/>
      <c r="B1116" s="10"/>
      <c r="C1116" s="80"/>
      <c r="D1116" s="80"/>
      <c r="E1116" s="81" t="str">
        <f aca="false">IF(D1116="","",IFERROR(INDEX(식자재단가!$B$4:$B$203,MATCH(D1116,식자재단가!$C$4:$C$203,0)),""))</f>
        <v/>
      </c>
      <c r="F1116" s="76"/>
      <c r="G1116" s="59" t="str">
        <f aca="false">IF(D1116="","",IFERROR(INDEX(식자재단가!$F$4:$F$203,MATCH(D1116,식자재단가!$C$4:$C$203,0)),""))</f>
        <v/>
      </c>
      <c r="H1116" s="50"/>
      <c r="I1116" s="82" t="str">
        <f aca="false">IF(OR(F1116="",H1116=""),"",F1116*H1116)</f>
        <v/>
      </c>
      <c r="J1116" s="83" t="str">
        <f aca="false">IF(D1116="","",IFERROR(INDEX(식자재단가!$M$4:$M$203,MATCH(D1116,식자재단가!$C$4:$C$203,0)),"과세"))</f>
        <v/>
      </c>
      <c r="K1116" s="28" t="str">
        <f aca="false">IF(I1116="","",IF(J1116="과세",ROUND(I1116*0.1,0),0))</f>
        <v/>
      </c>
      <c r="L1116" s="28" t="str">
        <f aca="false">IF(I1116="","",I1116+K1116)</f>
        <v/>
      </c>
      <c r="M1116" s="10"/>
      <c r="N1116" s="80"/>
      <c r="O1116" s="80"/>
      <c r="P1116" s="59" t="str">
        <f aca="false">IF(E1116="","",IFERROR(INDEX(기본설정!$H$4:$H$14,MATCH(E1116,기본설정!$G$4:$G$14,0)),""))</f>
        <v/>
      </c>
    </row>
    <row r="1117" customFormat="false" ht="15" hidden="false" customHeight="false" outlineLevel="0" collapsed="false">
      <c r="A1117" s="73"/>
      <c r="B1117" s="10"/>
      <c r="C1117" s="80"/>
      <c r="D1117" s="80"/>
      <c r="E1117" s="81" t="str">
        <f aca="false">IF(D1117="","",IFERROR(INDEX(식자재단가!$B$4:$B$203,MATCH(D1117,식자재단가!$C$4:$C$203,0)),""))</f>
        <v/>
      </c>
      <c r="F1117" s="76"/>
      <c r="G1117" s="59" t="str">
        <f aca="false">IF(D1117="","",IFERROR(INDEX(식자재단가!$F$4:$F$203,MATCH(D1117,식자재단가!$C$4:$C$203,0)),""))</f>
        <v/>
      </c>
      <c r="H1117" s="50"/>
      <c r="I1117" s="82" t="str">
        <f aca="false">IF(OR(F1117="",H1117=""),"",F1117*H1117)</f>
        <v/>
      </c>
      <c r="J1117" s="83" t="str">
        <f aca="false">IF(D1117="","",IFERROR(INDEX(식자재단가!$M$4:$M$203,MATCH(D1117,식자재단가!$C$4:$C$203,0)),"과세"))</f>
        <v/>
      </c>
      <c r="K1117" s="28" t="str">
        <f aca="false">IF(I1117="","",IF(J1117="과세",ROUND(I1117*0.1,0),0))</f>
        <v/>
      </c>
      <c r="L1117" s="28" t="str">
        <f aca="false">IF(I1117="","",I1117+K1117)</f>
        <v/>
      </c>
      <c r="M1117" s="10"/>
      <c r="N1117" s="80"/>
      <c r="O1117" s="80"/>
      <c r="P1117" s="59" t="str">
        <f aca="false">IF(E1117="","",IFERROR(INDEX(기본설정!$H$4:$H$14,MATCH(E1117,기본설정!$G$4:$G$14,0)),""))</f>
        <v/>
      </c>
    </row>
    <row r="1118" customFormat="false" ht="15" hidden="false" customHeight="false" outlineLevel="0" collapsed="false">
      <c r="A1118" s="73"/>
      <c r="B1118" s="10"/>
      <c r="C1118" s="80"/>
      <c r="D1118" s="80"/>
      <c r="E1118" s="81" t="str">
        <f aca="false">IF(D1118="","",IFERROR(INDEX(식자재단가!$B$4:$B$203,MATCH(D1118,식자재단가!$C$4:$C$203,0)),""))</f>
        <v/>
      </c>
      <c r="F1118" s="76"/>
      <c r="G1118" s="59" t="str">
        <f aca="false">IF(D1118="","",IFERROR(INDEX(식자재단가!$F$4:$F$203,MATCH(D1118,식자재단가!$C$4:$C$203,0)),""))</f>
        <v/>
      </c>
      <c r="H1118" s="50"/>
      <c r="I1118" s="82" t="str">
        <f aca="false">IF(OR(F1118="",H1118=""),"",F1118*H1118)</f>
        <v/>
      </c>
      <c r="J1118" s="83" t="str">
        <f aca="false">IF(D1118="","",IFERROR(INDEX(식자재단가!$M$4:$M$203,MATCH(D1118,식자재단가!$C$4:$C$203,0)),"과세"))</f>
        <v/>
      </c>
      <c r="K1118" s="28" t="str">
        <f aca="false">IF(I1118="","",IF(J1118="과세",ROUND(I1118*0.1,0),0))</f>
        <v/>
      </c>
      <c r="L1118" s="28" t="str">
        <f aca="false">IF(I1118="","",I1118+K1118)</f>
        <v/>
      </c>
      <c r="M1118" s="10"/>
      <c r="N1118" s="80"/>
      <c r="O1118" s="80"/>
      <c r="P1118" s="59" t="str">
        <f aca="false">IF(E1118="","",IFERROR(INDEX(기본설정!$H$4:$H$14,MATCH(E1118,기본설정!$G$4:$G$14,0)),""))</f>
        <v/>
      </c>
    </row>
    <row r="1119" customFormat="false" ht="15" hidden="false" customHeight="false" outlineLevel="0" collapsed="false">
      <c r="A1119" s="73"/>
      <c r="B1119" s="10"/>
      <c r="C1119" s="80"/>
      <c r="D1119" s="80"/>
      <c r="E1119" s="81" t="str">
        <f aca="false">IF(D1119="","",IFERROR(INDEX(식자재단가!$B$4:$B$203,MATCH(D1119,식자재단가!$C$4:$C$203,0)),""))</f>
        <v/>
      </c>
      <c r="F1119" s="76"/>
      <c r="G1119" s="59" t="str">
        <f aca="false">IF(D1119="","",IFERROR(INDEX(식자재단가!$F$4:$F$203,MATCH(D1119,식자재단가!$C$4:$C$203,0)),""))</f>
        <v/>
      </c>
      <c r="H1119" s="50"/>
      <c r="I1119" s="82" t="str">
        <f aca="false">IF(OR(F1119="",H1119=""),"",F1119*H1119)</f>
        <v/>
      </c>
      <c r="J1119" s="83" t="str">
        <f aca="false">IF(D1119="","",IFERROR(INDEX(식자재단가!$M$4:$M$203,MATCH(D1119,식자재단가!$C$4:$C$203,0)),"과세"))</f>
        <v/>
      </c>
      <c r="K1119" s="28" t="str">
        <f aca="false">IF(I1119="","",IF(J1119="과세",ROUND(I1119*0.1,0),0))</f>
        <v/>
      </c>
      <c r="L1119" s="28" t="str">
        <f aca="false">IF(I1119="","",I1119+K1119)</f>
        <v/>
      </c>
      <c r="M1119" s="10"/>
      <c r="N1119" s="80"/>
      <c r="O1119" s="80"/>
      <c r="P1119" s="59" t="str">
        <f aca="false">IF(E1119="","",IFERROR(INDEX(기본설정!$H$4:$H$14,MATCH(E1119,기본설정!$G$4:$G$14,0)),""))</f>
        <v/>
      </c>
    </row>
    <row r="1120" customFormat="false" ht="15" hidden="false" customHeight="false" outlineLevel="0" collapsed="false">
      <c r="A1120" s="73"/>
      <c r="B1120" s="10"/>
      <c r="C1120" s="80"/>
      <c r="D1120" s="80"/>
      <c r="E1120" s="81" t="str">
        <f aca="false">IF(D1120="","",IFERROR(INDEX(식자재단가!$B$4:$B$203,MATCH(D1120,식자재단가!$C$4:$C$203,0)),""))</f>
        <v/>
      </c>
      <c r="F1120" s="76"/>
      <c r="G1120" s="59" t="str">
        <f aca="false">IF(D1120="","",IFERROR(INDEX(식자재단가!$F$4:$F$203,MATCH(D1120,식자재단가!$C$4:$C$203,0)),""))</f>
        <v/>
      </c>
      <c r="H1120" s="50"/>
      <c r="I1120" s="82" t="str">
        <f aca="false">IF(OR(F1120="",H1120=""),"",F1120*H1120)</f>
        <v/>
      </c>
      <c r="J1120" s="83" t="str">
        <f aca="false">IF(D1120="","",IFERROR(INDEX(식자재단가!$M$4:$M$203,MATCH(D1120,식자재단가!$C$4:$C$203,0)),"과세"))</f>
        <v/>
      </c>
      <c r="K1120" s="28" t="str">
        <f aca="false">IF(I1120="","",IF(J1120="과세",ROUND(I1120*0.1,0),0))</f>
        <v/>
      </c>
      <c r="L1120" s="28" t="str">
        <f aca="false">IF(I1120="","",I1120+K1120)</f>
        <v/>
      </c>
      <c r="M1120" s="10"/>
      <c r="N1120" s="80"/>
      <c r="O1120" s="80"/>
      <c r="P1120" s="59" t="str">
        <f aca="false">IF(E1120="","",IFERROR(INDEX(기본설정!$H$4:$H$14,MATCH(E1120,기본설정!$G$4:$G$14,0)),""))</f>
        <v/>
      </c>
    </row>
    <row r="1121" customFormat="false" ht="15" hidden="false" customHeight="false" outlineLevel="0" collapsed="false">
      <c r="A1121" s="73"/>
      <c r="B1121" s="10"/>
      <c r="C1121" s="80"/>
      <c r="D1121" s="80"/>
      <c r="E1121" s="81" t="str">
        <f aca="false">IF(D1121="","",IFERROR(INDEX(식자재단가!$B$4:$B$203,MATCH(D1121,식자재단가!$C$4:$C$203,0)),""))</f>
        <v/>
      </c>
      <c r="F1121" s="76"/>
      <c r="G1121" s="59" t="str">
        <f aca="false">IF(D1121="","",IFERROR(INDEX(식자재단가!$F$4:$F$203,MATCH(D1121,식자재단가!$C$4:$C$203,0)),""))</f>
        <v/>
      </c>
      <c r="H1121" s="50"/>
      <c r="I1121" s="82" t="str">
        <f aca="false">IF(OR(F1121="",H1121=""),"",F1121*H1121)</f>
        <v/>
      </c>
      <c r="J1121" s="83" t="str">
        <f aca="false">IF(D1121="","",IFERROR(INDEX(식자재단가!$M$4:$M$203,MATCH(D1121,식자재단가!$C$4:$C$203,0)),"과세"))</f>
        <v/>
      </c>
      <c r="K1121" s="28" t="str">
        <f aca="false">IF(I1121="","",IF(J1121="과세",ROUND(I1121*0.1,0),0))</f>
        <v/>
      </c>
      <c r="L1121" s="28" t="str">
        <f aca="false">IF(I1121="","",I1121+K1121)</f>
        <v/>
      </c>
      <c r="M1121" s="10"/>
      <c r="N1121" s="80"/>
      <c r="O1121" s="80"/>
      <c r="P1121" s="59" t="str">
        <f aca="false">IF(E1121="","",IFERROR(INDEX(기본설정!$H$4:$H$14,MATCH(E1121,기본설정!$G$4:$G$14,0)),""))</f>
        <v/>
      </c>
    </row>
    <row r="1122" customFormat="false" ht="15" hidden="false" customHeight="false" outlineLevel="0" collapsed="false">
      <c r="A1122" s="73"/>
      <c r="B1122" s="10"/>
      <c r="C1122" s="80"/>
      <c r="D1122" s="80"/>
      <c r="E1122" s="81" t="str">
        <f aca="false">IF(D1122="","",IFERROR(INDEX(식자재단가!$B$4:$B$203,MATCH(D1122,식자재단가!$C$4:$C$203,0)),""))</f>
        <v/>
      </c>
      <c r="F1122" s="76"/>
      <c r="G1122" s="59" t="str">
        <f aca="false">IF(D1122="","",IFERROR(INDEX(식자재단가!$F$4:$F$203,MATCH(D1122,식자재단가!$C$4:$C$203,0)),""))</f>
        <v/>
      </c>
      <c r="H1122" s="50"/>
      <c r="I1122" s="82" t="str">
        <f aca="false">IF(OR(F1122="",H1122=""),"",F1122*H1122)</f>
        <v/>
      </c>
      <c r="J1122" s="83" t="str">
        <f aca="false">IF(D1122="","",IFERROR(INDEX(식자재단가!$M$4:$M$203,MATCH(D1122,식자재단가!$C$4:$C$203,0)),"과세"))</f>
        <v/>
      </c>
      <c r="K1122" s="28" t="str">
        <f aca="false">IF(I1122="","",IF(J1122="과세",ROUND(I1122*0.1,0),0))</f>
        <v/>
      </c>
      <c r="L1122" s="28" t="str">
        <f aca="false">IF(I1122="","",I1122+K1122)</f>
        <v/>
      </c>
      <c r="M1122" s="10"/>
      <c r="N1122" s="80"/>
      <c r="O1122" s="80"/>
      <c r="P1122" s="59" t="str">
        <f aca="false">IF(E1122="","",IFERROR(INDEX(기본설정!$H$4:$H$14,MATCH(E1122,기본설정!$G$4:$G$14,0)),""))</f>
        <v/>
      </c>
    </row>
    <row r="1123" customFormat="false" ht="15" hidden="false" customHeight="false" outlineLevel="0" collapsed="false">
      <c r="A1123" s="73"/>
      <c r="B1123" s="10"/>
      <c r="C1123" s="80"/>
      <c r="D1123" s="80"/>
      <c r="E1123" s="81" t="str">
        <f aca="false">IF(D1123="","",IFERROR(INDEX(식자재단가!$B$4:$B$203,MATCH(D1123,식자재단가!$C$4:$C$203,0)),""))</f>
        <v/>
      </c>
      <c r="F1123" s="76"/>
      <c r="G1123" s="59" t="str">
        <f aca="false">IF(D1123="","",IFERROR(INDEX(식자재단가!$F$4:$F$203,MATCH(D1123,식자재단가!$C$4:$C$203,0)),""))</f>
        <v/>
      </c>
      <c r="H1123" s="50"/>
      <c r="I1123" s="82" t="str">
        <f aca="false">IF(OR(F1123="",H1123=""),"",F1123*H1123)</f>
        <v/>
      </c>
      <c r="J1123" s="83" t="str">
        <f aca="false">IF(D1123="","",IFERROR(INDEX(식자재단가!$M$4:$M$203,MATCH(D1123,식자재단가!$C$4:$C$203,0)),"과세"))</f>
        <v/>
      </c>
      <c r="K1123" s="28" t="str">
        <f aca="false">IF(I1123="","",IF(J1123="과세",ROUND(I1123*0.1,0),0))</f>
        <v/>
      </c>
      <c r="L1123" s="28" t="str">
        <f aca="false">IF(I1123="","",I1123+K1123)</f>
        <v/>
      </c>
      <c r="M1123" s="10"/>
      <c r="N1123" s="80"/>
      <c r="O1123" s="80"/>
      <c r="P1123" s="59" t="str">
        <f aca="false">IF(E1123="","",IFERROR(INDEX(기본설정!$H$4:$H$14,MATCH(E1123,기본설정!$G$4:$G$14,0)),""))</f>
        <v/>
      </c>
    </row>
    <row r="1124" customFormat="false" ht="15" hidden="false" customHeight="false" outlineLevel="0" collapsed="false">
      <c r="A1124" s="73"/>
      <c r="B1124" s="10"/>
      <c r="C1124" s="80"/>
      <c r="D1124" s="80"/>
      <c r="E1124" s="81" t="str">
        <f aca="false">IF(D1124="","",IFERROR(INDEX(식자재단가!$B$4:$B$203,MATCH(D1124,식자재단가!$C$4:$C$203,0)),""))</f>
        <v/>
      </c>
      <c r="F1124" s="76"/>
      <c r="G1124" s="59" t="str">
        <f aca="false">IF(D1124="","",IFERROR(INDEX(식자재단가!$F$4:$F$203,MATCH(D1124,식자재단가!$C$4:$C$203,0)),""))</f>
        <v/>
      </c>
      <c r="H1124" s="50"/>
      <c r="I1124" s="82" t="str">
        <f aca="false">IF(OR(F1124="",H1124=""),"",F1124*H1124)</f>
        <v/>
      </c>
      <c r="J1124" s="83" t="str">
        <f aca="false">IF(D1124="","",IFERROR(INDEX(식자재단가!$M$4:$M$203,MATCH(D1124,식자재단가!$C$4:$C$203,0)),"과세"))</f>
        <v/>
      </c>
      <c r="K1124" s="28" t="str">
        <f aca="false">IF(I1124="","",IF(J1124="과세",ROUND(I1124*0.1,0),0))</f>
        <v/>
      </c>
      <c r="L1124" s="28" t="str">
        <f aca="false">IF(I1124="","",I1124+K1124)</f>
        <v/>
      </c>
      <c r="M1124" s="10"/>
      <c r="N1124" s="80"/>
      <c r="O1124" s="80"/>
      <c r="P1124" s="59" t="str">
        <f aca="false">IF(E1124="","",IFERROR(INDEX(기본설정!$H$4:$H$14,MATCH(E1124,기본설정!$G$4:$G$14,0)),""))</f>
        <v/>
      </c>
    </row>
    <row r="1125" customFormat="false" ht="15" hidden="false" customHeight="false" outlineLevel="0" collapsed="false">
      <c r="A1125" s="73"/>
      <c r="B1125" s="10"/>
      <c r="C1125" s="80"/>
      <c r="D1125" s="80"/>
      <c r="E1125" s="81" t="str">
        <f aca="false">IF(D1125="","",IFERROR(INDEX(식자재단가!$B$4:$B$203,MATCH(D1125,식자재단가!$C$4:$C$203,0)),""))</f>
        <v/>
      </c>
      <c r="F1125" s="76"/>
      <c r="G1125" s="59" t="str">
        <f aca="false">IF(D1125="","",IFERROR(INDEX(식자재단가!$F$4:$F$203,MATCH(D1125,식자재단가!$C$4:$C$203,0)),""))</f>
        <v/>
      </c>
      <c r="H1125" s="50"/>
      <c r="I1125" s="82" t="str">
        <f aca="false">IF(OR(F1125="",H1125=""),"",F1125*H1125)</f>
        <v/>
      </c>
      <c r="J1125" s="83" t="str">
        <f aca="false">IF(D1125="","",IFERROR(INDEX(식자재단가!$M$4:$M$203,MATCH(D1125,식자재단가!$C$4:$C$203,0)),"과세"))</f>
        <v/>
      </c>
      <c r="K1125" s="28" t="str">
        <f aca="false">IF(I1125="","",IF(J1125="과세",ROUND(I1125*0.1,0),0))</f>
        <v/>
      </c>
      <c r="L1125" s="28" t="str">
        <f aca="false">IF(I1125="","",I1125+K1125)</f>
        <v/>
      </c>
      <c r="M1125" s="10"/>
      <c r="N1125" s="80"/>
      <c r="O1125" s="80"/>
      <c r="P1125" s="59" t="str">
        <f aca="false">IF(E1125="","",IFERROR(INDEX(기본설정!$H$4:$H$14,MATCH(E1125,기본설정!$G$4:$G$14,0)),""))</f>
        <v/>
      </c>
    </row>
    <row r="1126" customFormat="false" ht="15" hidden="false" customHeight="false" outlineLevel="0" collapsed="false">
      <c r="A1126" s="73"/>
      <c r="B1126" s="10"/>
      <c r="C1126" s="80"/>
      <c r="D1126" s="80"/>
      <c r="E1126" s="81" t="str">
        <f aca="false">IF(D1126="","",IFERROR(INDEX(식자재단가!$B$4:$B$203,MATCH(D1126,식자재단가!$C$4:$C$203,0)),""))</f>
        <v/>
      </c>
      <c r="F1126" s="76"/>
      <c r="G1126" s="59" t="str">
        <f aca="false">IF(D1126="","",IFERROR(INDEX(식자재단가!$F$4:$F$203,MATCH(D1126,식자재단가!$C$4:$C$203,0)),""))</f>
        <v/>
      </c>
      <c r="H1126" s="50"/>
      <c r="I1126" s="82" t="str">
        <f aca="false">IF(OR(F1126="",H1126=""),"",F1126*H1126)</f>
        <v/>
      </c>
      <c r="J1126" s="83" t="str">
        <f aca="false">IF(D1126="","",IFERROR(INDEX(식자재단가!$M$4:$M$203,MATCH(D1126,식자재단가!$C$4:$C$203,0)),"과세"))</f>
        <v/>
      </c>
      <c r="K1126" s="28" t="str">
        <f aca="false">IF(I1126="","",IF(J1126="과세",ROUND(I1126*0.1,0),0))</f>
        <v/>
      </c>
      <c r="L1126" s="28" t="str">
        <f aca="false">IF(I1126="","",I1126+K1126)</f>
        <v/>
      </c>
      <c r="M1126" s="10"/>
      <c r="N1126" s="80"/>
      <c r="O1126" s="80"/>
      <c r="P1126" s="59" t="str">
        <f aca="false">IF(E1126="","",IFERROR(INDEX(기본설정!$H$4:$H$14,MATCH(E1126,기본설정!$G$4:$G$14,0)),""))</f>
        <v/>
      </c>
    </row>
    <row r="1127" customFormat="false" ht="15" hidden="false" customHeight="false" outlineLevel="0" collapsed="false">
      <c r="A1127" s="73"/>
      <c r="B1127" s="10"/>
      <c r="C1127" s="80"/>
      <c r="D1127" s="80"/>
      <c r="E1127" s="81" t="str">
        <f aca="false">IF(D1127="","",IFERROR(INDEX(식자재단가!$B$4:$B$203,MATCH(D1127,식자재단가!$C$4:$C$203,0)),""))</f>
        <v/>
      </c>
      <c r="F1127" s="76"/>
      <c r="G1127" s="59" t="str">
        <f aca="false">IF(D1127="","",IFERROR(INDEX(식자재단가!$F$4:$F$203,MATCH(D1127,식자재단가!$C$4:$C$203,0)),""))</f>
        <v/>
      </c>
      <c r="H1127" s="50"/>
      <c r="I1127" s="82" t="str">
        <f aca="false">IF(OR(F1127="",H1127=""),"",F1127*H1127)</f>
        <v/>
      </c>
      <c r="J1127" s="83" t="str">
        <f aca="false">IF(D1127="","",IFERROR(INDEX(식자재단가!$M$4:$M$203,MATCH(D1127,식자재단가!$C$4:$C$203,0)),"과세"))</f>
        <v/>
      </c>
      <c r="K1127" s="28" t="str">
        <f aca="false">IF(I1127="","",IF(J1127="과세",ROUND(I1127*0.1,0),0))</f>
        <v/>
      </c>
      <c r="L1127" s="28" t="str">
        <f aca="false">IF(I1127="","",I1127+K1127)</f>
        <v/>
      </c>
      <c r="M1127" s="10"/>
      <c r="N1127" s="80"/>
      <c r="O1127" s="80"/>
      <c r="P1127" s="59" t="str">
        <f aca="false">IF(E1127="","",IFERROR(INDEX(기본설정!$H$4:$H$14,MATCH(E1127,기본설정!$G$4:$G$14,0)),""))</f>
        <v/>
      </c>
    </row>
    <row r="1128" customFormat="false" ht="15" hidden="false" customHeight="false" outlineLevel="0" collapsed="false">
      <c r="A1128" s="73"/>
      <c r="B1128" s="10"/>
      <c r="C1128" s="80"/>
      <c r="D1128" s="80"/>
      <c r="E1128" s="81" t="str">
        <f aca="false">IF(D1128="","",IFERROR(INDEX(식자재단가!$B$4:$B$203,MATCH(D1128,식자재단가!$C$4:$C$203,0)),""))</f>
        <v/>
      </c>
      <c r="F1128" s="76"/>
      <c r="G1128" s="59" t="str">
        <f aca="false">IF(D1128="","",IFERROR(INDEX(식자재단가!$F$4:$F$203,MATCH(D1128,식자재단가!$C$4:$C$203,0)),""))</f>
        <v/>
      </c>
      <c r="H1128" s="50"/>
      <c r="I1128" s="82" t="str">
        <f aca="false">IF(OR(F1128="",H1128=""),"",F1128*H1128)</f>
        <v/>
      </c>
      <c r="J1128" s="83" t="str">
        <f aca="false">IF(D1128="","",IFERROR(INDEX(식자재단가!$M$4:$M$203,MATCH(D1128,식자재단가!$C$4:$C$203,0)),"과세"))</f>
        <v/>
      </c>
      <c r="K1128" s="28" t="str">
        <f aca="false">IF(I1128="","",IF(J1128="과세",ROUND(I1128*0.1,0),0))</f>
        <v/>
      </c>
      <c r="L1128" s="28" t="str">
        <f aca="false">IF(I1128="","",I1128+K1128)</f>
        <v/>
      </c>
      <c r="M1128" s="10"/>
      <c r="N1128" s="80"/>
      <c r="O1128" s="80"/>
      <c r="P1128" s="59" t="str">
        <f aca="false">IF(E1128="","",IFERROR(INDEX(기본설정!$H$4:$H$14,MATCH(E1128,기본설정!$G$4:$G$14,0)),""))</f>
        <v/>
      </c>
    </row>
    <row r="1129" customFormat="false" ht="15" hidden="false" customHeight="false" outlineLevel="0" collapsed="false">
      <c r="A1129" s="73"/>
      <c r="B1129" s="10"/>
      <c r="C1129" s="80"/>
      <c r="D1129" s="80"/>
      <c r="E1129" s="81" t="str">
        <f aca="false">IF(D1129="","",IFERROR(INDEX(식자재단가!$B$4:$B$203,MATCH(D1129,식자재단가!$C$4:$C$203,0)),""))</f>
        <v/>
      </c>
      <c r="F1129" s="76"/>
      <c r="G1129" s="59" t="str">
        <f aca="false">IF(D1129="","",IFERROR(INDEX(식자재단가!$F$4:$F$203,MATCH(D1129,식자재단가!$C$4:$C$203,0)),""))</f>
        <v/>
      </c>
      <c r="H1129" s="50"/>
      <c r="I1129" s="82" t="str">
        <f aca="false">IF(OR(F1129="",H1129=""),"",F1129*H1129)</f>
        <v/>
      </c>
      <c r="J1129" s="83" t="str">
        <f aca="false">IF(D1129="","",IFERROR(INDEX(식자재단가!$M$4:$M$203,MATCH(D1129,식자재단가!$C$4:$C$203,0)),"과세"))</f>
        <v/>
      </c>
      <c r="K1129" s="28" t="str">
        <f aca="false">IF(I1129="","",IF(J1129="과세",ROUND(I1129*0.1,0),0))</f>
        <v/>
      </c>
      <c r="L1129" s="28" t="str">
        <f aca="false">IF(I1129="","",I1129+K1129)</f>
        <v/>
      </c>
      <c r="M1129" s="10"/>
      <c r="N1129" s="80"/>
      <c r="O1129" s="80"/>
      <c r="P1129" s="59" t="str">
        <f aca="false">IF(E1129="","",IFERROR(INDEX(기본설정!$H$4:$H$14,MATCH(E1129,기본설정!$G$4:$G$14,0)),""))</f>
        <v/>
      </c>
    </row>
    <row r="1130" customFormat="false" ht="15" hidden="false" customHeight="false" outlineLevel="0" collapsed="false">
      <c r="A1130" s="73"/>
      <c r="B1130" s="10"/>
      <c r="C1130" s="80"/>
      <c r="D1130" s="80"/>
      <c r="E1130" s="81" t="str">
        <f aca="false">IF(D1130="","",IFERROR(INDEX(식자재단가!$B$4:$B$203,MATCH(D1130,식자재단가!$C$4:$C$203,0)),""))</f>
        <v/>
      </c>
      <c r="F1130" s="76"/>
      <c r="G1130" s="59" t="str">
        <f aca="false">IF(D1130="","",IFERROR(INDEX(식자재단가!$F$4:$F$203,MATCH(D1130,식자재단가!$C$4:$C$203,0)),""))</f>
        <v/>
      </c>
      <c r="H1130" s="50"/>
      <c r="I1130" s="82" t="str">
        <f aca="false">IF(OR(F1130="",H1130=""),"",F1130*H1130)</f>
        <v/>
      </c>
      <c r="J1130" s="83" t="str">
        <f aca="false">IF(D1130="","",IFERROR(INDEX(식자재단가!$M$4:$M$203,MATCH(D1130,식자재단가!$C$4:$C$203,0)),"과세"))</f>
        <v/>
      </c>
      <c r="K1130" s="28" t="str">
        <f aca="false">IF(I1130="","",IF(J1130="과세",ROUND(I1130*0.1,0),0))</f>
        <v/>
      </c>
      <c r="L1130" s="28" t="str">
        <f aca="false">IF(I1130="","",I1130+K1130)</f>
        <v/>
      </c>
      <c r="M1130" s="10"/>
      <c r="N1130" s="80"/>
      <c r="O1130" s="80"/>
      <c r="P1130" s="59" t="str">
        <f aca="false">IF(E1130="","",IFERROR(INDEX(기본설정!$H$4:$H$14,MATCH(E1130,기본설정!$G$4:$G$14,0)),""))</f>
        <v/>
      </c>
    </row>
    <row r="1131" customFormat="false" ht="15" hidden="false" customHeight="false" outlineLevel="0" collapsed="false">
      <c r="A1131" s="73"/>
      <c r="B1131" s="10"/>
      <c r="C1131" s="80"/>
      <c r="D1131" s="80"/>
      <c r="E1131" s="81" t="str">
        <f aca="false">IF(D1131="","",IFERROR(INDEX(식자재단가!$B$4:$B$203,MATCH(D1131,식자재단가!$C$4:$C$203,0)),""))</f>
        <v/>
      </c>
      <c r="F1131" s="76"/>
      <c r="G1131" s="59" t="str">
        <f aca="false">IF(D1131="","",IFERROR(INDEX(식자재단가!$F$4:$F$203,MATCH(D1131,식자재단가!$C$4:$C$203,0)),""))</f>
        <v/>
      </c>
      <c r="H1131" s="50"/>
      <c r="I1131" s="82" t="str">
        <f aca="false">IF(OR(F1131="",H1131=""),"",F1131*H1131)</f>
        <v/>
      </c>
      <c r="J1131" s="83" t="str">
        <f aca="false">IF(D1131="","",IFERROR(INDEX(식자재단가!$M$4:$M$203,MATCH(D1131,식자재단가!$C$4:$C$203,0)),"과세"))</f>
        <v/>
      </c>
      <c r="K1131" s="28" t="str">
        <f aca="false">IF(I1131="","",IF(J1131="과세",ROUND(I1131*0.1,0),0))</f>
        <v/>
      </c>
      <c r="L1131" s="28" t="str">
        <f aca="false">IF(I1131="","",I1131+K1131)</f>
        <v/>
      </c>
      <c r="M1131" s="10"/>
      <c r="N1131" s="80"/>
      <c r="O1131" s="80"/>
      <c r="P1131" s="59" t="str">
        <f aca="false">IF(E1131="","",IFERROR(INDEX(기본설정!$H$4:$H$14,MATCH(E1131,기본설정!$G$4:$G$14,0)),""))</f>
        <v/>
      </c>
    </row>
    <row r="1132" customFormat="false" ht="15" hidden="false" customHeight="false" outlineLevel="0" collapsed="false">
      <c r="A1132" s="73"/>
      <c r="B1132" s="10"/>
      <c r="C1132" s="80"/>
      <c r="D1132" s="80"/>
      <c r="E1132" s="81" t="str">
        <f aca="false">IF(D1132="","",IFERROR(INDEX(식자재단가!$B$4:$B$203,MATCH(D1132,식자재단가!$C$4:$C$203,0)),""))</f>
        <v/>
      </c>
      <c r="F1132" s="76"/>
      <c r="G1132" s="59" t="str">
        <f aca="false">IF(D1132="","",IFERROR(INDEX(식자재단가!$F$4:$F$203,MATCH(D1132,식자재단가!$C$4:$C$203,0)),""))</f>
        <v/>
      </c>
      <c r="H1132" s="50"/>
      <c r="I1132" s="82" t="str">
        <f aca="false">IF(OR(F1132="",H1132=""),"",F1132*H1132)</f>
        <v/>
      </c>
      <c r="J1132" s="83" t="str">
        <f aca="false">IF(D1132="","",IFERROR(INDEX(식자재단가!$M$4:$M$203,MATCH(D1132,식자재단가!$C$4:$C$203,0)),"과세"))</f>
        <v/>
      </c>
      <c r="K1132" s="28" t="str">
        <f aca="false">IF(I1132="","",IF(J1132="과세",ROUND(I1132*0.1,0),0))</f>
        <v/>
      </c>
      <c r="L1132" s="28" t="str">
        <f aca="false">IF(I1132="","",I1132+K1132)</f>
        <v/>
      </c>
      <c r="M1132" s="10"/>
      <c r="N1132" s="80"/>
      <c r="O1132" s="80"/>
      <c r="P1132" s="59" t="str">
        <f aca="false">IF(E1132="","",IFERROR(INDEX(기본설정!$H$4:$H$14,MATCH(E1132,기본설정!$G$4:$G$14,0)),""))</f>
        <v/>
      </c>
    </row>
    <row r="1133" customFormat="false" ht="15" hidden="false" customHeight="false" outlineLevel="0" collapsed="false">
      <c r="A1133" s="73"/>
      <c r="B1133" s="10"/>
      <c r="C1133" s="80"/>
      <c r="D1133" s="80"/>
      <c r="E1133" s="81" t="str">
        <f aca="false">IF(D1133="","",IFERROR(INDEX(식자재단가!$B$4:$B$203,MATCH(D1133,식자재단가!$C$4:$C$203,0)),""))</f>
        <v/>
      </c>
      <c r="F1133" s="76"/>
      <c r="G1133" s="59" t="str">
        <f aca="false">IF(D1133="","",IFERROR(INDEX(식자재단가!$F$4:$F$203,MATCH(D1133,식자재단가!$C$4:$C$203,0)),""))</f>
        <v/>
      </c>
      <c r="H1133" s="50"/>
      <c r="I1133" s="82" t="str">
        <f aca="false">IF(OR(F1133="",H1133=""),"",F1133*H1133)</f>
        <v/>
      </c>
      <c r="J1133" s="83" t="str">
        <f aca="false">IF(D1133="","",IFERROR(INDEX(식자재단가!$M$4:$M$203,MATCH(D1133,식자재단가!$C$4:$C$203,0)),"과세"))</f>
        <v/>
      </c>
      <c r="K1133" s="28" t="str">
        <f aca="false">IF(I1133="","",IF(J1133="과세",ROUND(I1133*0.1,0),0))</f>
        <v/>
      </c>
      <c r="L1133" s="28" t="str">
        <f aca="false">IF(I1133="","",I1133+K1133)</f>
        <v/>
      </c>
      <c r="M1133" s="10"/>
      <c r="N1133" s="80"/>
      <c r="O1133" s="80"/>
      <c r="P1133" s="59" t="str">
        <f aca="false">IF(E1133="","",IFERROR(INDEX(기본설정!$H$4:$H$14,MATCH(E1133,기본설정!$G$4:$G$14,0)),""))</f>
        <v/>
      </c>
    </row>
    <row r="1134" customFormat="false" ht="15" hidden="false" customHeight="false" outlineLevel="0" collapsed="false">
      <c r="A1134" s="73"/>
      <c r="B1134" s="10"/>
      <c r="C1134" s="80"/>
      <c r="D1134" s="80"/>
      <c r="E1134" s="81" t="str">
        <f aca="false">IF(D1134="","",IFERROR(INDEX(식자재단가!$B$4:$B$203,MATCH(D1134,식자재단가!$C$4:$C$203,0)),""))</f>
        <v/>
      </c>
      <c r="F1134" s="76"/>
      <c r="G1134" s="59" t="str">
        <f aca="false">IF(D1134="","",IFERROR(INDEX(식자재단가!$F$4:$F$203,MATCH(D1134,식자재단가!$C$4:$C$203,0)),""))</f>
        <v/>
      </c>
      <c r="H1134" s="50"/>
      <c r="I1134" s="82" t="str">
        <f aca="false">IF(OR(F1134="",H1134=""),"",F1134*H1134)</f>
        <v/>
      </c>
      <c r="J1134" s="83" t="str">
        <f aca="false">IF(D1134="","",IFERROR(INDEX(식자재단가!$M$4:$M$203,MATCH(D1134,식자재단가!$C$4:$C$203,0)),"과세"))</f>
        <v/>
      </c>
      <c r="K1134" s="28" t="str">
        <f aca="false">IF(I1134="","",IF(J1134="과세",ROUND(I1134*0.1,0),0))</f>
        <v/>
      </c>
      <c r="L1134" s="28" t="str">
        <f aca="false">IF(I1134="","",I1134+K1134)</f>
        <v/>
      </c>
      <c r="M1134" s="10"/>
      <c r="N1134" s="80"/>
      <c r="O1134" s="80"/>
      <c r="P1134" s="59" t="str">
        <f aca="false">IF(E1134="","",IFERROR(INDEX(기본설정!$H$4:$H$14,MATCH(E1134,기본설정!$G$4:$G$14,0)),""))</f>
        <v/>
      </c>
    </row>
    <row r="1135" customFormat="false" ht="15" hidden="false" customHeight="false" outlineLevel="0" collapsed="false">
      <c r="A1135" s="73"/>
      <c r="B1135" s="10"/>
      <c r="C1135" s="80"/>
      <c r="D1135" s="80"/>
      <c r="E1135" s="81" t="str">
        <f aca="false">IF(D1135="","",IFERROR(INDEX(식자재단가!$B$4:$B$203,MATCH(D1135,식자재단가!$C$4:$C$203,0)),""))</f>
        <v/>
      </c>
      <c r="F1135" s="76"/>
      <c r="G1135" s="59" t="str">
        <f aca="false">IF(D1135="","",IFERROR(INDEX(식자재단가!$F$4:$F$203,MATCH(D1135,식자재단가!$C$4:$C$203,0)),""))</f>
        <v/>
      </c>
      <c r="H1135" s="50"/>
      <c r="I1135" s="82" t="str">
        <f aca="false">IF(OR(F1135="",H1135=""),"",F1135*H1135)</f>
        <v/>
      </c>
      <c r="J1135" s="83" t="str">
        <f aca="false">IF(D1135="","",IFERROR(INDEX(식자재단가!$M$4:$M$203,MATCH(D1135,식자재단가!$C$4:$C$203,0)),"과세"))</f>
        <v/>
      </c>
      <c r="K1135" s="28" t="str">
        <f aca="false">IF(I1135="","",IF(J1135="과세",ROUND(I1135*0.1,0),0))</f>
        <v/>
      </c>
      <c r="L1135" s="28" t="str">
        <f aca="false">IF(I1135="","",I1135+K1135)</f>
        <v/>
      </c>
      <c r="M1135" s="10"/>
      <c r="N1135" s="80"/>
      <c r="O1135" s="80"/>
      <c r="P1135" s="59" t="str">
        <f aca="false">IF(E1135="","",IFERROR(INDEX(기본설정!$H$4:$H$14,MATCH(E1135,기본설정!$G$4:$G$14,0)),""))</f>
        <v/>
      </c>
    </row>
    <row r="1136" customFormat="false" ht="15" hidden="false" customHeight="false" outlineLevel="0" collapsed="false">
      <c r="A1136" s="73"/>
      <c r="B1136" s="10"/>
      <c r="C1136" s="80"/>
      <c r="D1136" s="80"/>
      <c r="E1136" s="81" t="str">
        <f aca="false">IF(D1136="","",IFERROR(INDEX(식자재단가!$B$4:$B$203,MATCH(D1136,식자재단가!$C$4:$C$203,0)),""))</f>
        <v/>
      </c>
      <c r="F1136" s="76"/>
      <c r="G1136" s="59" t="str">
        <f aca="false">IF(D1136="","",IFERROR(INDEX(식자재단가!$F$4:$F$203,MATCH(D1136,식자재단가!$C$4:$C$203,0)),""))</f>
        <v/>
      </c>
      <c r="H1136" s="50"/>
      <c r="I1136" s="82" t="str">
        <f aca="false">IF(OR(F1136="",H1136=""),"",F1136*H1136)</f>
        <v/>
      </c>
      <c r="J1136" s="83" t="str">
        <f aca="false">IF(D1136="","",IFERROR(INDEX(식자재단가!$M$4:$M$203,MATCH(D1136,식자재단가!$C$4:$C$203,0)),"과세"))</f>
        <v/>
      </c>
      <c r="K1136" s="28" t="str">
        <f aca="false">IF(I1136="","",IF(J1136="과세",ROUND(I1136*0.1,0),0))</f>
        <v/>
      </c>
      <c r="L1136" s="28" t="str">
        <f aca="false">IF(I1136="","",I1136+K1136)</f>
        <v/>
      </c>
      <c r="M1136" s="10"/>
      <c r="N1136" s="80"/>
      <c r="O1136" s="80"/>
      <c r="P1136" s="59" t="str">
        <f aca="false">IF(E1136="","",IFERROR(INDEX(기본설정!$H$4:$H$14,MATCH(E1136,기본설정!$G$4:$G$14,0)),""))</f>
        <v/>
      </c>
    </row>
    <row r="1137" customFormat="false" ht="15" hidden="false" customHeight="false" outlineLevel="0" collapsed="false">
      <c r="A1137" s="73"/>
      <c r="B1137" s="10"/>
      <c r="C1137" s="80"/>
      <c r="D1137" s="80"/>
      <c r="E1137" s="81" t="str">
        <f aca="false">IF(D1137="","",IFERROR(INDEX(식자재단가!$B$4:$B$203,MATCH(D1137,식자재단가!$C$4:$C$203,0)),""))</f>
        <v/>
      </c>
      <c r="F1137" s="76"/>
      <c r="G1137" s="59" t="str">
        <f aca="false">IF(D1137="","",IFERROR(INDEX(식자재단가!$F$4:$F$203,MATCH(D1137,식자재단가!$C$4:$C$203,0)),""))</f>
        <v/>
      </c>
      <c r="H1137" s="50"/>
      <c r="I1137" s="82" t="str">
        <f aca="false">IF(OR(F1137="",H1137=""),"",F1137*H1137)</f>
        <v/>
      </c>
      <c r="J1137" s="83" t="str">
        <f aca="false">IF(D1137="","",IFERROR(INDEX(식자재단가!$M$4:$M$203,MATCH(D1137,식자재단가!$C$4:$C$203,0)),"과세"))</f>
        <v/>
      </c>
      <c r="K1137" s="28" t="str">
        <f aca="false">IF(I1137="","",IF(J1137="과세",ROUND(I1137*0.1,0),0))</f>
        <v/>
      </c>
      <c r="L1137" s="28" t="str">
        <f aca="false">IF(I1137="","",I1137+K1137)</f>
        <v/>
      </c>
      <c r="M1137" s="10"/>
      <c r="N1137" s="80"/>
      <c r="O1137" s="80"/>
      <c r="P1137" s="59" t="str">
        <f aca="false">IF(E1137="","",IFERROR(INDEX(기본설정!$H$4:$H$14,MATCH(E1137,기본설정!$G$4:$G$14,0)),""))</f>
        <v/>
      </c>
    </row>
    <row r="1138" customFormat="false" ht="15" hidden="false" customHeight="false" outlineLevel="0" collapsed="false">
      <c r="A1138" s="73"/>
      <c r="B1138" s="10"/>
      <c r="C1138" s="80"/>
      <c r="D1138" s="80"/>
      <c r="E1138" s="81" t="str">
        <f aca="false">IF(D1138="","",IFERROR(INDEX(식자재단가!$B$4:$B$203,MATCH(D1138,식자재단가!$C$4:$C$203,0)),""))</f>
        <v/>
      </c>
      <c r="F1138" s="76"/>
      <c r="G1138" s="59" t="str">
        <f aca="false">IF(D1138="","",IFERROR(INDEX(식자재단가!$F$4:$F$203,MATCH(D1138,식자재단가!$C$4:$C$203,0)),""))</f>
        <v/>
      </c>
      <c r="H1138" s="50"/>
      <c r="I1138" s="82" t="str">
        <f aca="false">IF(OR(F1138="",H1138=""),"",F1138*H1138)</f>
        <v/>
      </c>
      <c r="J1138" s="83" t="str">
        <f aca="false">IF(D1138="","",IFERROR(INDEX(식자재단가!$M$4:$M$203,MATCH(D1138,식자재단가!$C$4:$C$203,0)),"과세"))</f>
        <v/>
      </c>
      <c r="K1138" s="28" t="str">
        <f aca="false">IF(I1138="","",IF(J1138="과세",ROUND(I1138*0.1,0),0))</f>
        <v/>
      </c>
      <c r="L1138" s="28" t="str">
        <f aca="false">IF(I1138="","",I1138+K1138)</f>
        <v/>
      </c>
      <c r="M1138" s="10"/>
      <c r="N1138" s="80"/>
      <c r="O1138" s="80"/>
      <c r="P1138" s="59" t="str">
        <f aca="false">IF(E1138="","",IFERROR(INDEX(기본설정!$H$4:$H$14,MATCH(E1138,기본설정!$G$4:$G$14,0)),""))</f>
        <v/>
      </c>
    </row>
    <row r="1139" customFormat="false" ht="15" hidden="false" customHeight="false" outlineLevel="0" collapsed="false">
      <c r="A1139" s="73"/>
      <c r="B1139" s="10"/>
      <c r="C1139" s="80"/>
      <c r="D1139" s="80"/>
      <c r="E1139" s="81" t="str">
        <f aca="false">IF(D1139="","",IFERROR(INDEX(식자재단가!$B$4:$B$203,MATCH(D1139,식자재단가!$C$4:$C$203,0)),""))</f>
        <v/>
      </c>
      <c r="F1139" s="76"/>
      <c r="G1139" s="59" t="str">
        <f aca="false">IF(D1139="","",IFERROR(INDEX(식자재단가!$F$4:$F$203,MATCH(D1139,식자재단가!$C$4:$C$203,0)),""))</f>
        <v/>
      </c>
      <c r="H1139" s="50"/>
      <c r="I1139" s="82" t="str">
        <f aca="false">IF(OR(F1139="",H1139=""),"",F1139*H1139)</f>
        <v/>
      </c>
      <c r="J1139" s="83" t="str">
        <f aca="false">IF(D1139="","",IFERROR(INDEX(식자재단가!$M$4:$M$203,MATCH(D1139,식자재단가!$C$4:$C$203,0)),"과세"))</f>
        <v/>
      </c>
      <c r="K1139" s="28" t="str">
        <f aca="false">IF(I1139="","",IF(J1139="과세",ROUND(I1139*0.1,0),0))</f>
        <v/>
      </c>
      <c r="L1139" s="28" t="str">
        <f aca="false">IF(I1139="","",I1139+K1139)</f>
        <v/>
      </c>
      <c r="M1139" s="10"/>
      <c r="N1139" s="80"/>
      <c r="O1139" s="80"/>
      <c r="P1139" s="59" t="str">
        <f aca="false">IF(E1139="","",IFERROR(INDEX(기본설정!$H$4:$H$14,MATCH(E1139,기본설정!$G$4:$G$14,0)),""))</f>
        <v/>
      </c>
    </row>
    <row r="1140" customFormat="false" ht="15" hidden="false" customHeight="false" outlineLevel="0" collapsed="false">
      <c r="A1140" s="73"/>
      <c r="B1140" s="10"/>
      <c r="C1140" s="80"/>
      <c r="D1140" s="80"/>
      <c r="E1140" s="81" t="str">
        <f aca="false">IF(D1140="","",IFERROR(INDEX(식자재단가!$B$4:$B$203,MATCH(D1140,식자재단가!$C$4:$C$203,0)),""))</f>
        <v/>
      </c>
      <c r="F1140" s="76"/>
      <c r="G1140" s="59" t="str">
        <f aca="false">IF(D1140="","",IFERROR(INDEX(식자재단가!$F$4:$F$203,MATCH(D1140,식자재단가!$C$4:$C$203,0)),""))</f>
        <v/>
      </c>
      <c r="H1140" s="50"/>
      <c r="I1140" s="82" t="str">
        <f aca="false">IF(OR(F1140="",H1140=""),"",F1140*H1140)</f>
        <v/>
      </c>
      <c r="J1140" s="83" t="str">
        <f aca="false">IF(D1140="","",IFERROR(INDEX(식자재단가!$M$4:$M$203,MATCH(D1140,식자재단가!$C$4:$C$203,0)),"과세"))</f>
        <v/>
      </c>
      <c r="K1140" s="28" t="str">
        <f aca="false">IF(I1140="","",IF(J1140="과세",ROUND(I1140*0.1,0),0))</f>
        <v/>
      </c>
      <c r="L1140" s="28" t="str">
        <f aca="false">IF(I1140="","",I1140+K1140)</f>
        <v/>
      </c>
      <c r="M1140" s="10"/>
      <c r="N1140" s="80"/>
      <c r="O1140" s="80"/>
      <c r="P1140" s="59" t="str">
        <f aca="false">IF(E1140="","",IFERROR(INDEX(기본설정!$H$4:$H$14,MATCH(E1140,기본설정!$G$4:$G$14,0)),""))</f>
        <v/>
      </c>
    </row>
    <row r="1141" customFormat="false" ht="15" hidden="false" customHeight="false" outlineLevel="0" collapsed="false">
      <c r="A1141" s="73"/>
      <c r="B1141" s="10"/>
      <c r="C1141" s="80"/>
      <c r="D1141" s="80"/>
      <c r="E1141" s="81" t="str">
        <f aca="false">IF(D1141="","",IFERROR(INDEX(식자재단가!$B$4:$B$203,MATCH(D1141,식자재단가!$C$4:$C$203,0)),""))</f>
        <v/>
      </c>
      <c r="F1141" s="76"/>
      <c r="G1141" s="59" t="str">
        <f aca="false">IF(D1141="","",IFERROR(INDEX(식자재단가!$F$4:$F$203,MATCH(D1141,식자재단가!$C$4:$C$203,0)),""))</f>
        <v/>
      </c>
      <c r="H1141" s="50"/>
      <c r="I1141" s="82" t="str">
        <f aca="false">IF(OR(F1141="",H1141=""),"",F1141*H1141)</f>
        <v/>
      </c>
      <c r="J1141" s="83" t="str">
        <f aca="false">IF(D1141="","",IFERROR(INDEX(식자재단가!$M$4:$M$203,MATCH(D1141,식자재단가!$C$4:$C$203,0)),"과세"))</f>
        <v/>
      </c>
      <c r="K1141" s="28" t="str">
        <f aca="false">IF(I1141="","",IF(J1141="과세",ROUND(I1141*0.1,0),0))</f>
        <v/>
      </c>
      <c r="L1141" s="28" t="str">
        <f aca="false">IF(I1141="","",I1141+K1141)</f>
        <v/>
      </c>
      <c r="M1141" s="10"/>
      <c r="N1141" s="80"/>
      <c r="O1141" s="80"/>
      <c r="P1141" s="59" t="str">
        <f aca="false">IF(E1141="","",IFERROR(INDEX(기본설정!$H$4:$H$14,MATCH(E1141,기본설정!$G$4:$G$14,0)),""))</f>
        <v/>
      </c>
    </row>
    <row r="1142" customFormat="false" ht="15" hidden="false" customHeight="false" outlineLevel="0" collapsed="false">
      <c r="A1142" s="73"/>
      <c r="B1142" s="10"/>
      <c r="C1142" s="80"/>
      <c r="D1142" s="80"/>
      <c r="E1142" s="81" t="str">
        <f aca="false">IF(D1142="","",IFERROR(INDEX(식자재단가!$B$4:$B$203,MATCH(D1142,식자재단가!$C$4:$C$203,0)),""))</f>
        <v/>
      </c>
      <c r="F1142" s="76"/>
      <c r="G1142" s="59" t="str">
        <f aca="false">IF(D1142="","",IFERROR(INDEX(식자재단가!$F$4:$F$203,MATCH(D1142,식자재단가!$C$4:$C$203,0)),""))</f>
        <v/>
      </c>
      <c r="H1142" s="50"/>
      <c r="I1142" s="82" t="str">
        <f aca="false">IF(OR(F1142="",H1142=""),"",F1142*H1142)</f>
        <v/>
      </c>
      <c r="J1142" s="83" t="str">
        <f aca="false">IF(D1142="","",IFERROR(INDEX(식자재단가!$M$4:$M$203,MATCH(D1142,식자재단가!$C$4:$C$203,0)),"과세"))</f>
        <v/>
      </c>
      <c r="K1142" s="28" t="str">
        <f aca="false">IF(I1142="","",IF(J1142="과세",ROUND(I1142*0.1,0),0))</f>
        <v/>
      </c>
      <c r="L1142" s="28" t="str">
        <f aca="false">IF(I1142="","",I1142+K1142)</f>
        <v/>
      </c>
      <c r="M1142" s="10"/>
      <c r="N1142" s="80"/>
      <c r="O1142" s="80"/>
      <c r="P1142" s="59" t="str">
        <f aca="false">IF(E1142="","",IFERROR(INDEX(기본설정!$H$4:$H$14,MATCH(E1142,기본설정!$G$4:$G$14,0)),""))</f>
        <v/>
      </c>
    </row>
    <row r="1143" customFormat="false" ht="15" hidden="false" customHeight="false" outlineLevel="0" collapsed="false">
      <c r="A1143" s="73"/>
      <c r="B1143" s="10"/>
      <c r="C1143" s="80"/>
      <c r="D1143" s="80"/>
      <c r="E1143" s="81" t="str">
        <f aca="false">IF(D1143="","",IFERROR(INDEX(식자재단가!$B$4:$B$203,MATCH(D1143,식자재단가!$C$4:$C$203,0)),""))</f>
        <v/>
      </c>
      <c r="F1143" s="76"/>
      <c r="G1143" s="59" t="str">
        <f aca="false">IF(D1143="","",IFERROR(INDEX(식자재단가!$F$4:$F$203,MATCH(D1143,식자재단가!$C$4:$C$203,0)),""))</f>
        <v/>
      </c>
      <c r="H1143" s="50"/>
      <c r="I1143" s="82" t="str">
        <f aca="false">IF(OR(F1143="",H1143=""),"",F1143*H1143)</f>
        <v/>
      </c>
      <c r="J1143" s="83" t="str">
        <f aca="false">IF(D1143="","",IFERROR(INDEX(식자재단가!$M$4:$M$203,MATCH(D1143,식자재단가!$C$4:$C$203,0)),"과세"))</f>
        <v/>
      </c>
      <c r="K1143" s="28" t="str">
        <f aca="false">IF(I1143="","",IF(J1143="과세",ROUND(I1143*0.1,0),0))</f>
        <v/>
      </c>
      <c r="L1143" s="28" t="str">
        <f aca="false">IF(I1143="","",I1143+K1143)</f>
        <v/>
      </c>
      <c r="M1143" s="10"/>
      <c r="N1143" s="80"/>
      <c r="O1143" s="80"/>
      <c r="P1143" s="59" t="str">
        <f aca="false">IF(E1143="","",IFERROR(INDEX(기본설정!$H$4:$H$14,MATCH(E1143,기본설정!$G$4:$G$14,0)),""))</f>
        <v/>
      </c>
    </row>
    <row r="1144" customFormat="false" ht="15" hidden="false" customHeight="false" outlineLevel="0" collapsed="false">
      <c r="A1144" s="73"/>
      <c r="B1144" s="10"/>
      <c r="C1144" s="80"/>
      <c r="D1144" s="80"/>
      <c r="E1144" s="81" t="str">
        <f aca="false">IF(D1144="","",IFERROR(INDEX(식자재단가!$B$4:$B$203,MATCH(D1144,식자재단가!$C$4:$C$203,0)),""))</f>
        <v/>
      </c>
      <c r="F1144" s="76"/>
      <c r="G1144" s="59" t="str">
        <f aca="false">IF(D1144="","",IFERROR(INDEX(식자재단가!$F$4:$F$203,MATCH(D1144,식자재단가!$C$4:$C$203,0)),""))</f>
        <v/>
      </c>
      <c r="H1144" s="50"/>
      <c r="I1144" s="82" t="str">
        <f aca="false">IF(OR(F1144="",H1144=""),"",F1144*H1144)</f>
        <v/>
      </c>
      <c r="J1144" s="83" t="str">
        <f aca="false">IF(D1144="","",IFERROR(INDEX(식자재단가!$M$4:$M$203,MATCH(D1144,식자재단가!$C$4:$C$203,0)),"과세"))</f>
        <v/>
      </c>
      <c r="K1144" s="28" t="str">
        <f aca="false">IF(I1144="","",IF(J1144="과세",ROUND(I1144*0.1,0),0))</f>
        <v/>
      </c>
      <c r="L1144" s="28" t="str">
        <f aca="false">IF(I1144="","",I1144+K1144)</f>
        <v/>
      </c>
      <c r="M1144" s="10"/>
      <c r="N1144" s="80"/>
      <c r="O1144" s="80"/>
      <c r="P1144" s="59" t="str">
        <f aca="false">IF(E1144="","",IFERROR(INDEX(기본설정!$H$4:$H$14,MATCH(E1144,기본설정!$G$4:$G$14,0)),""))</f>
        <v/>
      </c>
    </row>
    <row r="1145" customFormat="false" ht="15" hidden="false" customHeight="false" outlineLevel="0" collapsed="false">
      <c r="A1145" s="73"/>
      <c r="B1145" s="10"/>
      <c r="C1145" s="80"/>
      <c r="D1145" s="80"/>
      <c r="E1145" s="81" t="str">
        <f aca="false">IF(D1145="","",IFERROR(INDEX(식자재단가!$B$4:$B$203,MATCH(D1145,식자재단가!$C$4:$C$203,0)),""))</f>
        <v/>
      </c>
      <c r="F1145" s="76"/>
      <c r="G1145" s="59" t="str">
        <f aca="false">IF(D1145="","",IFERROR(INDEX(식자재단가!$F$4:$F$203,MATCH(D1145,식자재단가!$C$4:$C$203,0)),""))</f>
        <v/>
      </c>
      <c r="H1145" s="50"/>
      <c r="I1145" s="82" t="str">
        <f aca="false">IF(OR(F1145="",H1145=""),"",F1145*H1145)</f>
        <v/>
      </c>
      <c r="J1145" s="83" t="str">
        <f aca="false">IF(D1145="","",IFERROR(INDEX(식자재단가!$M$4:$M$203,MATCH(D1145,식자재단가!$C$4:$C$203,0)),"과세"))</f>
        <v/>
      </c>
      <c r="K1145" s="28" t="str">
        <f aca="false">IF(I1145="","",IF(J1145="과세",ROUND(I1145*0.1,0),0))</f>
        <v/>
      </c>
      <c r="L1145" s="28" t="str">
        <f aca="false">IF(I1145="","",I1145+K1145)</f>
        <v/>
      </c>
      <c r="M1145" s="10"/>
      <c r="N1145" s="80"/>
      <c r="O1145" s="80"/>
      <c r="P1145" s="59" t="str">
        <f aca="false">IF(E1145="","",IFERROR(INDEX(기본설정!$H$4:$H$14,MATCH(E1145,기본설정!$G$4:$G$14,0)),""))</f>
        <v/>
      </c>
    </row>
    <row r="1146" customFormat="false" ht="15" hidden="false" customHeight="false" outlineLevel="0" collapsed="false">
      <c r="A1146" s="73"/>
      <c r="B1146" s="10"/>
      <c r="C1146" s="80"/>
      <c r="D1146" s="80"/>
      <c r="E1146" s="81" t="str">
        <f aca="false">IF(D1146="","",IFERROR(INDEX(식자재단가!$B$4:$B$203,MATCH(D1146,식자재단가!$C$4:$C$203,0)),""))</f>
        <v/>
      </c>
      <c r="F1146" s="76"/>
      <c r="G1146" s="59" t="str">
        <f aca="false">IF(D1146="","",IFERROR(INDEX(식자재단가!$F$4:$F$203,MATCH(D1146,식자재단가!$C$4:$C$203,0)),""))</f>
        <v/>
      </c>
      <c r="H1146" s="50"/>
      <c r="I1146" s="82" t="str">
        <f aca="false">IF(OR(F1146="",H1146=""),"",F1146*H1146)</f>
        <v/>
      </c>
      <c r="J1146" s="83" t="str">
        <f aca="false">IF(D1146="","",IFERROR(INDEX(식자재단가!$M$4:$M$203,MATCH(D1146,식자재단가!$C$4:$C$203,0)),"과세"))</f>
        <v/>
      </c>
      <c r="K1146" s="28" t="str">
        <f aca="false">IF(I1146="","",IF(J1146="과세",ROUND(I1146*0.1,0),0))</f>
        <v/>
      </c>
      <c r="L1146" s="28" t="str">
        <f aca="false">IF(I1146="","",I1146+K1146)</f>
        <v/>
      </c>
      <c r="M1146" s="10"/>
      <c r="N1146" s="80"/>
      <c r="O1146" s="80"/>
      <c r="P1146" s="59" t="str">
        <f aca="false">IF(E1146="","",IFERROR(INDEX(기본설정!$H$4:$H$14,MATCH(E1146,기본설정!$G$4:$G$14,0)),""))</f>
        <v/>
      </c>
    </row>
    <row r="1147" customFormat="false" ht="15" hidden="false" customHeight="false" outlineLevel="0" collapsed="false">
      <c r="A1147" s="73"/>
      <c r="B1147" s="10"/>
      <c r="C1147" s="80"/>
      <c r="D1147" s="80"/>
      <c r="E1147" s="81" t="str">
        <f aca="false">IF(D1147="","",IFERROR(INDEX(식자재단가!$B$4:$B$203,MATCH(D1147,식자재단가!$C$4:$C$203,0)),""))</f>
        <v/>
      </c>
      <c r="F1147" s="76"/>
      <c r="G1147" s="59" t="str">
        <f aca="false">IF(D1147="","",IFERROR(INDEX(식자재단가!$F$4:$F$203,MATCH(D1147,식자재단가!$C$4:$C$203,0)),""))</f>
        <v/>
      </c>
      <c r="H1147" s="50"/>
      <c r="I1147" s="82" t="str">
        <f aca="false">IF(OR(F1147="",H1147=""),"",F1147*H1147)</f>
        <v/>
      </c>
      <c r="J1147" s="83" t="str">
        <f aca="false">IF(D1147="","",IFERROR(INDEX(식자재단가!$M$4:$M$203,MATCH(D1147,식자재단가!$C$4:$C$203,0)),"과세"))</f>
        <v/>
      </c>
      <c r="K1147" s="28" t="str">
        <f aca="false">IF(I1147="","",IF(J1147="과세",ROUND(I1147*0.1,0),0))</f>
        <v/>
      </c>
      <c r="L1147" s="28" t="str">
        <f aca="false">IF(I1147="","",I1147+K1147)</f>
        <v/>
      </c>
      <c r="M1147" s="10"/>
      <c r="N1147" s="80"/>
      <c r="O1147" s="80"/>
      <c r="P1147" s="59" t="str">
        <f aca="false">IF(E1147="","",IFERROR(INDEX(기본설정!$H$4:$H$14,MATCH(E1147,기본설정!$G$4:$G$14,0)),""))</f>
        <v/>
      </c>
    </row>
    <row r="1148" customFormat="false" ht="15" hidden="false" customHeight="false" outlineLevel="0" collapsed="false">
      <c r="A1148" s="73"/>
      <c r="B1148" s="10"/>
      <c r="C1148" s="80"/>
      <c r="D1148" s="80"/>
      <c r="E1148" s="81" t="str">
        <f aca="false">IF(D1148="","",IFERROR(INDEX(식자재단가!$B$4:$B$203,MATCH(D1148,식자재단가!$C$4:$C$203,0)),""))</f>
        <v/>
      </c>
      <c r="F1148" s="76"/>
      <c r="G1148" s="59" t="str">
        <f aca="false">IF(D1148="","",IFERROR(INDEX(식자재단가!$F$4:$F$203,MATCH(D1148,식자재단가!$C$4:$C$203,0)),""))</f>
        <v/>
      </c>
      <c r="H1148" s="50"/>
      <c r="I1148" s="82" t="str">
        <f aca="false">IF(OR(F1148="",H1148=""),"",F1148*H1148)</f>
        <v/>
      </c>
      <c r="J1148" s="83" t="str">
        <f aca="false">IF(D1148="","",IFERROR(INDEX(식자재단가!$M$4:$M$203,MATCH(D1148,식자재단가!$C$4:$C$203,0)),"과세"))</f>
        <v/>
      </c>
      <c r="K1148" s="28" t="str">
        <f aca="false">IF(I1148="","",IF(J1148="과세",ROUND(I1148*0.1,0),0))</f>
        <v/>
      </c>
      <c r="L1148" s="28" t="str">
        <f aca="false">IF(I1148="","",I1148+K1148)</f>
        <v/>
      </c>
      <c r="M1148" s="10"/>
      <c r="N1148" s="80"/>
      <c r="O1148" s="80"/>
      <c r="P1148" s="59" t="str">
        <f aca="false">IF(E1148="","",IFERROR(INDEX(기본설정!$H$4:$H$14,MATCH(E1148,기본설정!$G$4:$G$14,0)),""))</f>
        <v/>
      </c>
    </row>
    <row r="1149" customFormat="false" ht="15" hidden="false" customHeight="false" outlineLevel="0" collapsed="false">
      <c r="A1149" s="73"/>
      <c r="B1149" s="10"/>
      <c r="C1149" s="80"/>
      <c r="D1149" s="80"/>
      <c r="E1149" s="81" t="str">
        <f aca="false">IF(D1149="","",IFERROR(INDEX(식자재단가!$B$4:$B$203,MATCH(D1149,식자재단가!$C$4:$C$203,0)),""))</f>
        <v/>
      </c>
      <c r="F1149" s="76"/>
      <c r="G1149" s="59" t="str">
        <f aca="false">IF(D1149="","",IFERROR(INDEX(식자재단가!$F$4:$F$203,MATCH(D1149,식자재단가!$C$4:$C$203,0)),""))</f>
        <v/>
      </c>
      <c r="H1149" s="50"/>
      <c r="I1149" s="82" t="str">
        <f aca="false">IF(OR(F1149="",H1149=""),"",F1149*H1149)</f>
        <v/>
      </c>
      <c r="J1149" s="83" t="str">
        <f aca="false">IF(D1149="","",IFERROR(INDEX(식자재단가!$M$4:$M$203,MATCH(D1149,식자재단가!$C$4:$C$203,0)),"과세"))</f>
        <v/>
      </c>
      <c r="K1149" s="28" t="str">
        <f aca="false">IF(I1149="","",IF(J1149="과세",ROUND(I1149*0.1,0),0))</f>
        <v/>
      </c>
      <c r="L1149" s="28" t="str">
        <f aca="false">IF(I1149="","",I1149+K1149)</f>
        <v/>
      </c>
      <c r="M1149" s="10"/>
      <c r="N1149" s="80"/>
      <c r="O1149" s="80"/>
      <c r="P1149" s="59" t="str">
        <f aca="false">IF(E1149="","",IFERROR(INDEX(기본설정!$H$4:$H$14,MATCH(E1149,기본설정!$G$4:$G$14,0)),""))</f>
        <v/>
      </c>
    </row>
    <row r="1150" customFormat="false" ht="15" hidden="false" customHeight="false" outlineLevel="0" collapsed="false">
      <c r="A1150" s="73"/>
      <c r="B1150" s="10"/>
      <c r="C1150" s="80"/>
      <c r="D1150" s="80"/>
      <c r="E1150" s="81" t="str">
        <f aca="false">IF(D1150="","",IFERROR(INDEX(식자재단가!$B$4:$B$203,MATCH(D1150,식자재단가!$C$4:$C$203,0)),""))</f>
        <v/>
      </c>
      <c r="F1150" s="76"/>
      <c r="G1150" s="59" t="str">
        <f aca="false">IF(D1150="","",IFERROR(INDEX(식자재단가!$F$4:$F$203,MATCH(D1150,식자재단가!$C$4:$C$203,0)),""))</f>
        <v/>
      </c>
      <c r="H1150" s="50"/>
      <c r="I1150" s="82" t="str">
        <f aca="false">IF(OR(F1150="",H1150=""),"",F1150*H1150)</f>
        <v/>
      </c>
      <c r="J1150" s="83" t="str">
        <f aca="false">IF(D1150="","",IFERROR(INDEX(식자재단가!$M$4:$M$203,MATCH(D1150,식자재단가!$C$4:$C$203,0)),"과세"))</f>
        <v/>
      </c>
      <c r="K1150" s="28" t="str">
        <f aca="false">IF(I1150="","",IF(J1150="과세",ROUND(I1150*0.1,0),0))</f>
        <v/>
      </c>
      <c r="L1150" s="28" t="str">
        <f aca="false">IF(I1150="","",I1150+K1150)</f>
        <v/>
      </c>
      <c r="M1150" s="10"/>
      <c r="N1150" s="80"/>
      <c r="O1150" s="80"/>
      <c r="P1150" s="59" t="str">
        <f aca="false">IF(E1150="","",IFERROR(INDEX(기본설정!$H$4:$H$14,MATCH(E1150,기본설정!$G$4:$G$14,0)),""))</f>
        <v/>
      </c>
    </row>
    <row r="1151" customFormat="false" ht="15" hidden="false" customHeight="false" outlineLevel="0" collapsed="false">
      <c r="A1151" s="73"/>
      <c r="B1151" s="10"/>
      <c r="C1151" s="80"/>
      <c r="D1151" s="80"/>
      <c r="E1151" s="81" t="str">
        <f aca="false">IF(D1151="","",IFERROR(INDEX(식자재단가!$B$4:$B$203,MATCH(D1151,식자재단가!$C$4:$C$203,0)),""))</f>
        <v/>
      </c>
      <c r="F1151" s="76"/>
      <c r="G1151" s="59" t="str">
        <f aca="false">IF(D1151="","",IFERROR(INDEX(식자재단가!$F$4:$F$203,MATCH(D1151,식자재단가!$C$4:$C$203,0)),""))</f>
        <v/>
      </c>
      <c r="H1151" s="50"/>
      <c r="I1151" s="82" t="str">
        <f aca="false">IF(OR(F1151="",H1151=""),"",F1151*H1151)</f>
        <v/>
      </c>
      <c r="J1151" s="83" t="str">
        <f aca="false">IF(D1151="","",IFERROR(INDEX(식자재단가!$M$4:$M$203,MATCH(D1151,식자재단가!$C$4:$C$203,0)),"과세"))</f>
        <v/>
      </c>
      <c r="K1151" s="28" t="str">
        <f aca="false">IF(I1151="","",IF(J1151="과세",ROUND(I1151*0.1,0),0))</f>
        <v/>
      </c>
      <c r="L1151" s="28" t="str">
        <f aca="false">IF(I1151="","",I1151+K1151)</f>
        <v/>
      </c>
      <c r="M1151" s="10"/>
      <c r="N1151" s="80"/>
      <c r="O1151" s="80"/>
      <c r="P1151" s="59" t="str">
        <f aca="false">IF(E1151="","",IFERROR(INDEX(기본설정!$H$4:$H$14,MATCH(E1151,기본설정!$G$4:$G$14,0)),""))</f>
        <v/>
      </c>
    </row>
    <row r="1152" customFormat="false" ht="15" hidden="false" customHeight="false" outlineLevel="0" collapsed="false">
      <c r="A1152" s="73"/>
      <c r="B1152" s="10"/>
      <c r="C1152" s="80"/>
      <c r="D1152" s="80"/>
      <c r="E1152" s="81" t="str">
        <f aca="false">IF(D1152="","",IFERROR(INDEX(식자재단가!$B$4:$B$203,MATCH(D1152,식자재단가!$C$4:$C$203,0)),""))</f>
        <v/>
      </c>
      <c r="F1152" s="76"/>
      <c r="G1152" s="59" t="str">
        <f aca="false">IF(D1152="","",IFERROR(INDEX(식자재단가!$F$4:$F$203,MATCH(D1152,식자재단가!$C$4:$C$203,0)),""))</f>
        <v/>
      </c>
      <c r="H1152" s="50"/>
      <c r="I1152" s="82" t="str">
        <f aca="false">IF(OR(F1152="",H1152=""),"",F1152*H1152)</f>
        <v/>
      </c>
      <c r="J1152" s="83" t="str">
        <f aca="false">IF(D1152="","",IFERROR(INDEX(식자재단가!$M$4:$M$203,MATCH(D1152,식자재단가!$C$4:$C$203,0)),"과세"))</f>
        <v/>
      </c>
      <c r="K1152" s="28" t="str">
        <f aca="false">IF(I1152="","",IF(J1152="과세",ROUND(I1152*0.1,0),0))</f>
        <v/>
      </c>
      <c r="L1152" s="28" t="str">
        <f aca="false">IF(I1152="","",I1152+K1152)</f>
        <v/>
      </c>
      <c r="M1152" s="10"/>
      <c r="N1152" s="80"/>
      <c r="O1152" s="80"/>
      <c r="P1152" s="59" t="str">
        <f aca="false">IF(E1152="","",IFERROR(INDEX(기본설정!$H$4:$H$14,MATCH(E1152,기본설정!$G$4:$G$14,0)),""))</f>
        <v/>
      </c>
    </row>
    <row r="1153" customFormat="false" ht="15" hidden="false" customHeight="false" outlineLevel="0" collapsed="false">
      <c r="A1153" s="73"/>
      <c r="B1153" s="10"/>
      <c r="C1153" s="80"/>
      <c r="D1153" s="80"/>
      <c r="E1153" s="81" t="str">
        <f aca="false">IF(D1153="","",IFERROR(INDEX(식자재단가!$B$4:$B$203,MATCH(D1153,식자재단가!$C$4:$C$203,0)),""))</f>
        <v/>
      </c>
      <c r="F1153" s="76"/>
      <c r="G1153" s="59" t="str">
        <f aca="false">IF(D1153="","",IFERROR(INDEX(식자재단가!$F$4:$F$203,MATCH(D1153,식자재단가!$C$4:$C$203,0)),""))</f>
        <v/>
      </c>
      <c r="H1153" s="50"/>
      <c r="I1153" s="82" t="str">
        <f aca="false">IF(OR(F1153="",H1153=""),"",F1153*H1153)</f>
        <v/>
      </c>
      <c r="J1153" s="83" t="str">
        <f aca="false">IF(D1153="","",IFERROR(INDEX(식자재단가!$M$4:$M$203,MATCH(D1153,식자재단가!$C$4:$C$203,0)),"과세"))</f>
        <v/>
      </c>
      <c r="K1153" s="28" t="str">
        <f aca="false">IF(I1153="","",IF(J1153="과세",ROUND(I1153*0.1,0),0))</f>
        <v/>
      </c>
      <c r="L1153" s="28" t="str">
        <f aca="false">IF(I1153="","",I1153+K1153)</f>
        <v/>
      </c>
      <c r="M1153" s="10"/>
      <c r="N1153" s="80"/>
      <c r="O1153" s="80"/>
      <c r="P1153" s="59" t="str">
        <f aca="false">IF(E1153="","",IFERROR(INDEX(기본설정!$H$4:$H$14,MATCH(E1153,기본설정!$G$4:$G$14,0)),""))</f>
        <v/>
      </c>
    </row>
    <row r="1154" customFormat="false" ht="15" hidden="false" customHeight="false" outlineLevel="0" collapsed="false">
      <c r="A1154" s="73"/>
      <c r="B1154" s="10"/>
      <c r="C1154" s="80"/>
      <c r="D1154" s="80"/>
      <c r="E1154" s="81" t="str">
        <f aca="false">IF(D1154="","",IFERROR(INDEX(식자재단가!$B$4:$B$203,MATCH(D1154,식자재단가!$C$4:$C$203,0)),""))</f>
        <v/>
      </c>
      <c r="F1154" s="76"/>
      <c r="G1154" s="59" t="str">
        <f aca="false">IF(D1154="","",IFERROR(INDEX(식자재단가!$F$4:$F$203,MATCH(D1154,식자재단가!$C$4:$C$203,0)),""))</f>
        <v/>
      </c>
      <c r="H1154" s="50"/>
      <c r="I1154" s="82" t="str">
        <f aca="false">IF(OR(F1154="",H1154=""),"",F1154*H1154)</f>
        <v/>
      </c>
      <c r="J1154" s="83" t="str">
        <f aca="false">IF(D1154="","",IFERROR(INDEX(식자재단가!$M$4:$M$203,MATCH(D1154,식자재단가!$C$4:$C$203,0)),"과세"))</f>
        <v/>
      </c>
      <c r="K1154" s="28" t="str">
        <f aca="false">IF(I1154="","",IF(J1154="과세",ROUND(I1154*0.1,0),0))</f>
        <v/>
      </c>
      <c r="L1154" s="28" t="str">
        <f aca="false">IF(I1154="","",I1154+K1154)</f>
        <v/>
      </c>
      <c r="M1154" s="10"/>
      <c r="N1154" s="80"/>
      <c r="O1154" s="80"/>
      <c r="P1154" s="59" t="str">
        <f aca="false">IF(E1154="","",IFERROR(INDEX(기본설정!$H$4:$H$14,MATCH(E1154,기본설정!$G$4:$G$14,0)),""))</f>
        <v/>
      </c>
    </row>
    <row r="1155" customFormat="false" ht="15" hidden="false" customHeight="false" outlineLevel="0" collapsed="false">
      <c r="A1155" s="73"/>
      <c r="B1155" s="10"/>
      <c r="C1155" s="80"/>
      <c r="D1155" s="80"/>
      <c r="E1155" s="81" t="str">
        <f aca="false">IF(D1155="","",IFERROR(INDEX(식자재단가!$B$4:$B$203,MATCH(D1155,식자재단가!$C$4:$C$203,0)),""))</f>
        <v/>
      </c>
      <c r="F1155" s="76"/>
      <c r="G1155" s="59" t="str">
        <f aca="false">IF(D1155="","",IFERROR(INDEX(식자재단가!$F$4:$F$203,MATCH(D1155,식자재단가!$C$4:$C$203,0)),""))</f>
        <v/>
      </c>
      <c r="H1155" s="50"/>
      <c r="I1155" s="82" t="str">
        <f aca="false">IF(OR(F1155="",H1155=""),"",F1155*H1155)</f>
        <v/>
      </c>
      <c r="J1155" s="83" t="str">
        <f aca="false">IF(D1155="","",IFERROR(INDEX(식자재단가!$M$4:$M$203,MATCH(D1155,식자재단가!$C$4:$C$203,0)),"과세"))</f>
        <v/>
      </c>
      <c r="K1155" s="28" t="str">
        <f aca="false">IF(I1155="","",IF(J1155="과세",ROUND(I1155*0.1,0),0))</f>
        <v/>
      </c>
      <c r="L1155" s="28" t="str">
        <f aca="false">IF(I1155="","",I1155+K1155)</f>
        <v/>
      </c>
      <c r="M1155" s="10"/>
      <c r="N1155" s="80"/>
      <c r="O1155" s="80"/>
      <c r="P1155" s="59" t="str">
        <f aca="false">IF(E1155="","",IFERROR(INDEX(기본설정!$H$4:$H$14,MATCH(E1155,기본설정!$G$4:$G$14,0)),""))</f>
        <v/>
      </c>
    </row>
    <row r="1156" customFormat="false" ht="15" hidden="false" customHeight="false" outlineLevel="0" collapsed="false">
      <c r="A1156" s="73"/>
      <c r="B1156" s="10"/>
      <c r="C1156" s="80"/>
      <c r="D1156" s="80"/>
      <c r="E1156" s="81" t="str">
        <f aca="false">IF(D1156="","",IFERROR(INDEX(식자재단가!$B$4:$B$203,MATCH(D1156,식자재단가!$C$4:$C$203,0)),""))</f>
        <v/>
      </c>
      <c r="F1156" s="76"/>
      <c r="G1156" s="59" t="str">
        <f aca="false">IF(D1156="","",IFERROR(INDEX(식자재단가!$F$4:$F$203,MATCH(D1156,식자재단가!$C$4:$C$203,0)),""))</f>
        <v/>
      </c>
      <c r="H1156" s="50"/>
      <c r="I1156" s="82" t="str">
        <f aca="false">IF(OR(F1156="",H1156=""),"",F1156*H1156)</f>
        <v/>
      </c>
      <c r="J1156" s="83" t="str">
        <f aca="false">IF(D1156="","",IFERROR(INDEX(식자재단가!$M$4:$M$203,MATCH(D1156,식자재단가!$C$4:$C$203,0)),"과세"))</f>
        <v/>
      </c>
      <c r="K1156" s="28" t="str">
        <f aca="false">IF(I1156="","",IF(J1156="과세",ROUND(I1156*0.1,0),0))</f>
        <v/>
      </c>
      <c r="L1156" s="28" t="str">
        <f aca="false">IF(I1156="","",I1156+K1156)</f>
        <v/>
      </c>
      <c r="M1156" s="10"/>
      <c r="N1156" s="80"/>
      <c r="O1156" s="80"/>
      <c r="P1156" s="59" t="str">
        <f aca="false">IF(E1156="","",IFERROR(INDEX(기본설정!$H$4:$H$14,MATCH(E1156,기본설정!$G$4:$G$14,0)),""))</f>
        <v/>
      </c>
    </row>
    <row r="1157" customFormat="false" ht="15" hidden="false" customHeight="false" outlineLevel="0" collapsed="false">
      <c r="A1157" s="73"/>
      <c r="B1157" s="10"/>
      <c r="C1157" s="80"/>
      <c r="D1157" s="80"/>
      <c r="E1157" s="81" t="str">
        <f aca="false">IF(D1157="","",IFERROR(INDEX(식자재단가!$B$4:$B$203,MATCH(D1157,식자재단가!$C$4:$C$203,0)),""))</f>
        <v/>
      </c>
      <c r="F1157" s="76"/>
      <c r="G1157" s="59" t="str">
        <f aca="false">IF(D1157="","",IFERROR(INDEX(식자재단가!$F$4:$F$203,MATCH(D1157,식자재단가!$C$4:$C$203,0)),""))</f>
        <v/>
      </c>
      <c r="H1157" s="50"/>
      <c r="I1157" s="82" t="str">
        <f aca="false">IF(OR(F1157="",H1157=""),"",F1157*H1157)</f>
        <v/>
      </c>
      <c r="J1157" s="83" t="str">
        <f aca="false">IF(D1157="","",IFERROR(INDEX(식자재단가!$M$4:$M$203,MATCH(D1157,식자재단가!$C$4:$C$203,0)),"과세"))</f>
        <v/>
      </c>
      <c r="K1157" s="28" t="str">
        <f aca="false">IF(I1157="","",IF(J1157="과세",ROUND(I1157*0.1,0),0))</f>
        <v/>
      </c>
      <c r="L1157" s="28" t="str">
        <f aca="false">IF(I1157="","",I1157+K1157)</f>
        <v/>
      </c>
      <c r="M1157" s="10"/>
      <c r="N1157" s="80"/>
      <c r="O1157" s="80"/>
      <c r="P1157" s="59" t="str">
        <f aca="false">IF(E1157="","",IFERROR(INDEX(기본설정!$H$4:$H$14,MATCH(E1157,기본설정!$G$4:$G$14,0)),""))</f>
        <v/>
      </c>
    </row>
    <row r="1158" customFormat="false" ht="15" hidden="false" customHeight="false" outlineLevel="0" collapsed="false">
      <c r="A1158" s="73"/>
      <c r="B1158" s="10"/>
      <c r="C1158" s="80"/>
      <c r="D1158" s="80"/>
      <c r="E1158" s="81" t="str">
        <f aca="false">IF(D1158="","",IFERROR(INDEX(식자재단가!$B$4:$B$203,MATCH(D1158,식자재단가!$C$4:$C$203,0)),""))</f>
        <v/>
      </c>
      <c r="F1158" s="76"/>
      <c r="G1158" s="59" t="str">
        <f aca="false">IF(D1158="","",IFERROR(INDEX(식자재단가!$F$4:$F$203,MATCH(D1158,식자재단가!$C$4:$C$203,0)),""))</f>
        <v/>
      </c>
      <c r="H1158" s="50"/>
      <c r="I1158" s="82" t="str">
        <f aca="false">IF(OR(F1158="",H1158=""),"",F1158*H1158)</f>
        <v/>
      </c>
      <c r="J1158" s="83" t="str">
        <f aca="false">IF(D1158="","",IFERROR(INDEX(식자재단가!$M$4:$M$203,MATCH(D1158,식자재단가!$C$4:$C$203,0)),"과세"))</f>
        <v/>
      </c>
      <c r="K1158" s="28" t="str">
        <f aca="false">IF(I1158="","",IF(J1158="과세",ROUND(I1158*0.1,0),0))</f>
        <v/>
      </c>
      <c r="L1158" s="28" t="str">
        <f aca="false">IF(I1158="","",I1158+K1158)</f>
        <v/>
      </c>
      <c r="M1158" s="10"/>
      <c r="N1158" s="80"/>
      <c r="O1158" s="80"/>
      <c r="P1158" s="59" t="str">
        <f aca="false">IF(E1158="","",IFERROR(INDEX(기본설정!$H$4:$H$14,MATCH(E1158,기본설정!$G$4:$G$14,0)),""))</f>
        <v/>
      </c>
    </row>
    <row r="1159" customFormat="false" ht="15" hidden="false" customHeight="false" outlineLevel="0" collapsed="false">
      <c r="A1159" s="73"/>
      <c r="B1159" s="10"/>
      <c r="C1159" s="80"/>
      <c r="D1159" s="80"/>
      <c r="E1159" s="81" t="str">
        <f aca="false">IF(D1159="","",IFERROR(INDEX(식자재단가!$B$4:$B$203,MATCH(D1159,식자재단가!$C$4:$C$203,0)),""))</f>
        <v/>
      </c>
      <c r="F1159" s="76"/>
      <c r="G1159" s="59" t="str">
        <f aca="false">IF(D1159="","",IFERROR(INDEX(식자재단가!$F$4:$F$203,MATCH(D1159,식자재단가!$C$4:$C$203,0)),""))</f>
        <v/>
      </c>
      <c r="H1159" s="50"/>
      <c r="I1159" s="82" t="str">
        <f aca="false">IF(OR(F1159="",H1159=""),"",F1159*H1159)</f>
        <v/>
      </c>
      <c r="J1159" s="83" t="str">
        <f aca="false">IF(D1159="","",IFERROR(INDEX(식자재단가!$M$4:$M$203,MATCH(D1159,식자재단가!$C$4:$C$203,0)),"과세"))</f>
        <v/>
      </c>
      <c r="K1159" s="28" t="str">
        <f aca="false">IF(I1159="","",IF(J1159="과세",ROUND(I1159*0.1,0),0))</f>
        <v/>
      </c>
      <c r="L1159" s="28" t="str">
        <f aca="false">IF(I1159="","",I1159+K1159)</f>
        <v/>
      </c>
      <c r="M1159" s="10"/>
      <c r="N1159" s="80"/>
      <c r="O1159" s="80"/>
      <c r="P1159" s="59" t="str">
        <f aca="false">IF(E1159="","",IFERROR(INDEX(기본설정!$H$4:$H$14,MATCH(E1159,기본설정!$G$4:$G$14,0)),""))</f>
        <v/>
      </c>
    </row>
    <row r="1160" customFormat="false" ht="15" hidden="false" customHeight="false" outlineLevel="0" collapsed="false">
      <c r="A1160" s="73"/>
      <c r="B1160" s="10"/>
      <c r="C1160" s="80"/>
      <c r="D1160" s="80"/>
      <c r="E1160" s="81" t="str">
        <f aca="false">IF(D1160="","",IFERROR(INDEX(식자재단가!$B$4:$B$203,MATCH(D1160,식자재단가!$C$4:$C$203,0)),""))</f>
        <v/>
      </c>
      <c r="F1160" s="76"/>
      <c r="G1160" s="59" t="str">
        <f aca="false">IF(D1160="","",IFERROR(INDEX(식자재단가!$F$4:$F$203,MATCH(D1160,식자재단가!$C$4:$C$203,0)),""))</f>
        <v/>
      </c>
      <c r="H1160" s="50"/>
      <c r="I1160" s="82" t="str">
        <f aca="false">IF(OR(F1160="",H1160=""),"",F1160*H1160)</f>
        <v/>
      </c>
      <c r="J1160" s="83" t="str">
        <f aca="false">IF(D1160="","",IFERROR(INDEX(식자재단가!$M$4:$M$203,MATCH(D1160,식자재단가!$C$4:$C$203,0)),"과세"))</f>
        <v/>
      </c>
      <c r="K1160" s="28" t="str">
        <f aca="false">IF(I1160="","",IF(J1160="과세",ROUND(I1160*0.1,0),0))</f>
        <v/>
      </c>
      <c r="L1160" s="28" t="str">
        <f aca="false">IF(I1160="","",I1160+K1160)</f>
        <v/>
      </c>
      <c r="M1160" s="10"/>
      <c r="N1160" s="80"/>
      <c r="O1160" s="80"/>
      <c r="P1160" s="59" t="str">
        <f aca="false">IF(E1160="","",IFERROR(INDEX(기본설정!$H$4:$H$14,MATCH(E1160,기본설정!$G$4:$G$14,0)),""))</f>
        <v/>
      </c>
    </row>
    <row r="1161" customFormat="false" ht="15" hidden="false" customHeight="false" outlineLevel="0" collapsed="false">
      <c r="A1161" s="73"/>
      <c r="B1161" s="10"/>
      <c r="C1161" s="80"/>
      <c r="D1161" s="80"/>
      <c r="E1161" s="81" t="str">
        <f aca="false">IF(D1161="","",IFERROR(INDEX(식자재단가!$B$4:$B$203,MATCH(D1161,식자재단가!$C$4:$C$203,0)),""))</f>
        <v/>
      </c>
      <c r="F1161" s="76"/>
      <c r="G1161" s="59" t="str">
        <f aca="false">IF(D1161="","",IFERROR(INDEX(식자재단가!$F$4:$F$203,MATCH(D1161,식자재단가!$C$4:$C$203,0)),""))</f>
        <v/>
      </c>
      <c r="H1161" s="50"/>
      <c r="I1161" s="82" t="str">
        <f aca="false">IF(OR(F1161="",H1161=""),"",F1161*H1161)</f>
        <v/>
      </c>
      <c r="J1161" s="83" t="str">
        <f aca="false">IF(D1161="","",IFERROR(INDEX(식자재단가!$M$4:$M$203,MATCH(D1161,식자재단가!$C$4:$C$203,0)),"과세"))</f>
        <v/>
      </c>
      <c r="K1161" s="28" t="str">
        <f aca="false">IF(I1161="","",IF(J1161="과세",ROUND(I1161*0.1,0),0))</f>
        <v/>
      </c>
      <c r="L1161" s="28" t="str">
        <f aca="false">IF(I1161="","",I1161+K1161)</f>
        <v/>
      </c>
      <c r="M1161" s="10"/>
      <c r="N1161" s="80"/>
      <c r="O1161" s="80"/>
      <c r="P1161" s="59" t="str">
        <f aca="false">IF(E1161="","",IFERROR(INDEX(기본설정!$H$4:$H$14,MATCH(E1161,기본설정!$G$4:$G$14,0)),""))</f>
        <v/>
      </c>
    </row>
    <row r="1162" customFormat="false" ht="15" hidden="false" customHeight="false" outlineLevel="0" collapsed="false">
      <c r="A1162" s="73"/>
      <c r="B1162" s="10"/>
      <c r="C1162" s="80"/>
      <c r="D1162" s="80"/>
      <c r="E1162" s="81" t="str">
        <f aca="false">IF(D1162="","",IFERROR(INDEX(식자재단가!$B$4:$B$203,MATCH(D1162,식자재단가!$C$4:$C$203,0)),""))</f>
        <v/>
      </c>
      <c r="F1162" s="76"/>
      <c r="G1162" s="59" t="str">
        <f aca="false">IF(D1162="","",IFERROR(INDEX(식자재단가!$F$4:$F$203,MATCH(D1162,식자재단가!$C$4:$C$203,0)),""))</f>
        <v/>
      </c>
      <c r="H1162" s="50"/>
      <c r="I1162" s="82" t="str">
        <f aca="false">IF(OR(F1162="",H1162=""),"",F1162*H1162)</f>
        <v/>
      </c>
      <c r="J1162" s="83" t="str">
        <f aca="false">IF(D1162="","",IFERROR(INDEX(식자재단가!$M$4:$M$203,MATCH(D1162,식자재단가!$C$4:$C$203,0)),"과세"))</f>
        <v/>
      </c>
      <c r="K1162" s="28" t="str">
        <f aca="false">IF(I1162="","",IF(J1162="과세",ROUND(I1162*0.1,0),0))</f>
        <v/>
      </c>
      <c r="L1162" s="28" t="str">
        <f aca="false">IF(I1162="","",I1162+K1162)</f>
        <v/>
      </c>
      <c r="M1162" s="10"/>
      <c r="N1162" s="80"/>
      <c r="O1162" s="80"/>
      <c r="P1162" s="59" t="str">
        <f aca="false">IF(E1162="","",IFERROR(INDEX(기본설정!$H$4:$H$14,MATCH(E1162,기본설정!$G$4:$G$14,0)),""))</f>
        <v/>
      </c>
    </row>
    <row r="1163" customFormat="false" ht="15" hidden="false" customHeight="false" outlineLevel="0" collapsed="false">
      <c r="A1163" s="73"/>
      <c r="B1163" s="10"/>
      <c r="C1163" s="80"/>
      <c r="D1163" s="80"/>
      <c r="E1163" s="81" t="str">
        <f aca="false">IF(D1163="","",IFERROR(INDEX(식자재단가!$B$4:$B$203,MATCH(D1163,식자재단가!$C$4:$C$203,0)),""))</f>
        <v/>
      </c>
      <c r="F1163" s="76"/>
      <c r="G1163" s="59" t="str">
        <f aca="false">IF(D1163="","",IFERROR(INDEX(식자재단가!$F$4:$F$203,MATCH(D1163,식자재단가!$C$4:$C$203,0)),""))</f>
        <v/>
      </c>
      <c r="H1163" s="50"/>
      <c r="I1163" s="82" t="str">
        <f aca="false">IF(OR(F1163="",H1163=""),"",F1163*H1163)</f>
        <v/>
      </c>
      <c r="J1163" s="83" t="str">
        <f aca="false">IF(D1163="","",IFERROR(INDEX(식자재단가!$M$4:$M$203,MATCH(D1163,식자재단가!$C$4:$C$203,0)),"과세"))</f>
        <v/>
      </c>
      <c r="K1163" s="28" t="str">
        <f aca="false">IF(I1163="","",IF(J1163="과세",ROUND(I1163*0.1,0),0))</f>
        <v/>
      </c>
      <c r="L1163" s="28" t="str">
        <f aca="false">IF(I1163="","",I1163+K1163)</f>
        <v/>
      </c>
      <c r="M1163" s="10"/>
      <c r="N1163" s="80"/>
      <c r="O1163" s="80"/>
      <c r="P1163" s="59" t="str">
        <f aca="false">IF(E1163="","",IFERROR(INDEX(기본설정!$H$4:$H$14,MATCH(E1163,기본설정!$G$4:$G$14,0)),""))</f>
        <v/>
      </c>
    </row>
    <row r="1164" customFormat="false" ht="15" hidden="false" customHeight="false" outlineLevel="0" collapsed="false">
      <c r="A1164" s="73"/>
      <c r="B1164" s="10"/>
      <c r="C1164" s="80"/>
      <c r="D1164" s="80"/>
      <c r="E1164" s="81" t="str">
        <f aca="false">IF(D1164="","",IFERROR(INDEX(식자재단가!$B$4:$B$203,MATCH(D1164,식자재단가!$C$4:$C$203,0)),""))</f>
        <v/>
      </c>
      <c r="F1164" s="76"/>
      <c r="G1164" s="59" t="str">
        <f aca="false">IF(D1164="","",IFERROR(INDEX(식자재단가!$F$4:$F$203,MATCH(D1164,식자재단가!$C$4:$C$203,0)),""))</f>
        <v/>
      </c>
      <c r="H1164" s="50"/>
      <c r="I1164" s="82" t="str">
        <f aca="false">IF(OR(F1164="",H1164=""),"",F1164*H1164)</f>
        <v/>
      </c>
      <c r="J1164" s="83" t="str">
        <f aca="false">IF(D1164="","",IFERROR(INDEX(식자재단가!$M$4:$M$203,MATCH(D1164,식자재단가!$C$4:$C$203,0)),"과세"))</f>
        <v/>
      </c>
      <c r="K1164" s="28" t="str">
        <f aca="false">IF(I1164="","",IF(J1164="과세",ROUND(I1164*0.1,0),0))</f>
        <v/>
      </c>
      <c r="L1164" s="28" t="str">
        <f aca="false">IF(I1164="","",I1164+K1164)</f>
        <v/>
      </c>
      <c r="M1164" s="10"/>
      <c r="N1164" s="80"/>
      <c r="O1164" s="80"/>
      <c r="P1164" s="59" t="str">
        <f aca="false">IF(E1164="","",IFERROR(INDEX(기본설정!$H$4:$H$14,MATCH(E1164,기본설정!$G$4:$G$14,0)),""))</f>
        <v/>
      </c>
    </row>
    <row r="1165" customFormat="false" ht="15" hidden="false" customHeight="false" outlineLevel="0" collapsed="false">
      <c r="A1165" s="73"/>
      <c r="B1165" s="10"/>
      <c r="C1165" s="80"/>
      <c r="D1165" s="80"/>
      <c r="E1165" s="81" t="str">
        <f aca="false">IF(D1165="","",IFERROR(INDEX(식자재단가!$B$4:$B$203,MATCH(D1165,식자재단가!$C$4:$C$203,0)),""))</f>
        <v/>
      </c>
      <c r="F1165" s="76"/>
      <c r="G1165" s="59" t="str">
        <f aca="false">IF(D1165="","",IFERROR(INDEX(식자재단가!$F$4:$F$203,MATCH(D1165,식자재단가!$C$4:$C$203,0)),""))</f>
        <v/>
      </c>
      <c r="H1165" s="50"/>
      <c r="I1165" s="82" t="str">
        <f aca="false">IF(OR(F1165="",H1165=""),"",F1165*H1165)</f>
        <v/>
      </c>
      <c r="J1165" s="83" t="str">
        <f aca="false">IF(D1165="","",IFERROR(INDEX(식자재단가!$M$4:$M$203,MATCH(D1165,식자재단가!$C$4:$C$203,0)),"과세"))</f>
        <v/>
      </c>
      <c r="K1165" s="28" t="str">
        <f aca="false">IF(I1165="","",IF(J1165="과세",ROUND(I1165*0.1,0),0))</f>
        <v/>
      </c>
      <c r="L1165" s="28" t="str">
        <f aca="false">IF(I1165="","",I1165+K1165)</f>
        <v/>
      </c>
      <c r="M1165" s="10"/>
      <c r="N1165" s="80"/>
      <c r="O1165" s="80"/>
      <c r="P1165" s="59" t="str">
        <f aca="false">IF(E1165="","",IFERROR(INDEX(기본설정!$H$4:$H$14,MATCH(E1165,기본설정!$G$4:$G$14,0)),""))</f>
        <v/>
      </c>
    </row>
    <row r="1166" customFormat="false" ht="15" hidden="false" customHeight="false" outlineLevel="0" collapsed="false">
      <c r="A1166" s="73"/>
      <c r="B1166" s="10"/>
      <c r="C1166" s="80"/>
      <c r="D1166" s="80"/>
      <c r="E1166" s="81" t="str">
        <f aca="false">IF(D1166="","",IFERROR(INDEX(식자재단가!$B$4:$B$203,MATCH(D1166,식자재단가!$C$4:$C$203,0)),""))</f>
        <v/>
      </c>
      <c r="F1166" s="76"/>
      <c r="G1166" s="59" t="str">
        <f aca="false">IF(D1166="","",IFERROR(INDEX(식자재단가!$F$4:$F$203,MATCH(D1166,식자재단가!$C$4:$C$203,0)),""))</f>
        <v/>
      </c>
      <c r="H1166" s="50"/>
      <c r="I1166" s="82" t="str">
        <f aca="false">IF(OR(F1166="",H1166=""),"",F1166*H1166)</f>
        <v/>
      </c>
      <c r="J1166" s="83" t="str">
        <f aca="false">IF(D1166="","",IFERROR(INDEX(식자재단가!$M$4:$M$203,MATCH(D1166,식자재단가!$C$4:$C$203,0)),"과세"))</f>
        <v/>
      </c>
      <c r="K1166" s="28" t="str">
        <f aca="false">IF(I1166="","",IF(J1166="과세",ROUND(I1166*0.1,0),0))</f>
        <v/>
      </c>
      <c r="L1166" s="28" t="str">
        <f aca="false">IF(I1166="","",I1166+K1166)</f>
        <v/>
      </c>
      <c r="M1166" s="10"/>
      <c r="N1166" s="80"/>
      <c r="O1166" s="80"/>
      <c r="P1166" s="59" t="str">
        <f aca="false">IF(E1166="","",IFERROR(INDEX(기본설정!$H$4:$H$14,MATCH(E1166,기본설정!$G$4:$G$14,0)),""))</f>
        <v/>
      </c>
    </row>
    <row r="1167" customFormat="false" ht="15" hidden="false" customHeight="false" outlineLevel="0" collapsed="false">
      <c r="A1167" s="73"/>
      <c r="B1167" s="10"/>
      <c r="C1167" s="80"/>
      <c r="D1167" s="80"/>
      <c r="E1167" s="81" t="str">
        <f aca="false">IF(D1167="","",IFERROR(INDEX(식자재단가!$B$4:$B$203,MATCH(D1167,식자재단가!$C$4:$C$203,0)),""))</f>
        <v/>
      </c>
      <c r="F1167" s="76"/>
      <c r="G1167" s="59" t="str">
        <f aca="false">IF(D1167="","",IFERROR(INDEX(식자재단가!$F$4:$F$203,MATCH(D1167,식자재단가!$C$4:$C$203,0)),""))</f>
        <v/>
      </c>
      <c r="H1167" s="50"/>
      <c r="I1167" s="82" t="str">
        <f aca="false">IF(OR(F1167="",H1167=""),"",F1167*H1167)</f>
        <v/>
      </c>
      <c r="J1167" s="83" t="str">
        <f aca="false">IF(D1167="","",IFERROR(INDEX(식자재단가!$M$4:$M$203,MATCH(D1167,식자재단가!$C$4:$C$203,0)),"과세"))</f>
        <v/>
      </c>
      <c r="K1167" s="28" t="str">
        <f aca="false">IF(I1167="","",IF(J1167="과세",ROUND(I1167*0.1,0),0))</f>
        <v/>
      </c>
      <c r="L1167" s="28" t="str">
        <f aca="false">IF(I1167="","",I1167+K1167)</f>
        <v/>
      </c>
      <c r="M1167" s="10"/>
      <c r="N1167" s="80"/>
      <c r="O1167" s="80"/>
      <c r="P1167" s="59" t="str">
        <f aca="false">IF(E1167="","",IFERROR(INDEX(기본설정!$H$4:$H$14,MATCH(E1167,기본설정!$G$4:$G$14,0)),""))</f>
        <v/>
      </c>
    </row>
    <row r="1168" customFormat="false" ht="15" hidden="false" customHeight="false" outlineLevel="0" collapsed="false">
      <c r="A1168" s="73"/>
      <c r="B1168" s="10"/>
      <c r="C1168" s="80"/>
      <c r="D1168" s="80"/>
      <c r="E1168" s="81" t="str">
        <f aca="false">IF(D1168="","",IFERROR(INDEX(식자재단가!$B$4:$B$203,MATCH(D1168,식자재단가!$C$4:$C$203,0)),""))</f>
        <v/>
      </c>
      <c r="F1168" s="76"/>
      <c r="G1168" s="59" t="str">
        <f aca="false">IF(D1168="","",IFERROR(INDEX(식자재단가!$F$4:$F$203,MATCH(D1168,식자재단가!$C$4:$C$203,0)),""))</f>
        <v/>
      </c>
      <c r="H1168" s="50"/>
      <c r="I1168" s="82" t="str">
        <f aca="false">IF(OR(F1168="",H1168=""),"",F1168*H1168)</f>
        <v/>
      </c>
      <c r="J1168" s="83" t="str">
        <f aca="false">IF(D1168="","",IFERROR(INDEX(식자재단가!$M$4:$M$203,MATCH(D1168,식자재단가!$C$4:$C$203,0)),"과세"))</f>
        <v/>
      </c>
      <c r="K1168" s="28" t="str">
        <f aca="false">IF(I1168="","",IF(J1168="과세",ROUND(I1168*0.1,0),0))</f>
        <v/>
      </c>
      <c r="L1168" s="28" t="str">
        <f aca="false">IF(I1168="","",I1168+K1168)</f>
        <v/>
      </c>
      <c r="M1168" s="10"/>
      <c r="N1168" s="80"/>
      <c r="O1168" s="80"/>
      <c r="P1168" s="59" t="str">
        <f aca="false">IF(E1168="","",IFERROR(INDEX(기본설정!$H$4:$H$14,MATCH(E1168,기본설정!$G$4:$G$14,0)),""))</f>
        <v/>
      </c>
    </row>
    <row r="1169" customFormat="false" ht="15" hidden="false" customHeight="false" outlineLevel="0" collapsed="false">
      <c r="A1169" s="73"/>
      <c r="B1169" s="10"/>
      <c r="C1169" s="80"/>
      <c r="D1169" s="80"/>
      <c r="E1169" s="81" t="str">
        <f aca="false">IF(D1169="","",IFERROR(INDEX(식자재단가!$B$4:$B$203,MATCH(D1169,식자재단가!$C$4:$C$203,0)),""))</f>
        <v/>
      </c>
      <c r="F1169" s="76"/>
      <c r="G1169" s="59" t="str">
        <f aca="false">IF(D1169="","",IFERROR(INDEX(식자재단가!$F$4:$F$203,MATCH(D1169,식자재단가!$C$4:$C$203,0)),""))</f>
        <v/>
      </c>
      <c r="H1169" s="50"/>
      <c r="I1169" s="82" t="str">
        <f aca="false">IF(OR(F1169="",H1169=""),"",F1169*H1169)</f>
        <v/>
      </c>
      <c r="J1169" s="83" t="str">
        <f aca="false">IF(D1169="","",IFERROR(INDEX(식자재단가!$M$4:$M$203,MATCH(D1169,식자재단가!$C$4:$C$203,0)),"과세"))</f>
        <v/>
      </c>
      <c r="K1169" s="28" t="str">
        <f aca="false">IF(I1169="","",IF(J1169="과세",ROUND(I1169*0.1,0),0))</f>
        <v/>
      </c>
      <c r="L1169" s="28" t="str">
        <f aca="false">IF(I1169="","",I1169+K1169)</f>
        <v/>
      </c>
      <c r="M1169" s="10"/>
      <c r="N1169" s="80"/>
      <c r="O1169" s="80"/>
      <c r="P1169" s="59" t="str">
        <f aca="false">IF(E1169="","",IFERROR(INDEX(기본설정!$H$4:$H$14,MATCH(E1169,기본설정!$G$4:$G$14,0)),""))</f>
        <v/>
      </c>
    </row>
    <row r="1170" customFormat="false" ht="15" hidden="false" customHeight="false" outlineLevel="0" collapsed="false">
      <c r="A1170" s="73"/>
      <c r="B1170" s="10"/>
      <c r="C1170" s="80"/>
      <c r="D1170" s="80"/>
      <c r="E1170" s="81" t="str">
        <f aca="false">IF(D1170="","",IFERROR(INDEX(식자재단가!$B$4:$B$203,MATCH(D1170,식자재단가!$C$4:$C$203,0)),""))</f>
        <v/>
      </c>
      <c r="F1170" s="76"/>
      <c r="G1170" s="59" t="str">
        <f aca="false">IF(D1170="","",IFERROR(INDEX(식자재단가!$F$4:$F$203,MATCH(D1170,식자재단가!$C$4:$C$203,0)),""))</f>
        <v/>
      </c>
      <c r="H1170" s="50"/>
      <c r="I1170" s="82" t="str">
        <f aca="false">IF(OR(F1170="",H1170=""),"",F1170*H1170)</f>
        <v/>
      </c>
      <c r="J1170" s="83" t="str">
        <f aca="false">IF(D1170="","",IFERROR(INDEX(식자재단가!$M$4:$M$203,MATCH(D1170,식자재단가!$C$4:$C$203,0)),"과세"))</f>
        <v/>
      </c>
      <c r="K1170" s="28" t="str">
        <f aca="false">IF(I1170="","",IF(J1170="과세",ROUND(I1170*0.1,0),0))</f>
        <v/>
      </c>
      <c r="L1170" s="28" t="str">
        <f aca="false">IF(I1170="","",I1170+K1170)</f>
        <v/>
      </c>
      <c r="M1170" s="10"/>
      <c r="N1170" s="80"/>
      <c r="O1170" s="80"/>
      <c r="P1170" s="59" t="str">
        <f aca="false">IF(E1170="","",IFERROR(INDEX(기본설정!$H$4:$H$14,MATCH(E1170,기본설정!$G$4:$G$14,0)),""))</f>
        <v/>
      </c>
    </row>
    <row r="1171" customFormat="false" ht="15" hidden="false" customHeight="false" outlineLevel="0" collapsed="false">
      <c r="A1171" s="73"/>
      <c r="B1171" s="10"/>
      <c r="C1171" s="80"/>
      <c r="D1171" s="80"/>
      <c r="E1171" s="81" t="str">
        <f aca="false">IF(D1171="","",IFERROR(INDEX(식자재단가!$B$4:$B$203,MATCH(D1171,식자재단가!$C$4:$C$203,0)),""))</f>
        <v/>
      </c>
      <c r="F1171" s="76"/>
      <c r="G1171" s="59" t="str">
        <f aca="false">IF(D1171="","",IFERROR(INDEX(식자재단가!$F$4:$F$203,MATCH(D1171,식자재단가!$C$4:$C$203,0)),""))</f>
        <v/>
      </c>
      <c r="H1171" s="50"/>
      <c r="I1171" s="82" t="str">
        <f aca="false">IF(OR(F1171="",H1171=""),"",F1171*H1171)</f>
        <v/>
      </c>
      <c r="J1171" s="83" t="str">
        <f aca="false">IF(D1171="","",IFERROR(INDEX(식자재단가!$M$4:$M$203,MATCH(D1171,식자재단가!$C$4:$C$203,0)),"과세"))</f>
        <v/>
      </c>
      <c r="K1171" s="28" t="str">
        <f aca="false">IF(I1171="","",IF(J1171="과세",ROUND(I1171*0.1,0),0))</f>
        <v/>
      </c>
      <c r="L1171" s="28" t="str">
        <f aca="false">IF(I1171="","",I1171+K1171)</f>
        <v/>
      </c>
      <c r="M1171" s="10"/>
      <c r="N1171" s="80"/>
      <c r="O1171" s="80"/>
      <c r="P1171" s="59" t="str">
        <f aca="false">IF(E1171="","",IFERROR(INDEX(기본설정!$H$4:$H$14,MATCH(E1171,기본설정!$G$4:$G$14,0)),""))</f>
        <v/>
      </c>
    </row>
    <row r="1172" customFormat="false" ht="15" hidden="false" customHeight="false" outlineLevel="0" collapsed="false">
      <c r="A1172" s="73"/>
      <c r="B1172" s="10"/>
      <c r="C1172" s="80"/>
      <c r="D1172" s="80"/>
      <c r="E1172" s="81" t="str">
        <f aca="false">IF(D1172="","",IFERROR(INDEX(식자재단가!$B$4:$B$203,MATCH(D1172,식자재단가!$C$4:$C$203,0)),""))</f>
        <v/>
      </c>
      <c r="F1172" s="76"/>
      <c r="G1172" s="59" t="str">
        <f aca="false">IF(D1172="","",IFERROR(INDEX(식자재단가!$F$4:$F$203,MATCH(D1172,식자재단가!$C$4:$C$203,0)),""))</f>
        <v/>
      </c>
      <c r="H1172" s="50"/>
      <c r="I1172" s="82" t="str">
        <f aca="false">IF(OR(F1172="",H1172=""),"",F1172*H1172)</f>
        <v/>
      </c>
      <c r="J1172" s="83" t="str">
        <f aca="false">IF(D1172="","",IFERROR(INDEX(식자재단가!$M$4:$M$203,MATCH(D1172,식자재단가!$C$4:$C$203,0)),"과세"))</f>
        <v/>
      </c>
      <c r="K1172" s="28" t="str">
        <f aca="false">IF(I1172="","",IF(J1172="과세",ROUND(I1172*0.1,0),0))</f>
        <v/>
      </c>
      <c r="L1172" s="28" t="str">
        <f aca="false">IF(I1172="","",I1172+K1172)</f>
        <v/>
      </c>
      <c r="M1172" s="10"/>
      <c r="N1172" s="80"/>
      <c r="O1172" s="80"/>
      <c r="P1172" s="59" t="str">
        <f aca="false">IF(E1172="","",IFERROR(INDEX(기본설정!$H$4:$H$14,MATCH(E1172,기본설정!$G$4:$G$14,0)),""))</f>
        <v/>
      </c>
    </row>
    <row r="1173" customFormat="false" ht="15" hidden="false" customHeight="false" outlineLevel="0" collapsed="false">
      <c r="A1173" s="73"/>
      <c r="B1173" s="10"/>
      <c r="C1173" s="80"/>
      <c r="D1173" s="80"/>
      <c r="E1173" s="81" t="str">
        <f aca="false">IF(D1173="","",IFERROR(INDEX(식자재단가!$B$4:$B$203,MATCH(D1173,식자재단가!$C$4:$C$203,0)),""))</f>
        <v/>
      </c>
      <c r="F1173" s="76"/>
      <c r="G1173" s="59" t="str">
        <f aca="false">IF(D1173="","",IFERROR(INDEX(식자재단가!$F$4:$F$203,MATCH(D1173,식자재단가!$C$4:$C$203,0)),""))</f>
        <v/>
      </c>
      <c r="H1173" s="50"/>
      <c r="I1173" s="82" t="str">
        <f aca="false">IF(OR(F1173="",H1173=""),"",F1173*H1173)</f>
        <v/>
      </c>
      <c r="J1173" s="83" t="str">
        <f aca="false">IF(D1173="","",IFERROR(INDEX(식자재단가!$M$4:$M$203,MATCH(D1173,식자재단가!$C$4:$C$203,0)),"과세"))</f>
        <v/>
      </c>
      <c r="K1173" s="28" t="str">
        <f aca="false">IF(I1173="","",IF(J1173="과세",ROUND(I1173*0.1,0),0))</f>
        <v/>
      </c>
      <c r="L1173" s="28" t="str">
        <f aca="false">IF(I1173="","",I1173+K1173)</f>
        <v/>
      </c>
      <c r="M1173" s="10"/>
      <c r="N1173" s="80"/>
      <c r="O1173" s="80"/>
      <c r="P1173" s="59" t="str">
        <f aca="false">IF(E1173="","",IFERROR(INDEX(기본설정!$H$4:$H$14,MATCH(E1173,기본설정!$G$4:$G$14,0)),""))</f>
        <v/>
      </c>
    </row>
    <row r="1174" customFormat="false" ht="15" hidden="false" customHeight="false" outlineLevel="0" collapsed="false">
      <c r="A1174" s="73"/>
      <c r="B1174" s="10"/>
      <c r="C1174" s="80"/>
      <c r="D1174" s="80"/>
      <c r="E1174" s="81" t="str">
        <f aca="false">IF(D1174="","",IFERROR(INDEX(식자재단가!$B$4:$B$203,MATCH(D1174,식자재단가!$C$4:$C$203,0)),""))</f>
        <v/>
      </c>
      <c r="F1174" s="76"/>
      <c r="G1174" s="59" t="str">
        <f aca="false">IF(D1174="","",IFERROR(INDEX(식자재단가!$F$4:$F$203,MATCH(D1174,식자재단가!$C$4:$C$203,0)),""))</f>
        <v/>
      </c>
      <c r="H1174" s="50"/>
      <c r="I1174" s="82" t="str">
        <f aca="false">IF(OR(F1174="",H1174=""),"",F1174*H1174)</f>
        <v/>
      </c>
      <c r="J1174" s="83" t="str">
        <f aca="false">IF(D1174="","",IFERROR(INDEX(식자재단가!$M$4:$M$203,MATCH(D1174,식자재단가!$C$4:$C$203,0)),"과세"))</f>
        <v/>
      </c>
      <c r="K1174" s="28" t="str">
        <f aca="false">IF(I1174="","",IF(J1174="과세",ROUND(I1174*0.1,0),0))</f>
        <v/>
      </c>
      <c r="L1174" s="28" t="str">
        <f aca="false">IF(I1174="","",I1174+K1174)</f>
        <v/>
      </c>
      <c r="M1174" s="10"/>
      <c r="N1174" s="80"/>
      <c r="O1174" s="80"/>
      <c r="P1174" s="59" t="str">
        <f aca="false">IF(E1174="","",IFERROR(INDEX(기본설정!$H$4:$H$14,MATCH(E1174,기본설정!$G$4:$G$14,0)),""))</f>
        <v/>
      </c>
    </row>
    <row r="1175" customFormat="false" ht="15" hidden="false" customHeight="false" outlineLevel="0" collapsed="false">
      <c r="A1175" s="73"/>
      <c r="B1175" s="10"/>
      <c r="C1175" s="80"/>
      <c r="D1175" s="80"/>
      <c r="E1175" s="81" t="str">
        <f aca="false">IF(D1175="","",IFERROR(INDEX(식자재단가!$B$4:$B$203,MATCH(D1175,식자재단가!$C$4:$C$203,0)),""))</f>
        <v/>
      </c>
      <c r="F1175" s="76"/>
      <c r="G1175" s="59" t="str">
        <f aca="false">IF(D1175="","",IFERROR(INDEX(식자재단가!$F$4:$F$203,MATCH(D1175,식자재단가!$C$4:$C$203,0)),""))</f>
        <v/>
      </c>
      <c r="H1175" s="50"/>
      <c r="I1175" s="82" t="str">
        <f aca="false">IF(OR(F1175="",H1175=""),"",F1175*H1175)</f>
        <v/>
      </c>
      <c r="J1175" s="83" t="str">
        <f aca="false">IF(D1175="","",IFERROR(INDEX(식자재단가!$M$4:$M$203,MATCH(D1175,식자재단가!$C$4:$C$203,0)),"과세"))</f>
        <v/>
      </c>
      <c r="K1175" s="28" t="str">
        <f aca="false">IF(I1175="","",IF(J1175="과세",ROUND(I1175*0.1,0),0))</f>
        <v/>
      </c>
      <c r="L1175" s="28" t="str">
        <f aca="false">IF(I1175="","",I1175+K1175)</f>
        <v/>
      </c>
      <c r="M1175" s="10"/>
      <c r="N1175" s="80"/>
      <c r="O1175" s="80"/>
      <c r="P1175" s="59" t="str">
        <f aca="false">IF(E1175="","",IFERROR(INDEX(기본설정!$H$4:$H$14,MATCH(E1175,기본설정!$G$4:$G$14,0)),""))</f>
        <v/>
      </c>
    </row>
    <row r="1176" customFormat="false" ht="15" hidden="false" customHeight="false" outlineLevel="0" collapsed="false">
      <c r="A1176" s="73"/>
      <c r="B1176" s="10"/>
      <c r="C1176" s="80"/>
      <c r="D1176" s="80"/>
      <c r="E1176" s="81" t="str">
        <f aca="false">IF(D1176="","",IFERROR(INDEX(식자재단가!$B$4:$B$203,MATCH(D1176,식자재단가!$C$4:$C$203,0)),""))</f>
        <v/>
      </c>
      <c r="F1176" s="76"/>
      <c r="G1176" s="59" t="str">
        <f aca="false">IF(D1176="","",IFERROR(INDEX(식자재단가!$F$4:$F$203,MATCH(D1176,식자재단가!$C$4:$C$203,0)),""))</f>
        <v/>
      </c>
      <c r="H1176" s="50"/>
      <c r="I1176" s="82" t="str">
        <f aca="false">IF(OR(F1176="",H1176=""),"",F1176*H1176)</f>
        <v/>
      </c>
      <c r="J1176" s="83" t="str">
        <f aca="false">IF(D1176="","",IFERROR(INDEX(식자재단가!$M$4:$M$203,MATCH(D1176,식자재단가!$C$4:$C$203,0)),"과세"))</f>
        <v/>
      </c>
      <c r="K1176" s="28" t="str">
        <f aca="false">IF(I1176="","",IF(J1176="과세",ROUND(I1176*0.1,0),0))</f>
        <v/>
      </c>
      <c r="L1176" s="28" t="str">
        <f aca="false">IF(I1176="","",I1176+K1176)</f>
        <v/>
      </c>
      <c r="M1176" s="10"/>
      <c r="N1176" s="80"/>
      <c r="O1176" s="80"/>
      <c r="P1176" s="59" t="str">
        <f aca="false">IF(E1176="","",IFERROR(INDEX(기본설정!$H$4:$H$14,MATCH(E1176,기본설정!$G$4:$G$14,0)),""))</f>
        <v/>
      </c>
    </row>
    <row r="1177" customFormat="false" ht="15" hidden="false" customHeight="false" outlineLevel="0" collapsed="false">
      <c r="A1177" s="73"/>
      <c r="B1177" s="10"/>
      <c r="C1177" s="80"/>
      <c r="D1177" s="80"/>
      <c r="E1177" s="81" t="str">
        <f aca="false">IF(D1177="","",IFERROR(INDEX(식자재단가!$B$4:$B$203,MATCH(D1177,식자재단가!$C$4:$C$203,0)),""))</f>
        <v/>
      </c>
      <c r="F1177" s="76"/>
      <c r="G1177" s="59" t="str">
        <f aca="false">IF(D1177="","",IFERROR(INDEX(식자재단가!$F$4:$F$203,MATCH(D1177,식자재단가!$C$4:$C$203,0)),""))</f>
        <v/>
      </c>
      <c r="H1177" s="50"/>
      <c r="I1177" s="82" t="str">
        <f aca="false">IF(OR(F1177="",H1177=""),"",F1177*H1177)</f>
        <v/>
      </c>
      <c r="J1177" s="83" t="str">
        <f aca="false">IF(D1177="","",IFERROR(INDEX(식자재단가!$M$4:$M$203,MATCH(D1177,식자재단가!$C$4:$C$203,0)),"과세"))</f>
        <v/>
      </c>
      <c r="K1177" s="28" t="str">
        <f aca="false">IF(I1177="","",IF(J1177="과세",ROUND(I1177*0.1,0),0))</f>
        <v/>
      </c>
      <c r="L1177" s="28" t="str">
        <f aca="false">IF(I1177="","",I1177+K1177)</f>
        <v/>
      </c>
      <c r="M1177" s="10"/>
      <c r="N1177" s="80"/>
      <c r="O1177" s="80"/>
      <c r="P1177" s="59" t="str">
        <f aca="false">IF(E1177="","",IFERROR(INDEX(기본설정!$H$4:$H$14,MATCH(E1177,기본설정!$G$4:$G$14,0)),""))</f>
        <v/>
      </c>
    </row>
    <row r="1178" customFormat="false" ht="15" hidden="false" customHeight="false" outlineLevel="0" collapsed="false">
      <c r="A1178" s="73"/>
      <c r="B1178" s="10"/>
      <c r="C1178" s="80"/>
      <c r="D1178" s="80"/>
      <c r="E1178" s="81" t="str">
        <f aca="false">IF(D1178="","",IFERROR(INDEX(식자재단가!$B$4:$B$203,MATCH(D1178,식자재단가!$C$4:$C$203,0)),""))</f>
        <v/>
      </c>
      <c r="F1178" s="76"/>
      <c r="G1178" s="59" t="str">
        <f aca="false">IF(D1178="","",IFERROR(INDEX(식자재단가!$F$4:$F$203,MATCH(D1178,식자재단가!$C$4:$C$203,0)),""))</f>
        <v/>
      </c>
      <c r="H1178" s="50"/>
      <c r="I1178" s="82" t="str">
        <f aca="false">IF(OR(F1178="",H1178=""),"",F1178*H1178)</f>
        <v/>
      </c>
      <c r="J1178" s="83" t="str">
        <f aca="false">IF(D1178="","",IFERROR(INDEX(식자재단가!$M$4:$M$203,MATCH(D1178,식자재단가!$C$4:$C$203,0)),"과세"))</f>
        <v/>
      </c>
      <c r="K1178" s="28" t="str">
        <f aca="false">IF(I1178="","",IF(J1178="과세",ROUND(I1178*0.1,0),0))</f>
        <v/>
      </c>
      <c r="L1178" s="28" t="str">
        <f aca="false">IF(I1178="","",I1178+K1178)</f>
        <v/>
      </c>
      <c r="M1178" s="10"/>
      <c r="N1178" s="80"/>
      <c r="O1178" s="80"/>
      <c r="P1178" s="59" t="str">
        <f aca="false">IF(E1178="","",IFERROR(INDEX(기본설정!$H$4:$H$14,MATCH(E1178,기본설정!$G$4:$G$14,0)),""))</f>
        <v/>
      </c>
    </row>
    <row r="1179" customFormat="false" ht="15" hidden="false" customHeight="false" outlineLevel="0" collapsed="false">
      <c r="A1179" s="73"/>
      <c r="B1179" s="10"/>
      <c r="C1179" s="80"/>
      <c r="D1179" s="80"/>
      <c r="E1179" s="81" t="str">
        <f aca="false">IF(D1179="","",IFERROR(INDEX(식자재단가!$B$4:$B$203,MATCH(D1179,식자재단가!$C$4:$C$203,0)),""))</f>
        <v/>
      </c>
      <c r="F1179" s="76"/>
      <c r="G1179" s="59" t="str">
        <f aca="false">IF(D1179="","",IFERROR(INDEX(식자재단가!$F$4:$F$203,MATCH(D1179,식자재단가!$C$4:$C$203,0)),""))</f>
        <v/>
      </c>
      <c r="H1179" s="50"/>
      <c r="I1179" s="82" t="str">
        <f aca="false">IF(OR(F1179="",H1179=""),"",F1179*H1179)</f>
        <v/>
      </c>
      <c r="J1179" s="83" t="str">
        <f aca="false">IF(D1179="","",IFERROR(INDEX(식자재단가!$M$4:$M$203,MATCH(D1179,식자재단가!$C$4:$C$203,0)),"과세"))</f>
        <v/>
      </c>
      <c r="K1179" s="28" t="str">
        <f aca="false">IF(I1179="","",IF(J1179="과세",ROUND(I1179*0.1,0),0))</f>
        <v/>
      </c>
      <c r="L1179" s="28" t="str">
        <f aca="false">IF(I1179="","",I1179+K1179)</f>
        <v/>
      </c>
      <c r="M1179" s="10"/>
      <c r="N1179" s="80"/>
      <c r="O1179" s="80"/>
      <c r="P1179" s="59" t="str">
        <f aca="false">IF(E1179="","",IFERROR(INDEX(기본설정!$H$4:$H$14,MATCH(E1179,기본설정!$G$4:$G$14,0)),""))</f>
        <v/>
      </c>
    </row>
    <row r="1180" customFormat="false" ht="15" hidden="false" customHeight="false" outlineLevel="0" collapsed="false">
      <c r="A1180" s="73"/>
      <c r="B1180" s="10"/>
      <c r="C1180" s="80"/>
      <c r="D1180" s="80"/>
      <c r="E1180" s="81" t="str">
        <f aca="false">IF(D1180="","",IFERROR(INDEX(식자재단가!$B$4:$B$203,MATCH(D1180,식자재단가!$C$4:$C$203,0)),""))</f>
        <v/>
      </c>
      <c r="F1180" s="76"/>
      <c r="G1180" s="59" t="str">
        <f aca="false">IF(D1180="","",IFERROR(INDEX(식자재단가!$F$4:$F$203,MATCH(D1180,식자재단가!$C$4:$C$203,0)),""))</f>
        <v/>
      </c>
      <c r="H1180" s="50"/>
      <c r="I1180" s="82" t="str">
        <f aca="false">IF(OR(F1180="",H1180=""),"",F1180*H1180)</f>
        <v/>
      </c>
      <c r="J1180" s="83" t="str">
        <f aca="false">IF(D1180="","",IFERROR(INDEX(식자재단가!$M$4:$M$203,MATCH(D1180,식자재단가!$C$4:$C$203,0)),"과세"))</f>
        <v/>
      </c>
      <c r="K1180" s="28" t="str">
        <f aca="false">IF(I1180="","",IF(J1180="과세",ROUND(I1180*0.1,0),0))</f>
        <v/>
      </c>
      <c r="L1180" s="28" t="str">
        <f aca="false">IF(I1180="","",I1180+K1180)</f>
        <v/>
      </c>
      <c r="M1180" s="10"/>
      <c r="N1180" s="80"/>
      <c r="O1180" s="80"/>
      <c r="P1180" s="59" t="str">
        <f aca="false">IF(E1180="","",IFERROR(INDEX(기본설정!$H$4:$H$14,MATCH(E1180,기본설정!$G$4:$G$14,0)),""))</f>
        <v/>
      </c>
    </row>
    <row r="1181" customFormat="false" ht="15" hidden="false" customHeight="false" outlineLevel="0" collapsed="false">
      <c r="A1181" s="73"/>
      <c r="B1181" s="10"/>
      <c r="C1181" s="80"/>
      <c r="D1181" s="80"/>
      <c r="E1181" s="81" t="str">
        <f aca="false">IF(D1181="","",IFERROR(INDEX(식자재단가!$B$4:$B$203,MATCH(D1181,식자재단가!$C$4:$C$203,0)),""))</f>
        <v/>
      </c>
      <c r="F1181" s="76"/>
      <c r="G1181" s="59" t="str">
        <f aca="false">IF(D1181="","",IFERROR(INDEX(식자재단가!$F$4:$F$203,MATCH(D1181,식자재단가!$C$4:$C$203,0)),""))</f>
        <v/>
      </c>
      <c r="H1181" s="50"/>
      <c r="I1181" s="82" t="str">
        <f aca="false">IF(OR(F1181="",H1181=""),"",F1181*H1181)</f>
        <v/>
      </c>
      <c r="J1181" s="83" t="str">
        <f aca="false">IF(D1181="","",IFERROR(INDEX(식자재단가!$M$4:$M$203,MATCH(D1181,식자재단가!$C$4:$C$203,0)),"과세"))</f>
        <v/>
      </c>
      <c r="K1181" s="28" t="str">
        <f aca="false">IF(I1181="","",IF(J1181="과세",ROUND(I1181*0.1,0),0))</f>
        <v/>
      </c>
      <c r="L1181" s="28" t="str">
        <f aca="false">IF(I1181="","",I1181+K1181)</f>
        <v/>
      </c>
      <c r="M1181" s="10"/>
      <c r="N1181" s="80"/>
      <c r="O1181" s="80"/>
      <c r="P1181" s="59" t="str">
        <f aca="false">IF(E1181="","",IFERROR(INDEX(기본설정!$H$4:$H$14,MATCH(E1181,기본설정!$G$4:$G$14,0)),""))</f>
        <v/>
      </c>
    </row>
    <row r="1182" customFormat="false" ht="15" hidden="false" customHeight="false" outlineLevel="0" collapsed="false">
      <c r="A1182" s="73"/>
      <c r="B1182" s="10"/>
      <c r="C1182" s="80"/>
      <c r="D1182" s="80"/>
      <c r="E1182" s="81" t="str">
        <f aca="false">IF(D1182="","",IFERROR(INDEX(식자재단가!$B$4:$B$203,MATCH(D1182,식자재단가!$C$4:$C$203,0)),""))</f>
        <v/>
      </c>
      <c r="F1182" s="76"/>
      <c r="G1182" s="59" t="str">
        <f aca="false">IF(D1182="","",IFERROR(INDEX(식자재단가!$F$4:$F$203,MATCH(D1182,식자재단가!$C$4:$C$203,0)),""))</f>
        <v/>
      </c>
      <c r="H1182" s="50"/>
      <c r="I1182" s="82" t="str">
        <f aca="false">IF(OR(F1182="",H1182=""),"",F1182*H1182)</f>
        <v/>
      </c>
      <c r="J1182" s="83" t="str">
        <f aca="false">IF(D1182="","",IFERROR(INDEX(식자재단가!$M$4:$M$203,MATCH(D1182,식자재단가!$C$4:$C$203,0)),"과세"))</f>
        <v/>
      </c>
      <c r="K1182" s="28" t="str">
        <f aca="false">IF(I1182="","",IF(J1182="과세",ROUND(I1182*0.1,0),0))</f>
        <v/>
      </c>
      <c r="L1182" s="28" t="str">
        <f aca="false">IF(I1182="","",I1182+K1182)</f>
        <v/>
      </c>
      <c r="M1182" s="10"/>
      <c r="N1182" s="80"/>
      <c r="O1182" s="80"/>
      <c r="P1182" s="59" t="str">
        <f aca="false">IF(E1182="","",IFERROR(INDEX(기본설정!$H$4:$H$14,MATCH(E1182,기본설정!$G$4:$G$14,0)),""))</f>
        <v/>
      </c>
    </row>
    <row r="1183" customFormat="false" ht="15" hidden="false" customHeight="false" outlineLevel="0" collapsed="false">
      <c r="A1183" s="73"/>
      <c r="B1183" s="10"/>
      <c r="C1183" s="80"/>
      <c r="D1183" s="80"/>
      <c r="E1183" s="81" t="str">
        <f aca="false">IF(D1183="","",IFERROR(INDEX(식자재단가!$B$4:$B$203,MATCH(D1183,식자재단가!$C$4:$C$203,0)),""))</f>
        <v/>
      </c>
      <c r="F1183" s="76"/>
      <c r="G1183" s="59" t="str">
        <f aca="false">IF(D1183="","",IFERROR(INDEX(식자재단가!$F$4:$F$203,MATCH(D1183,식자재단가!$C$4:$C$203,0)),""))</f>
        <v/>
      </c>
      <c r="H1183" s="50"/>
      <c r="I1183" s="82" t="str">
        <f aca="false">IF(OR(F1183="",H1183=""),"",F1183*H1183)</f>
        <v/>
      </c>
      <c r="J1183" s="83" t="str">
        <f aca="false">IF(D1183="","",IFERROR(INDEX(식자재단가!$M$4:$M$203,MATCH(D1183,식자재단가!$C$4:$C$203,0)),"과세"))</f>
        <v/>
      </c>
      <c r="K1183" s="28" t="str">
        <f aca="false">IF(I1183="","",IF(J1183="과세",ROUND(I1183*0.1,0),0))</f>
        <v/>
      </c>
      <c r="L1183" s="28" t="str">
        <f aca="false">IF(I1183="","",I1183+K1183)</f>
        <v/>
      </c>
      <c r="M1183" s="10"/>
      <c r="N1183" s="80"/>
      <c r="O1183" s="80"/>
      <c r="P1183" s="59" t="str">
        <f aca="false">IF(E1183="","",IFERROR(INDEX(기본설정!$H$4:$H$14,MATCH(E1183,기본설정!$G$4:$G$14,0)),""))</f>
        <v/>
      </c>
    </row>
    <row r="1184" customFormat="false" ht="15" hidden="false" customHeight="false" outlineLevel="0" collapsed="false">
      <c r="A1184" s="73"/>
      <c r="B1184" s="10"/>
      <c r="C1184" s="80"/>
      <c r="D1184" s="80"/>
      <c r="E1184" s="81" t="str">
        <f aca="false">IF(D1184="","",IFERROR(INDEX(식자재단가!$B$4:$B$203,MATCH(D1184,식자재단가!$C$4:$C$203,0)),""))</f>
        <v/>
      </c>
      <c r="F1184" s="76"/>
      <c r="G1184" s="59" t="str">
        <f aca="false">IF(D1184="","",IFERROR(INDEX(식자재단가!$F$4:$F$203,MATCH(D1184,식자재단가!$C$4:$C$203,0)),""))</f>
        <v/>
      </c>
      <c r="H1184" s="50"/>
      <c r="I1184" s="82" t="str">
        <f aca="false">IF(OR(F1184="",H1184=""),"",F1184*H1184)</f>
        <v/>
      </c>
      <c r="J1184" s="83" t="str">
        <f aca="false">IF(D1184="","",IFERROR(INDEX(식자재단가!$M$4:$M$203,MATCH(D1184,식자재단가!$C$4:$C$203,0)),"과세"))</f>
        <v/>
      </c>
      <c r="K1184" s="28" t="str">
        <f aca="false">IF(I1184="","",IF(J1184="과세",ROUND(I1184*0.1,0),0))</f>
        <v/>
      </c>
      <c r="L1184" s="28" t="str">
        <f aca="false">IF(I1184="","",I1184+K1184)</f>
        <v/>
      </c>
      <c r="M1184" s="10"/>
      <c r="N1184" s="80"/>
      <c r="O1184" s="80"/>
      <c r="P1184" s="59" t="str">
        <f aca="false">IF(E1184="","",IFERROR(INDEX(기본설정!$H$4:$H$14,MATCH(E1184,기본설정!$G$4:$G$14,0)),""))</f>
        <v/>
      </c>
    </row>
    <row r="1185" customFormat="false" ht="15" hidden="false" customHeight="false" outlineLevel="0" collapsed="false">
      <c r="A1185" s="73"/>
      <c r="B1185" s="10"/>
      <c r="C1185" s="80"/>
      <c r="D1185" s="80"/>
      <c r="E1185" s="81" t="str">
        <f aca="false">IF(D1185="","",IFERROR(INDEX(식자재단가!$B$4:$B$203,MATCH(D1185,식자재단가!$C$4:$C$203,0)),""))</f>
        <v/>
      </c>
      <c r="F1185" s="76"/>
      <c r="G1185" s="59" t="str">
        <f aca="false">IF(D1185="","",IFERROR(INDEX(식자재단가!$F$4:$F$203,MATCH(D1185,식자재단가!$C$4:$C$203,0)),""))</f>
        <v/>
      </c>
      <c r="H1185" s="50"/>
      <c r="I1185" s="82" t="str">
        <f aca="false">IF(OR(F1185="",H1185=""),"",F1185*H1185)</f>
        <v/>
      </c>
      <c r="J1185" s="83" t="str">
        <f aca="false">IF(D1185="","",IFERROR(INDEX(식자재단가!$M$4:$M$203,MATCH(D1185,식자재단가!$C$4:$C$203,0)),"과세"))</f>
        <v/>
      </c>
      <c r="K1185" s="28" t="str">
        <f aca="false">IF(I1185="","",IF(J1185="과세",ROUND(I1185*0.1,0),0))</f>
        <v/>
      </c>
      <c r="L1185" s="28" t="str">
        <f aca="false">IF(I1185="","",I1185+K1185)</f>
        <v/>
      </c>
      <c r="M1185" s="10"/>
      <c r="N1185" s="80"/>
      <c r="O1185" s="80"/>
      <c r="P1185" s="59" t="str">
        <f aca="false">IF(E1185="","",IFERROR(INDEX(기본설정!$H$4:$H$14,MATCH(E1185,기본설정!$G$4:$G$14,0)),""))</f>
        <v/>
      </c>
    </row>
    <row r="1186" customFormat="false" ht="15" hidden="false" customHeight="false" outlineLevel="0" collapsed="false">
      <c r="A1186" s="73"/>
      <c r="B1186" s="10"/>
      <c r="C1186" s="80"/>
      <c r="D1186" s="80"/>
      <c r="E1186" s="81" t="str">
        <f aca="false">IF(D1186="","",IFERROR(INDEX(식자재단가!$B$4:$B$203,MATCH(D1186,식자재단가!$C$4:$C$203,0)),""))</f>
        <v/>
      </c>
      <c r="F1186" s="76"/>
      <c r="G1186" s="59" t="str">
        <f aca="false">IF(D1186="","",IFERROR(INDEX(식자재단가!$F$4:$F$203,MATCH(D1186,식자재단가!$C$4:$C$203,0)),""))</f>
        <v/>
      </c>
      <c r="H1186" s="50"/>
      <c r="I1186" s="82" t="str">
        <f aca="false">IF(OR(F1186="",H1186=""),"",F1186*H1186)</f>
        <v/>
      </c>
      <c r="J1186" s="83" t="str">
        <f aca="false">IF(D1186="","",IFERROR(INDEX(식자재단가!$M$4:$M$203,MATCH(D1186,식자재단가!$C$4:$C$203,0)),"과세"))</f>
        <v/>
      </c>
      <c r="K1186" s="28" t="str">
        <f aca="false">IF(I1186="","",IF(J1186="과세",ROUND(I1186*0.1,0),0))</f>
        <v/>
      </c>
      <c r="L1186" s="28" t="str">
        <f aca="false">IF(I1186="","",I1186+K1186)</f>
        <v/>
      </c>
      <c r="M1186" s="10"/>
      <c r="N1186" s="80"/>
      <c r="O1186" s="80"/>
      <c r="P1186" s="59" t="str">
        <f aca="false">IF(E1186="","",IFERROR(INDEX(기본설정!$H$4:$H$14,MATCH(E1186,기본설정!$G$4:$G$14,0)),""))</f>
        <v/>
      </c>
    </row>
    <row r="1187" customFormat="false" ht="15" hidden="false" customHeight="false" outlineLevel="0" collapsed="false">
      <c r="A1187" s="73"/>
      <c r="B1187" s="10"/>
      <c r="C1187" s="80"/>
      <c r="D1187" s="80"/>
      <c r="E1187" s="81" t="str">
        <f aca="false">IF(D1187="","",IFERROR(INDEX(식자재단가!$B$4:$B$203,MATCH(D1187,식자재단가!$C$4:$C$203,0)),""))</f>
        <v/>
      </c>
      <c r="F1187" s="76"/>
      <c r="G1187" s="59" t="str">
        <f aca="false">IF(D1187="","",IFERROR(INDEX(식자재단가!$F$4:$F$203,MATCH(D1187,식자재단가!$C$4:$C$203,0)),""))</f>
        <v/>
      </c>
      <c r="H1187" s="50"/>
      <c r="I1187" s="82" t="str">
        <f aca="false">IF(OR(F1187="",H1187=""),"",F1187*H1187)</f>
        <v/>
      </c>
      <c r="J1187" s="83" t="str">
        <f aca="false">IF(D1187="","",IFERROR(INDEX(식자재단가!$M$4:$M$203,MATCH(D1187,식자재단가!$C$4:$C$203,0)),"과세"))</f>
        <v/>
      </c>
      <c r="K1187" s="28" t="str">
        <f aca="false">IF(I1187="","",IF(J1187="과세",ROUND(I1187*0.1,0),0))</f>
        <v/>
      </c>
      <c r="L1187" s="28" t="str">
        <f aca="false">IF(I1187="","",I1187+K1187)</f>
        <v/>
      </c>
      <c r="M1187" s="10"/>
      <c r="N1187" s="80"/>
      <c r="O1187" s="80"/>
      <c r="P1187" s="59" t="str">
        <f aca="false">IF(E1187="","",IFERROR(INDEX(기본설정!$H$4:$H$14,MATCH(E1187,기본설정!$G$4:$G$14,0)),""))</f>
        <v/>
      </c>
    </row>
    <row r="1188" customFormat="false" ht="15" hidden="false" customHeight="false" outlineLevel="0" collapsed="false">
      <c r="A1188" s="73"/>
      <c r="B1188" s="10"/>
      <c r="C1188" s="80"/>
      <c r="D1188" s="80"/>
      <c r="E1188" s="81" t="str">
        <f aca="false">IF(D1188="","",IFERROR(INDEX(식자재단가!$B$4:$B$203,MATCH(D1188,식자재단가!$C$4:$C$203,0)),""))</f>
        <v/>
      </c>
      <c r="F1188" s="76"/>
      <c r="G1188" s="59" t="str">
        <f aca="false">IF(D1188="","",IFERROR(INDEX(식자재단가!$F$4:$F$203,MATCH(D1188,식자재단가!$C$4:$C$203,0)),""))</f>
        <v/>
      </c>
      <c r="H1188" s="50"/>
      <c r="I1188" s="82" t="str">
        <f aca="false">IF(OR(F1188="",H1188=""),"",F1188*H1188)</f>
        <v/>
      </c>
      <c r="J1188" s="83" t="str">
        <f aca="false">IF(D1188="","",IFERROR(INDEX(식자재단가!$M$4:$M$203,MATCH(D1188,식자재단가!$C$4:$C$203,0)),"과세"))</f>
        <v/>
      </c>
      <c r="K1188" s="28" t="str">
        <f aca="false">IF(I1188="","",IF(J1188="과세",ROUND(I1188*0.1,0),0))</f>
        <v/>
      </c>
      <c r="L1188" s="28" t="str">
        <f aca="false">IF(I1188="","",I1188+K1188)</f>
        <v/>
      </c>
      <c r="M1188" s="10"/>
      <c r="N1188" s="80"/>
      <c r="O1188" s="80"/>
      <c r="P1188" s="59" t="str">
        <f aca="false">IF(E1188="","",IFERROR(INDEX(기본설정!$H$4:$H$14,MATCH(E1188,기본설정!$G$4:$G$14,0)),""))</f>
        <v/>
      </c>
    </row>
    <row r="1189" customFormat="false" ht="15" hidden="false" customHeight="false" outlineLevel="0" collapsed="false">
      <c r="A1189" s="73"/>
      <c r="B1189" s="10"/>
      <c r="C1189" s="80"/>
      <c r="D1189" s="80"/>
      <c r="E1189" s="81" t="str">
        <f aca="false">IF(D1189="","",IFERROR(INDEX(식자재단가!$B$4:$B$203,MATCH(D1189,식자재단가!$C$4:$C$203,0)),""))</f>
        <v/>
      </c>
      <c r="F1189" s="76"/>
      <c r="G1189" s="59" t="str">
        <f aca="false">IF(D1189="","",IFERROR(INDEX(식자재단가!$F$4:$F$203,MATCH(D1189,식자재단가!$C$4:$C$203,0)),""))</f>
        <v/>
      </c>
      <c r="H1189" s="50"/>
      <c r="I1189" s="82" t="str">
        <f aca="false">IF(OR(F1189="",H1189=""),"",F1189*H1189)</f>
        <v/>
      </c>
      <c r="J1189" s="83" t="str">
        <f aca="false">IF(D1189="","",IFERROR(INDEX(식자재단가!$M$4:$M$203,MATCH(D1189,식자재단가!$C$4:$C$203,0)),"과세"))</f>
        <v/>
      </c>
      <c r="K1189" s="28" t="str">
        <f aca="false">IF(I1189="","",IF(J1189="과세",ROUND(I1189*0.1,0),0))</f>
        <v/>
      </c>
      <c r="L1189" s="28" t="str">
        <f aca="false">IF(I1189="","",I1189+K1189)</f>
        <v/>
      </c>
      <c r="M1189" s="10"/>
      <c r="N1189" s="80"/>
      <c r="O1189" s="80"/>
      <c r="P1189" s="59" t="str">
        <f aca="false">IF(E1189="","",IFERROR(INDEX(기본설정!$H$4:$H$14,MATCH(E1189,기본설정!$G$4:$G$14,0)),""))</f>
        <v/>
      </c>
    </row>
    <row r="1190" customFormat="false" ht="15" hidden="false" customHeight="false" outlineLevel="0" collapsed="false">
      <c r="A1190" s="73"/>
      <c r="B1190" s="10"/>
      <c r="C1190" s="80"/>
      <c r="D1190" s="80"/>
      <c r="E1190" s="81" t="str">
        <f aca="false">IF(D1190="","",IFERROR(INDEX(식자재단가!$B$4:$B$203,MATCH(D1190,식자재단가!$C$4:$C$203,0)),""))</f>
        <v/>
      </c>
      <c r="F1190" s="76"/>
      <c r="G1190" s="59" t="str">
        <f aca="false">IF(D1190="","",IFERROR(INDEX(식자재단가!$F$4:$F$203,MATCH(D1190,식자재단가!$C$4:$C$203,0)),""))</f>
        <v/>
      </c>
      <c r="H1190" s="50"/>
      <c r="I1190" s="82" t="str">
        <f aca="false">IF(OR(F1190="",H1190=""),"",F1190*H1190)</f>
        <v/>
      </c>
      <c r="J1190" s="83" t="str">
        <f aca="false">IF(D1190="","",IFERROR(INDEX(식자재단가!$M$4:$M$203,MATCH(D1190,식자재단가!$C$4:$C$203,0)),"과세"))</f>
        <v/>
      </c>
      <c r="K1190" s="28" t="str">
        <f aca="false">IF(I1190="","",IF(J1190="과세",ROUND(I1190*0.1,0),0))</f>
        <v/>
      </c>
      <c r="L1190" s="28" t="str">
        <f aca="false">IF(I1190="","",I1190+K1190)</f>
        <v/>
      </c>
      <c r="M1190" s="10"/>
      <c r="N1190" s="80"/>
      <c r="O1190" s="80"/>
      <c r="P1190" s="59" t="str">
        <f aca="false">IF(E1190="","",IFERROR(INDEX(기본설정!$H$4:$H$14,MATCH(E1190,기본설정!$G$4:$G$14,0)),""))</f>
        <v/>
      </c>
    </row>
    <row r="1191" customFormat="false" ht="15" hidden="false" customHeight="false" outlineLevel="0" collapsed="false">
      <c r="A1191" s="73"/>
      <c r="B1191" s="10"/>
      <c r="C1191" s="80"/>
      <c r="D1191" s="80"/>
      <c r="E1191" s="81" t="str">
        <f aca="false">IF(D1191="","",IFERROR(INDEX(식자재단가!$B$4:$B$203,MATCH(D1191,식자재단가!$C$4:$C$203,0)),""))</f>
        <v/>
      </c>
      <c r="F1191" s="76"/>
      <c r="G1191" s="59" t="str">
        <f aca="false">IF(D1191="","",IFERROR(INDEX(식자재단가!$F$4:$F$203,MATCH(D1191,식자재단가!$C$4:$C$203,0)),""))</f>
        <v/>
      </c>
      <c r="H1191" s="50"/>
      <c r="I1191" s="82" t="str">
        <f aca="false">IF(OR(F1191="",H1191=""),"",F1191*H1191)</f>
        <v/>
      </c>
      <c r="J1191" s="83" t="str">
        <f aca="false">IF(D1191="","",IFERROR(INDEX(식자재단가!$M$4:$M$203,MATCH(D1191,식자재단가!$C$4:$C$203,0)),"과세"))</f>
        <v/>
      </c>
      <c r="K1191" s="28" t="str">
        <f aca="false">IF(I1191="","",IF(J1191="과세",ROUND(I1191*0.1,0),0))</f>
        <v/>
      </c>
      <c r="L1191" s="28" t="str">
        <f aca="false">IF(I1191="","",I1191+K1191)</f>
        <v/>
      </c>
      <c r="M1191" s="10"/>
      <c r="N1191" s="80"/>
      <c r="O1191" s="80"/>
      <c r="P1191" s="59" t="str">
        <f aca="false">IF(E1191="","",IFERROR(INDEX(기본설정!$H$4:$H$14,MATCH(E1191,기본설정!$G$4:$G$14,0)),""))</f>
        <v/>
      </c>
    </row>
    <row r="1192" customFormat="false" ht="15" hidden="false" customHeight="false" outlineLevel="0" collapsed="false">
      <c r="A1192" s="73"/>
      <c r="B1192" s="10"/>
      <c r="C1192" s="80"/>
      <c r="D1192" s="80"/>
      <c r="E1192" s="81" t="str">
        <f aca="false">IF(D1192="","",IFERROR(INDEX(식자재단가!$B$4:$B$203,MATCH(D1192,식자재단가!$C$4:$C$203,0)),""))</f>
        <v/>
      </c>
      <c r="F1192" s="76"/>
      <c r="G1192" s="59" t="str">
        <f aca="false">IF(D1192="","",IFERROR(INDEX(식자재단가!$F$4:$F$203,MATCH(D1192,식자재단가!$C$4:$C$203,0)),""))</f>
        <v/>
      </c>
      <c r="H1192" s="50"/>
      <c r="I1192" s="82" t="str">
        <f aca="false">IF(OR(F1192="",H1192=""),"",F1192*H1192)</f>
        <v/>
      </c>
      <c r="J1192" s="83" t="str">
        <f aca="false">IF(D1192="","",IFERROR(INDEX(식자재단가!$M$4:$M$203,MATCH(D1192,식자재단가!$C$4:$C$203,0)),"과세"))</f>
        <v/>
      </c>
      <c r="K1192" s="28" t="str">
        <f aca="false">IF(I1192="","",IF(J1192="과세",ROUND(I1192*0.1,0),0))</f>
        <v/>
      </c>
      <c r="L1192" s="28" t="str">
        <f aca="false">IF(I1192="","",I1192+K1192)</f>
        <v/>
      </c>
      <c r="M1192" s="10"/>
      <c r="N1192" s="80"/>
      <c r="O1192" s="80"/>
      <c r="P1192" s="59" t="str">
        <f aca="false">IF(E1192="","",IFERROR(INDEX(기본설정!$H$4:$H$14,MATCH(E1192,기본설정!$G$4:$G$14,0)),""))</f>
        <v/>
      </c>
    </row>
    <row r="1193" customFormat="false" ht="15" hidden="false" customHeight="false" outlineLevel="0" collapsed="false">
      <c r="A1193" s="73"/>
      <c r="B1193" s="10"/>
      <c r="C1193" s="80"/>
      <c r="D1193" s="80"/>
      <c r="E1193" s="81" t="str">
        <f aca="false">IF(D1193="","",IFERROR(INDEX(식자재단가!$B$4:$B$203,MATCH(D1193,식자재단가!$C$4:$C$203,0)),""))</f>
        <v/>
      </c>
      <c r="F1193" s="76"/>
      <c r="G1193" s="59" t="str">
        <f aca="false">IF(D1193="","",IFERROR(INDEX(식자재단가!$F$4:$F$203,MATCH(D1193,식자재단가!$C$4:$C$203,0)),""))</f>
        <v/>
      </c>
      <c r="H1193" s="50"/>
      <c r="I1193" s="82" t="str">
        <f aca="false">IF(OR(F1193="",H1193=""),"",F1193*H1193)</f>
        <v/>
      </c>
      <c r="J1193" s="83" t="str">
        <f aca="false">IF(D1193="","",IFERROR(INDEX(식자재단가!$M$4:$M$203,MATCH(D1193,식자재단가!$C$4:$C$203,0)),"과세"))</f>
        <v/>
      </c>
      <c r="K1193" s="28" t="str">
        <f aca="false">IF(I1193="","",IF(J1193="과세",ROUND(I1193*0.1,0),0))</f>
        <v/>
      </c>
      <c r="L1193" s="28" t="str">
        <f aca="false">IF(I1193="","",I1193+K1193)</f>
        <v/>
      </c>
      <c r="M1193" s="10"/>
      <c r="N1193" s="80"/>
      <c r="O1193" s="80"/>
      <c r="P1193" s="59" t="str">
        <f aca="false">IF(E1193="","",IFERROR(INDEX(기본설정!$H$4:$H$14,MATCH(E1193,기본설정!$G$4:$G$14,0)),""))</f>
        <v/>
      </c>
    </row>
    <row r="1194" customFormat="false" ht="15" hidden="false" customHeight="false" outlineLevel="0" collapsed="false">
      <c r="A1194" s="73"/>
      <c r="B1194" s="10"/>
      <c r="C1194" s="80"/>
      <c r="D1194" s="80"/>
      <c r="E1194" s="81" t="str">
        <f aca="false">IF(D1194="","",IFERROR(INDEX(식자재단가!$B$4:$B$203,MATCH(D1194,식자재단가!$C$4:$C$203,0)),""))</f>
        <v/>
      </c>
      <c r="F1194" s="76"/>
      <c r="G1194" s="59" t="str">
        <f aca="false">IF(D1194="","",IFERROR(INDEX(식자재단가!$F$4:$F$203,MATCH(D1194,식자재단가!$C$4:$C$203,0)),""))</f>
        <v/>
      </c>
      <c r="H1194" s="50"/>
      <c r="I1194" s="82" t="str">
        <f aca="false">IF(OR(F1194="",H1194=""),"",F1194*H1194)</f>
        <v/>
      </c>
      <c r="J1194" s="83" t="str">
        <f aca="false">IF(D1194="","",IFERROR(INDEX(식자재단가!$M$4:$M$203,MATCH(D1194,식자재단가!$C$4:$C$203,0)),"과세"))</f>
        <v/>
      </c>
      <c r="K1194" s="28" t="str">
        <f aca="false">IF(I1194="","",IF(J1194="과세",ROUND(I1194*0.1,0),0))</f>
        <v/>
      </c>
      <c r="L1194" s="28" t="str">
        <f aca="false">IF(I1194="","",I1194+K1194)</f>
        <v/>
      </c>
      <c r="M1194" s="10"/>
      <c r="N1194" s="80"/>
      <c r="O1194" s="80"/>
      <c r="P1194" s="59" t="str">
        <f aca="false">IF(E1194="","",IFERROR(INDEX(기본설정!$H$4:$H$14,MATCH(E1194,기본설정!$G$4:$G$14,0)),""))</f>
        <v/>
      </c>
    </row>
    <row r="1195" customFormat="false" ht="15" hidden="false" customHeight="false" outlineLevel="0" collapsed="false">
      <c r="A1195" s="73"/>
      <c r="B1195" s="10"/>
      <c r="C1195" s="80"/>
      <c r="D1195" s="80"/>
      <c r="E1195" s="81" t="str">
        <f aca="false">IF(D1195="","",IFERROR(INDEX(식자재단가!$B$4:$B$203,MATCH(D1195,식자재단가!$C$4:$C$203,0)),""))</f>
        <v/>
      </c>
      <c r="F1195" s="76"/>
      <c r="G1195" s="59" t="str">
        <f aca="false">IF(D1195="","",IFERROR(INDEX(식자재단가!$F$4:$F$203,MATCH(D1195,식자재단가!$C$4:$C$203,0)),""))</f>
        <v/>
      </c>
      <c r="H1195" s="50"/>
      <c r="I1195" s="82" t="str">
        <f aca="false">IF(OR(F1195="",H1195=""),"",F1195*H1195)</f>
        <v/>
      </c>
      <c r="J1195" s="83" t="str">
        <f aca="false">IF(D1195="","",IFERROR(INDEX(식자재단가!$M$4:$M$203,MATCH(D1195,식자재단가!$C$4:$C$203,0)),"과세"))</f>
        <v/>
      </c>
      <c r="K1195" s="28" t="str">
        <f aca="false">IF(I1195="","",IF(J1195="과세",ROUND(I1195*0.1,0),0))</f>
        <v/>
      </c>
      <c r="L1195" s="28" t="str">
        <f aca="false">IF(I1195="","",I1195+K1195)</f>
        <v/>
      </c>
      <c r="M1195" s="10"/>
      <c r="N1195" s="80"/>
      <c r="O1195" s="80"/>
      <c r="P1195" s="59" t="str">
        <f aca="false">IF(E1195="","",IFERROR(INDEX(기본설정!$H$4:$H$14,MATCH(E1195,기본설정!$G$4:$G$14,0)),""))</f>
        <v/>
      </c>
    </row>
    <row r="1196" customFormat="false" ht="15" hidden="false" customHeight="false" outlineLevel="0" collapsed="false">
      <c r="A1196" s="73"/>
      <c r="B1196" s="10"/>
      <c r="C1196" s="80"/>
      <c r="D1196" s="80"/>
      <c r="E1196" s="81" t="str">
        <f aca="false">IF(D1196="","",IFERROR(INDEX(식자재단가!$B$4:$B$203,MATCH(D1196,식자재단가!$C$4:$C$203,0)),""))</f>
        <v/>
      </c>
      <c r="F1196" s="76"/>
      <c r="G1196" s="59" t="str">
        <f aca="false">IF(D1196="","",IFERROR(INDEX(식자재단가!$F$4:$F$203,MATCH(D1196,식자재단가!$C$4:$C$203,0)),""))</f>
        <v/>
      </c>
      <c r="H1196" s="50"/>
      <c r="I1196" s="82" t="str">
        <f aca="false">IF(OR(F1196="",H1196=""),"",F1196*H1196)</f>
        <v/>
      </c>
      <c r="J1196" s="83" t="str">
        <f aca="false">IF(D1196="","",IFERROR(INDEX(식자재단가!$M$4:$M$203,MATCH(D1196,식자재단가!$C$4:$C$203,0)),"과세"))</f>
        <v/>
      </c>
      <c r="K1196" s="28" t="str">
        <f aca="false">IF(I1196="","",IF(J1196="과세",ROUND(I1196*0.1,0),0))</f>
        <v/>
      </c>
      <c r="L1196" s="28" t="str">
        <f aca="false">IF(I1196="","",I1196+K1196)</f>
        <v/>
      </c>
      <c r="M1196" s="10"/>
      <c r="N1196" s="80"/>
      <c r="O1196" s="80"/>
      <c r="P1196" s="59" t="str">
        <f aca="false">IF(E1196="","",IFERROR(INDEX(기본설정!$H$4:$H$14,MATCH(E1196,기본설정!$G$4:$G$14,0)),""))</f>
        <v/>
      </c>
    </row>
    <row r="1197" customFormat="false" ht="15" hidden="false" customHeight="false" outlineLevel="0" collapsed="false">
      <c r="A1197" s="73"/>
      <c r="B1197" s="10"/>
      <c r="C1197" s="80"/>
      <c r="D1197" s="80"/>
      <c r="E1197" s="81" t="str">
        <f aca="false">IF(D1197="","",IFERROR(INDEX(식자재단가!$B$4:$B$203,MATCH(D1197,식자재단가!$C$4:$C$203,0)),""))</f>
        <v/>
      </c>
      <c r="F1197" s="76"/>
      <c r="G1197" s="59" t="str">
        <f aca="false">IF(D1197="","",IFERROR(INDEX(식자재단가!$F$4:$F$203,MATCH(D1197,식자재단가!$C$4:$C$203,0)),""))</f>
        <v/>
      </c>
      <c r="H1197" s="50"/>
      <c r="I1197" s="82" t="str">
        <f aca="false">IF(OR(F1197="",H1197=""),"",F1197*H1197)</f>
        <v/>
      </c>
      <c r="J1197" s="83" t="str">
        <f aca="false">IF(D1197="","",IFERROR(INDEX(식자재단가!$M$4:$M$203,MATCH(D1197,식자재단가!$C$4:$C$203,0)),"과세"))</f>
        <v/>
      </c>
      <c r="K1197" s="28" t="str">
        <f aca="false">IF(I1197="","",IF(J1197="과세",ROUND(I1197*0.1,0),0))</f>
        <v/>
      </c>
      <c r="L1197" s="28" t="str">
        <f aca="false">IF(I1197="","",I1197+K1197)</f>
        <v/>
      </c>
      <c r="M1197" s="10"/>
      <c r="N1197" s="80"/>
      <c r="O1197" s="80"/>
      <c r="P1197" s="59" t="str">
        <f aca="false">IF(E1197="","",IFERROR(INDEX(기본설정!$H$4:$H$14,MATCH(E1197,기본설정!$G$4:$G$14,0)),""))</f>
        <v/>
      </c>
    </row>
    <row r="1198" customFormat="false" ht="15" hidden="false" customHeight="false" outlineLevel="0" collapsed="false">
      <c r="A1198" s="73"/>
      <c r="B1198" s="10"/>
      <c r="C1198" s="80"/>
      <c r="D1198" s="80"/>
      <c r="E1198" s="81" t="str">
        <f aca="false">IF(D1198="","",IFERROR(INDEX(식자재단가!$B$4:$B$203,MATCH(D1198,식자재단가!$C$4:$C$203,0)),""))</f>
        <v/>
      </c>
      <c r="F1198" s="76"/>
      <c r="G1198" s="59" t="str">
        <f aca="false">IF(D1198="","",IFERROR(INDEX(식자재단가!$F$4:$F$203,MATCH(D1198,식자재단가!$C$4:$C$203,0)),""))</f>
        <v/>
      </c>
      <c r="H1198" s="50"/>
      <c r="I1198" s="82" t="str">
        <f aca="false">IF(OR(F1198="",H1198=""),"",F1198*H1198)</f>
        <v/>
      </c>
      <c r="J1198" s="83" t="str">
        <f aca="false">IF(D1198="","",IFERROR(INDEX(식자재단가!$M$4:$M$203,MATCH(D1198,식자재단가!$C$4:$C$203,0)),"과세"))</f>
        <v/>
      </c>
      <c r="K1198" s="28" t="str">
        <f aca="false">IF(I1198="","",IF(J1198="과세",ROUND(I1198*0.1,0),0))</f>
        <v/>
      </c>
      <c r="L1198" s="28" t="str">
        <f aca="false">IF(I1198="","",I1198+K1198)</f>
        <v/>
      </c>
      <c r="M1198" s="10"/>
      <c r="N1198" s="80"/>
      <c r="O1198" s="80"/>
      <c r="P1198" s="59" t="str">
        <f aca="false">IF(E1198="","",IFERROR(INDEX(기본설정!$H$4:$H$14,MATCH(E1198,기본설정!$G$4:$G$14,0)),""))</f>
        <v/>
      </c>
    </row>
    <row r="1199" customFormat="false" ht="15" hidden="false" customHeight="false" outlineLevel="0" collapsed="false">
      <c r="A1199" s="73"/>
      <c r="B1199" s="10"/>
      <c r="C1199" s="80"/>
      <c r="D1199" s="80"/>
      <c r="E1199" s="81" t="str">
        <f aca="false">IF(D1199="","",IFERROR(INDEX(식자재단가!$B$4:$B$203,MATCH(D1199,식자재단가!$C$4:$C$203,0)),""))</f>
        <v/>
      </c>
      <c r="F1199" s="76"/>
      <c r="G1199" s="59" t="str">
        <f aca="false">IF(D1199="","",IFERROR(INDEX(식자재단가!$F$4:$F$203,MATCH(D1199,식자재단가!$C$4:$C$203,0)),""))</f>
        <v/>
      </c>
      <c r="H1199" s="50"/>
      <c r="I1199" s="82" t="str">
        <f aca="false">IF(OR(F1199="",H1199=""),"",F1199*H1199)</f>
        <v/>
      </c>
      <c r="J1199" s="83" t="str">
        <f aca="false">IF(D1199="","",IFERROR(INDEX(식자재단가!$M$4:$M$203,MATCH(D1199,식자재단가!$C$4:$C$203,0)),"과세"))</f>
        <v/>
      </c>
      <c r="K1199" s="28" t="str">
        <f aca="false">IF(I1199="","",IF(J1199="과세",ROUND(I1199*0.1,0),0))</f>
        <v/>
      </c>
      <c r="L1199" s="28" t="str">
        <f aca="false">IF(I1199="","",I1199+K1199)</f>
        <v/>
      </c>
      <c r="M1199" s="10"/>
      <c r="N1199" s="80"/>
      <c r="O1199" s="80"/>
      <c r="P1199" s="59" t="str">
        <f aca="false">IF(E1199="","",IFERROR(INDEX(기본설정!$H$4:$H$14,MATCH(E1199,기본설정!$G$4:$G$14,0)),""))</f>
        <v/>
      </c>
    </row>
    <row r="1200" customFormat="false" ht="15" hidden="false" customHeight="false" outlineLevel="0" collapsed="false">
      <c r="A1200" s="73"/>
      <c r="B1200" s="10"/>
      <c r="C1200" s="80"/>
      <c r="D1200" s="80"/>
      <c r="E1200" s="81" t="str">
        <f aca="false">IF(D1200="","",IFERROR(INDEX(식자재단가!$B$4:$B$203,MATCH(D1200,식자재단가!$C$4:$C$203,0)),""))</f>
        <v/>
      </c>
      <c r="F1200" s="76"/>
      <c r="G1200" s="59" t="str">
        <f aca="false">IF(D1200="","",IFERROR(INDEX(식자재단가!$F$4:$F$203,MATCH(D1200,식자재단가!$C$4:$C$203,0)),""))</f>
        <v/>
      </c>
      <c r="H1200" s="50"/>
      <c r="I1200" s="82" t="str">
        <f aca="false">IF(OR(F1200="",H1200=""),"",F1200*H1200)</f>
        <v/>
      </c>
      <c r="J1200" s="83" t="str">
        <f aca="false">IF(D1200="","",IFERROR(INDEX(식자재단가!$M$4:$M$203,MATCH(D1200,식자재단가!$C$4:$C$203,0)),"과세"))</f>
        <v/>
      </c>
      <c r="K1200" s="28" t="str">
        <f aca="false">IF(I1200="","",IF(J1200="과세",ROUND(I1200*0.1,0),0))</f>
        <v/>
      </c>
      <c r="L1200" s="28" t="str">
        <f aca="false">IF(I1200="","",I1200+K1200)</f>
        <v/>
      </c>
      <c r="M1200" s="10"/>
      <c r="N1200" s="80"/>
      <c r="O1200" s="80"/>
      <c r="P1200" s="59" t="str">
        <f aca="false">IF(E1200="","",IFERROR(INDEX(기본설정!$H$4:$H$14,MATCH(E1200,기본설정!$G$4:$G$14,0)),""))</f>
        <v/>
      </c>
    </row>
    <row r="1201" customFormat="false" ht="15" hidden="false" customHeight="false" outlineLevel="0" collapsed="false">
      <c r="A1201" s="73"/>
      <c r="B1201" s="10"/>
      <c r="C1201" s="80"/>
      <c r="D1201" s="80"/>
      <c r="E1201" s="81" t="str">
        <f aca="false">IF(D1201="","",IFERROR(INDEX(식자재단가!$B$4:$B$203,MATCH(D1201,식자재단가!$C$4:$C$203,0)),""))</f>
        <v/>
      </c>
      <c r="F1201" s="76"/>
      <c r="G1201" s="59" t="str">
        <f aca="false">IF(D1201="","",IFERROR(INDEX(식자재단가!$F$4:$F$203,MATCH(D1201,식자재단가!$C$4:$C$203,0)),""))</f>
        <v/>
      </c>
      <c r="H1201" s="50"/>
      <c r="I1201" s="82" t="str">
        <f aca="false">IF(OR(F1201="",H1201=""),"",F1201*H1201)</f>
        <v/>
      </c>
      <c r="J1201" s="83" t="str">
        <f aca="false">IF(D1201="","",IFERROR(INDEX(식자재단가!$M$4:$M$203,MATCH(D1201,식자재단가!$C$4:$C$203,0)),"과세"))</f>
        <v/>
      </c>
      <c r="K1201" s="28" t="str">
        <f aca="false">IF(I1201="","",IF(J1201="과세",ROUND(I1201*0.1,0),0))</f>
        <v/>
      </c>
      <c r="L1201" s="28" t="str">
        <f aca="false">IF(I1201="","",I1201+K1201)</f>
        <v/>
      </c>
      <c r="M1201" s="10"/>
      <c r="N1201" s="80"/>
      <c r="O1201" s="80"/>
      <c r="P1201" s="59" t="str">
        <f aca="false">IF(E1201="","",IFERROR(INDEX(기본설정!$H$4:$H$14,MATCH(E1201,기본설정!$G$4:$G$14,0)),""))</f>
        <v/>
      </c>
    </row>
    <row r="1202" customFormat="false" ht="15" hidden="false" customHeight="false" outlineLevel="0" collapsed="false">
      <c r="A1202" s="73"/>
      <c r="B1202" s="10"/>
      <c r="C1202" s="80"/>
      <c r="D1202" s="80"/>
      <c r="E1202" s="81" t="str">
        <f aca="false">IF(D1202="","",IFERROR(INDEX(식자재단가!$B$4:$B$203,MATCH(D1202,식자재단가!$C$4:$C$203,0)),""))</f>
        <v/>
      </c>
      <c r="F1202" s="76"/>
      <c r="G1202" s="59" t="str">
        <f aca="false">IF(D1202="","",IFERROR(INDEX(식자재단가!$F$4:$F$203,MATCH(D1202,식자재단가!$C$4:$C$203,0)),""))</f>
        <v/>
      </c>
      <c r="H1202" s="50"/>
      <c r="I1202" s="82" t="str">
        <f aca="false">IF(OR(F1202="",H1202=""),"",F1202*H1202)</f>
        <v/>
      </c>
      <c r="J1202" s="83" t="str">
        <f aca="false">IF(D1202="","",IFERROR(INDEX(식자재단가!$M$4:$M$203,MATCH(D1202,식자재단가!$C$4:$C$203,0)),"과세"))</f>
        <v/>
      </c>
      <c r="K1202" s="28" t="str">
        <f aca="false">IF(I1202="","",IF(J1202="과세",ROUND(I1202*0.1,0),0))</f>
        <v/>
      </c>
      <c r="L1202" s="28" t="str">
        <f aca="false">IF(I1202="","",I1202+K1202)</f>
        <v/>
      </c>
      <c r="M1202" s="10"/>
      <c r="N1202" s="80"/>
      <c r="O1202" s="80"/>
      <c r="P1202" s="59" t="str">
        <f aca="false">IF(E1202="","",IFERROR(INDEX(기본설정!$H$4:$H$14,MATCH(E1202,기본설정!$G$4:$G$14,0)),""))</f>
        <v/>
      </c>
    </row>
    <row r="1203" customFormat="false" ht="15" hidden="false" customHeight="false" outlineLevel="0" collapsed="false">
      <c r="A1203" s="73"/>
      <c r="B1203" s="10"/>
      <c r="C1203" s="80"/>
      <c r="D1203" s="80"/>
      <c r="E1203" s="81" t="str">
        <f aca="false">IF(D1203="","",IFERROR(INDEX(식자재단가!$B$4:$B$203,MATCH(D1203,식자재단가!$C$4:$C$203,0)),""))</f>
        <v/>
      </c>
      <c r="F1203" s="76"/>
      <c r="G1203" s="59" t="str">
        <f aca="false">IF(D1203="","",IFERROR(INDEX(식자재단가!$F$4:$F$203,MATCH(D1203,식자재단가!$C$4:$C$203,0)),""))</f>
        <v/>
      </c>
      <c r="H1203" s="50"/>
      <c r="I1203" s="82" t="str">
        <f aca="false">IF(OR(F1203="",H1203=""),"",F1203*H1203)</f>
        <v/>
      </c>
      <c r="J1203" s="83" t="str">
        <f aca="false">IF(D1203="","",IFERROR(INDEX(식자재단가!$M$4:$M$203,MATCH(D1203,식자재단가!$C$4:$C$203,0)),"과세"))</f>
        <v/>
      </c>
      <c r="K1203" s="28" t="str">
        <f aca="false">IF(I1203="","",IF(J1203="과세",ROUND(I1203*0.1,0),0))</f>
        <v/>
      </c>
      <c r="L1203" s="28" t="str">
        <f aca="false">IF(I1203="","",I1203+K1203)</f>
        <v/>
      </c>
      <c r="M1203" s="10"/>
      <c r="N1203" s="80"/>
      <c r="O1203" s="80"/>
      <c r="P1203" s="59" t="str">
        <f aca="false">IF(E1203="","",IFERROR(INDEX(기본설정!$H$4:$H$14,MATCH(E1203,기본설정!$G$4:$G$14,0)),""))</f>
        <v/>
      </c>
    </row>
    <row r="1204" customFormat="false" ht="15" hidden="false" customHeight="false" outlineLevel="0" collapsed="false">
      <c r="A1204" s="73"/>
      <c r="B1204" s="10"/>
      <c r="C1204" s="80"/>
      <c r="D1204" s="80"/>
      <c r="E1204" s="81" t="str">
        <f aca="false">IF(D1204="","",IFERROR(INDEX(식자재단가!$B$4:$B$203,MATCH(D1204,식자재단가!$C$4:$C$203,0)),""))</f>
        <v/>
      </c>
      <c r="F1204" s="76"/>
      <c r="G1204" s="59" t="str">
        <f aca="false">IF(D1204="","",IFERROR(INDEX(식자재단가!$F$4:$F$203,MATCH(D1204,식자재단가!$C$4:$C$203,0)),""))</f>
        <v/>
      </c>
      <c r="H1204" s="50"/>
      <c r="I1204" s="82" t="str">
        <f aca="false">IF(OR(F1204="",H1204=""),"",F1204*H1204)</f>
        <v/>
      </c>
      <c r="J1204" s="83" t="str">
        <f aca="false">IF(D1204="","",IFERROR(INDEX(식자재단가!$M$4:$M$203,MATCH(D1204,식자재단가!$C$4:$C$203,0)),"과세"))</f>
        <v/>
      </c>
      <c r="K1204" s="28" t="str">
        <f aca="false">IF(I1204="","",IF(J1204="과세",ROUND(I1204*0.1,0),0))</f>
        <v/>
      </c>
      <c r="L1204" s="28" t="str">
        <f aca="false">IF(I1204="","",I1204+K1204)</f>
        <v/>
      </c>
      <c r="M1204" s="10"/>
      <c r="N1204" s="80"/>
      <c r="O1204" s="80"/>
      <c r="P1204" s="59" t="str">
        <f aca="false">IF(E1204="","",IFERROR(INDEX(기본설정!$H$4:$H$14,MATCH(E1204,기본설정!$G$4:$G$14,0)),""))</f>
        <v/>
      </c>
    </row>
    <row r="1205" customFormat="false" ht="15" hidden="false" customHeight="false" outlineLevel="0" collapsed="false">
      <c r="A1205" s="73"/>
      <c r="B1205" s="10"/>
      <c r="C1205" s="80"/>
      <c r="D1205" s="80"/>
      <c r="E1205" s="81" t="str">
        <f aca="false">IF(D1205="","",IFERROR(INDEX(식자재단가!$B$4:$B$203,MATCH(D1205,식자재단가!$C$4:$C$203,0)),""))</f>
        <v/>
      </c>
      <c r="F1205" s="76"/>
      <c r="G1205" s="59" t="str">
        <f aca="false">IF(D1205="","",IFERROR(INDEX(식자재단가!$F$4:$F$203,MATCH(D1205,식자재단가!$C$4:$C$203,0)),""))</f>
        <v/>
      </c>
      <c r="H1205" s="50"/>
      <c r="I1205" s="82" t="str">
        <f aca="false">IF(OR(F1205="",H1205=""),"",F1205*H1205)</f>
        <v/>
      </c>
      <c r="J1205" s="83" t="str">
        <f aca="false">IF(D1205="","",IFERROR(INDEX(식자재단가!$M$4:$M$203,MATCH(D1205,식자재단가!$C$4:$C$203,0)),"과세"))</f>
        <v/>
      </c>
      <c r="K1205" s="28" t="str">
        <f aca="false">IF(I1205="","",IF(J1205="과세",ROUND(I1205*0.1,0),0))</f>
        <v/>
      </c>
      <c r="L1205" s="28" t="str">
        <f aca="false">IF(I1205="","",I1205+K1205)</f>
        <v/>
      </c>
      <c r="M1205" s="10"/>
      <c r="N1205" s="80"/>
      <c r="O1205" s="80"/>
      <c r="P1205" s="59" t="str">
        <f aca="false">IF(E1205="","",IFERROR(INDEX(기본설정!$H$4:$H$14,MATCH(E1205,기본설정!$G$4:$G$14,0)),""))</f>
        <v/>
      </c>
    </row>
    <row r="1206" customFormat="false" ht="15" hidden="false" customHeight="false" outlineLevel="0" collapsed="false">
      <c r="A1206" s="73"/>
      <c r="B1206" s="10"/>
      <c r="C1206" s="80"/>
      <c r="D1206" s="80"/>
      <c r="E1206" s="81" t="str">
        <f aca="false">IF(D1206="","",IFERROR(INDEX(식자재단가!$B$4:$B$203,MATCH(D1206,식자재단가!$C$4:$C$203,0)),""))</f>
        <v/>
      </c>
      <c r="F1206" s="76"/>
      <c r="G1206" s="59" t="str">
        <f aca="false">IF(D1206="","",IFERROR(INDEX(식자재단가!$F$4:$F$203,MATCH(D1206,식자재단가!$C$4:$C$203,0)),""))</f>
        <v/>
      </c>
      <c r="H1206" s="50"/>
      <c r="I1206" s="82" t="str">
        <f aca="false">IF(OR(F1206="",H1206=""),"",F1206*H1206)</f>
        <v/>
      </c>
      <c r="J1206" s="83" t="str">
        <f aca="false">IF(D1206="","",IFERROR(INDEX(식자재단가!$M$4:$M$203,MATCH(D1206,식자재단가!$C$4:$C$203,0)),"과세"))</f>
        <v/>
      </c>
      <c r="K1206" s="28" t="str">
        <f aca="false">IF(I1206="","",IF(J1206="과세",ROUND(I1206*0.1,0),0))</f>
        <v/>
      </c>
      <c r="L1206" s="28" t="str">
        <f aca="false">IF(I1206="","",I1206+K1206)</f>
        <v/>
      </c>
      <c r="M1206" s="10"/>
      <c r="N1206" s="80"/>
      <c r="O1206" s="80"/>
      <c r="P1206" s="59" t="str">
        <f aca="false">IF(E1206="","",IFERROR(INDEX(기본설정!$H$4:$H$14,MATCH(E1206,기본설정!$G$4:$G$14,0)),""))</f>
        <v/>
      </c>
    </row>
    <row r="1207" customFormat="false" ht="15" hidden="false" customHeight="false" outlineLevel="0" collapsed="false">
      <c r="A1207" s="73"/>
      <c r="B1207" s="10"/>
      <c r="C1207" s="80"/>
      <c r="D1207" s="80"/>
      <c r="E1207" s="81" t="str">
        <f aca="false">IF(D1207="","",IFERROR(INDEX(식자재단가!$B$4:$B$203,MATCH(D1207,식자재단가!$C$4:$C$203,0)),""))</f>
        <v/>
      </c>
      <c r="F1207" s="76"/>
      <c r="G1207" s="59" t="str">
        <f aca="false">IF(D1207="","",IFERROR(INDEX(식자재단가!$F$4:$F$203,MATCH(D1207,식자재단가!$C$4:$C$203,0)),""))</f>
        <v/>
      </c>
      <c r="H1207" s="50"/>
      <c r="I1207" s="82" t="str">
        <f aca="false">IF(OR(F1207="",H1207=""),"",F1207*H1207)</f>
        <v/>
      </c>
      <c r="J1207" s="83" t="str">
        <f aca="false">IF(D1207="","",IFERROR(INDEX(식자재단가!$M$4:$M$203,MATCH(D1207,식자재단가!$C$4:$C$203,0)),"과세"))</f>
        <v/>
      </c>
      <c r="K1207" s="28" t="str">
        <f aca="false">IF(I1207="","",IF(J1207="과세",ROUND(I1207*0.1,0),0))</f>
        <v/>
      </c>
      <c r="L1207" s="28" t="str">
        <f aca="false">IF(I1207="","",I1207+K1207)</f>
        <v/>
      </c>
      <c r="M1207" s="10"/>
      <c r="N1207" s="80"/>
      <c r="O1207" s="80"/>
      <c r="P1207" s="59" t="str">
        <f aca="false">IF(E1207="","",IFERROR(INDEX(기본설정!$H$4:$H$14,MATCH(E1207,기본설정!$G$4:$G$14,0)),""))</f>
        <v/>
      </c>
    </row>
    <row r="1208" customFormat="false" ht="15" hidden="false" customHeight="false" outlineLevel="0" collapsed="false">
      <c r="A1208" s="73"/>
      <c r="B1208" s="10"/>
      <c r="C1208" s="80"/>
      <c r="D1208" s="80"/>
      <c r="E1208" s="81" t="str">
        <f aca="false">IF(D1208="","",IFERROR(INDEX(식자재단가!$B$4:$B$203,MATCH(D1208,식자재단가!$C$4:$C$203,0)),""))</f>
        <v/>
      </c>
      <c r="F1208" s="76"/>
      <c r="G1208" s="59" t="str">
        <f aca="false">IF(D1208="","",IFERROR(INDEX(식자재단가!$F$4:$F$203,MATCH(D1208,식자재단가!$C$4:$C$203,0)),""))</f>
        <v/>
      </c>
      <c r="H1208" s="50"/>
      <c r="I1208" s="82" t="str">
        <f aca="false">IF(OR(F1208="",H1208=""),"",F1208*H1208)</f>
        <v/>
      </c>
      <c r="J1208" s="83" t="str">
        <f aca="false">IF(D1208="","",IFERROR(INDEX(식자재단가!$M$4:$M$203,MATCH(D1208,식자재단가!$C$4:$C$203,0)),"과세"))</f>
        <v/>
      </c>
      <c r="K1208" s="28" t="str">
        <f aca="false">IF(I1208="","",IF(J1208="과세",ROUND(I1208*0.1,0),0))</f>
        <v/>
      </c>
      <c r="L1208" s="28" t="str">
        <f aca="false">IF(I1208="","",I1208+K1208)</f>
        <v/>
      </c>
      <c r="M1208" s="10"/>
      <c r="N1208" s="80"/>
      <c r="O1208" s="80"/>
      <c r="P1208" s="59" t="str">
        <f aca="false">IF(E1208="","",IFERROR(INDEX(기본설정!$H$4:$H$14,MATCH(E1208,기본설정!$G$4:$G$14,0)),""))</f>
        <v/>
      </c>
    </row>
    <row r="1209" customFormat="false" ht="15" hidden="false" customHeight="false" outlineLevel="0" collapsed="false">
      <c r="A1209" s="73"/>
      <c r="B1209" s="10"/>
      <c r="C1209" s="80"/>
      <c r="D1209" s="80"/>
      <c r="E1209" s="81" t="str">
        <f aca="false">IF(D1209="","",IFERROR(INDEX(식자재단가!$B$4:$B$203,MATCH(D1209,식자재단가!$C$4:$C$203,0)),""))</f>
        <v/>
      </c>
      <c r="F1209" s="76"/>
      <c r="G1209" s="59" t="str">
        <f aca="false">IF(D1209="","",IFERROR(INDEX(식자재단가!$F$4:$F$203,MATCH(D1209,식자재단가!$C$4:$C$203,0)),""))</f>
        <v/>
      </c>
      <c r="H1209" s="50"/>
      <c r="I1209" s="82" t="str">
        <f aca="false">IF(OR(F1209="",H1209=""),"",F1209*H1209)</f>
        <v/>
      </c>
      <c r="J1209" s="83" t="str">
        <f aca="false">IF(D1209="","",IFERROR(INDEX(식자재단가!$M$4:$M$203,MATCH(D1209,식자재단가!$C$4:$C$203,0)),"과세"))</f>
        <v/>
      </c>
      <c r="K1209" s="28" t="str">
        <f aca="false">IF(I1209="","",IF(J1209="과세",ROUND(I1209*0.1,0),0))</f>
        <v/>
      </c>
      <c r="L1209" s="28" t="str">
        <f aca="false">IF(I1209="","",I1209+K1209)</f>
        <v/>
      </c>
      <c r="M1209" s="10"/>
      <c r="N1209" s="80"/>
      <c r="O1209" s="80"/>
      <c r="P1209" s="59" t="str">
        <f aca="false">IF(E1209="","",IFERROR(INDEX(기본설정!$H$4:$H$14,MATCH(E1209,기본설정!$G$4:$G$14,0)),""))</f>
        <v/>
      </c>
    </row>
    <row r="1210" customFormat="false" ht="15" hidden="false" customHeight="false" outlineLevel="0" collapsed="false">
      <c r="A1210" s="73"/>
      <c r="B1210" s="10"/>
      <c r="C1210" s="80"/>
      <c r="D1210" s="80"/>
      <c r="E1210" s="81" t="str">
        <f aca="false">IF(D1210="","",IFERROR(INDEX(식자재단가!$B$4:$B$203,MATCH(D1210,식자재단가!$C$4:$C$203,0)),""))</f>
        <v/>
      </c>
      <c r="F1210" s="76"/>
      <c r="G1210" s="59" t="str">
        <f aca="false">IF(D1210="","",IFERROR(INDEX(식자재단가!$F$4:$F$203,MATCH(D1210,식자재단가!$C$4:$C$203,0)),""))</f>
        <v/>
      </c>
      <c r="H1210" s="50"/>
      <c r="I1210" s="82" t="str">
        <f aca="false">IF(OR(F1210="",H1210=""),"",F1210*H1210)</f>
        <v/>
      </c>
      <c r="J1210" s="83" t="str">
        <f aca="false">IF(D1210="","",IFERROR(INDEX(식자재단가!$M$4:$M$203,MATCH(D1210,식자재단가!$C$4:$C$203,0)),"과세"))</f>
        <v/>
      </c>
      <c r="K1210" s="28" t="str">
        <f aca="false">IF(I1210="","",IF(J1210="과세",ROUND(I1210*0.1,0),0))</f>
        <v/>
      </c>
      <c r="L1210" s="28" t="str">
        <f aca="false">IF(I1210="","",I1210+K1210)</f>
        <v/>
      </c>
      <c r="M1210" s="10"/>
      <c r="N1210" s="80"/>
      <c r="O1210" s="80"/>
      <c r="P1210" s="59" t="str">
        <f aca="false">IF(E1210="","",IFERROR(INDEX(기본설정!$H$4:$H$14,MATCH(E1210,기본설정!$G$4:$G$14,0)),""))</f>
        <v/>
      </c>
    </row>
    <row r="1211" customFormat="false" ht="15" hidden="false" customHeight="false" outlineLevel="0" collapsed="false">
      <c r="A1211" s="73"/>
      <c r="B1211" s="10"/>
      <c r="C1211" s="80"/>
      <c r="D1211" s="80"/>
      <c r="E1211" s="81" t="str">
        <f aca="false">IF(D1211="","",IFERROR(INDEX(식자재단가!$B$4:$B$203,MATCH(D1211,식자재단가!$C$4:$C$203,0)),""))</f>
        <v/>
      </c>
      <c r="F1211" s="76"/>
      <c r="G1211" s="59" t="str">
        <f aca="false">IF(D1211="","",IFERROR(INDEX(식자재단가!$F$4:$F$203,MATCH(D1211,식자재단가!$C$4:$C$203,0)),""))</f>
        <v/>
      </c>
      <c r="H1211" s="50"/>
      <c r="I1211" s="82" t="str">
        <f aca="false">IF(OR(F1211="",H1211=""),"",F1211*H1211)</f>
        <v/>
      </c>
      <c r="J1211" s="83" t="str">
        <f aca="false">IF(D1211="","",IFERROR(INDEX(식자재단가!$M$4:$M$203,MATCH(D1211,식자재단가!$C$4:$C$203,0)),"과세"))</f>
        <v/>
      </c>
      <c r="K1211" s="28" t="str">
        <f aca="false">IF(I1211="","",IF(J1211="과세",ROUND(I1211*0.1,0),0))</f>
        <v/>
      </c>
      <c r="L1211" s="28" t="str">
        <f aca="false">IF(I1211="","",I1211+K1211)</f>
        <v/>
      </c>
      <c r="M1211" s="10"/>
      <c r="N1211" s="80"/>
      <c r="O1211" s="80"/>
      <c r="P1211" s="59" t="str">
        <f aca="false">IF(E1211="","",IFERROR(INDEX(기본설정!$H$4:$H$14,MATCH(E1211,기본설정!$G$4:$G$14,0)),""))</f>
        <v/>
      </c>
    </row>
    <row r="1212" customFormat="false" ht="15" hidden="false" customHeight="false" outlineLevel="0" collapsed="false">
      <c r="A1212" s="73"/>
      <c r="B1212" s="10"/>
      <c r="C1212" s="80"/>
      <c r="D1212" s="80"/>
      <c r="E1212" s="81" t="str">
        <f aca="false">IF(D1212="","",IFERROR(INDEX(식자재단가!$B$4:$B$203,MATCH(D1212,식자재단가!$C$4:$C$203,0)),""))</f>
        <v/>
      </c>
      <c r="F1212" s="76"/>
      <c r="G1212" s="59" t="str">
        <f aca="false">IF(D1212="","",IFERROR(INDEX(식자재단가!$F$4:$F$203,MATCH(D1212,식자재단가!$C$4:$C$203,0)),""))</f>
        <v/>
      </c>
      <c r="H1212" s="50"/>
      <c r="I1212" s="82" t="str">
        <f aca="false">IF(OR(F1212="",H1212=""),"",F1212*H1212)</f>
        <v/>
      </c>
      <c r="J1212" s="83" t="str">
        <f aca="false">IF(D1212="","",IFERROR(INDEX(식자재단가!$M$4:$M$203,MATCH(D1212,식자재단가!$C$4:$C$203,0)),"과세"))</f>
        <v/>
      </c>
      <c r="K1212" s="28" t="str">
        <f aca="false">IF(I1212="","",IF(J1212="과세",ROUND(I1212*0.1,0),0))</f>
        <v/>
      </c>
      <c r="L1212" s="28" t="str">
        <f aca="false">IF(I1212="","",I1212+K1212)</f>
        <v/>
      </c>
      <c r="M1212" s="10"/>
      <c r="N1212" s="80"/>
      <c r="O1212" s="80"/>
      <c r="P1212" s="59" t="str">
        <f aca="false">IF(E1212="","",IFERROR(INDEX(기본설정!$H$4:$H$14,MATCH(E1212,기본설정!$G$4:$G$14,0)),""))</f>
        <v/>
      </c>
    </row>
    <row r="1213" customFormat="false" ht="15" hidden="false" customHeight="false" outlineLevel="0" collapsed="false">
      <c r="A1213" s="73"/>
      <c r="B1213" s="10"/>
      <c r="C1213" s="80"/>
      <c r="D1213" s="80"/>
      <c r="E1213" s="81" t="str">
        <f aca="false">IF(D1213="","",IFERROR(INDEX(식자재단가!$B$4:$B$203,MATCH(D1213,식자재단가!$C$4:$C$203,0)),""))</f>
        <v/>
      </c>
      <c r="F1213" s="76"/>
      <c r="G1213" s="59" t="str">
        <f aca="false">IF(D1213="","",IFERROR(INDEX(식자재단가!$F$4:$F$203,MATCH(D1213,식자재단가!$C$4:$C$203,0)),""))</f>
        <v/>
      </c>
      <c r="H1213" s="50"/>
      <c r="I1213" s="82" t="str">
        <f aca="false">IF(OR(F1213="",H1213=""),"",F1213*H1213)</f>
        <v/>
      </c>
      <c r="J1213" s="83" t="str">
        <f aca="false">IF(D1213="","",IFERROR(INDEX(식자재단가!$M$4:$M$203,MATCH(D1213,식자재단가!$C$4:$C$203,0)),"과세"))</f>
        <v/>
      </c>
      <c r="K1213" s="28" t="str">
        <f aca="false">IF(I1213="","",IF(J1213="과세",ROUND(I1213*0.1,0),0))</f>
        <v/>
      </c>
      <c r="L1213" s="28" t="str">
        <f aca="false">IF(I1213="","",I1213+K1213)</f>
        <v/>
      </c>
      <c r="M1213" s="10"/>
      <c r="N1213" s="80"/>
      <c r="O1213" s="80"/>
      <c r="P1213" s="59" t="str">
        <f aca="false">IF(E1213="","",IFERROR(INDEX(기본설정!$H$4:$H$14,MATCH(E1213,기본설정!$G$4:$G$14,0)),""))</f>
        <v/>
      </c>
    </row>
    <row r="1214" customFormat="false" ht="15" hidden="false" customHeight="false" outlineLevel="0" collapsed="false">
      <c r="A1214" s="73"/>
      <c r="B1214" s="10"/>
      <c r="C1214" s="80"/>
      <c r="D1214" s="80"/>
      <c r="E1214" s="81" t="str">
        <f aca="false">IF(D1214="","",IFERROR(INDEX(식자재단가!$B$4:$B$203,MATCH(D1214,식자재단가!$C$4:$C$203,0)),""))</f>
        <v/>
      </c>
      <c r="F1214" s="76"/>
      <c r="G1214" s="59" t="str">
        <f aca="false">IF(D1214="","",IFERROR(INDEX(식자재단가!$F$4:$F$203,MATCH(D1214,식자재단가!$C$4:$C$203,0)),""))</f>
        <v/>
      </c>
      <c r="H1214" s="50"/>
      <c r="I1214" s="82" t="str">
        <f aca="false">IF(OR(F1214="",H1214=""),"",F1214*H1214)</f>
        <v/>
      </c>
      <c r="J1214" s="83" t="str">
        <f aca="false">IF(D1214="","",IFERROR(INDEX(식자재단가!$M$4:$M$203,MATCH(D1214,식자재단가!$C$4:$C$203,0)),"과세"))</f>
        <v/>
      </c>
      <c r="K1214" s="28" t="str">
        <f aca="false">IF(I1214="","",IF(J1214="과세",ROUND(I1214*0.1,0),0))</f>
        <v/>
      </c>
      <c r="L1214" s="28" t="str">
        <f aca="false">IF(I1214="","",I1214+K1214)</f>
        <v/>
      </c>
      <c r="M1214" s="10"/>
      <c r="N1214" s="80"/>
      <c r="O1214" s="80"/>
      <c r="P1214" s="59" t="str">
        <f aca="false">IF(E1214="","",IFERROR(INDEX(기본설정!$H$4:$H$14,MATCH(E1214,기본설정!$G$4:$G$14,0)),""))</f>
        <v/>
      </c>
    </row>
    <row r="1215" customFormat="false" ht="15" hidden="false" customHeight="false" outlineLevel="0" collapsed="false">
      <c r="A1215" s="73"/>
      <c r="B1215" s="10"/>
      <c r="C1215" s="80"/>
      <c r="D1215" s="80"/>
      <c r="E1215" s="81" t="str">
        <f aca="false">IF(D1215="","",IFERROR(INDEX(식자재단가!$B$4:$B$203,MATCH(D1215,식자재단가!$C$4:$C$203,0)),""))</f>
        <v/>
      </c>
      <c r="F1215" s="76"/>
      <c r="G1215" s="59" t="str">
        <f aca="false">IF(D1215="","",IFERROR(INDEX(식자재단가!$F$4:$F$203,MATCH(D1215,식자재단가!$C$4:$C$203,0)),""))</f>
        <v/>
      </c>
      <c r="H1215" s="50"/>
      <c r="I1215" s="82" t="str">
        <f aca="false">IF(OR(F1215="",H1215=""),"",F1215*H1215)</f>
        <v/>
      </c>
      <c r="J1215" s="83" t="str">
        <f aca="false">IF(D1215="","",IFERROR(INDEX(식자재단가!$M$4:$M$203,MATCH(D1215,식자재단가!$C$4:$C$203,0)),"과세"))</f>
        <v/>
      </c>
      <c r="K1215" s="28" t="str">
        <f aca="false">IF(I1215="","",IF(J1215="과세",ROUND(I1215*0.1,0),0))</f>
        <v/>
      </c>
      <c r="L1215" s="28" t="str">
        <f aca="false">IF(I1215="","",I1215+K1215)</f>
        <v/>
      </c>
      <c r="M1215" s="10"/>
      <c r="N1215" s="80"/>
      <c r="O1215" s="80"/>
      <c r="P1215" s="59" t="str">
        <f aca="false">IF(E1215="","",IFERROR(INDEX(기본설정!$H$4:$H$14,MATCH(E1215,기본설정!$G$4:$G$14,0)),""))</f>
        <v/>
      </c>
    </row>
    <row r="1216" customFormat="false" ht="15" hidden="false" customHeight="false" outlineLevel="0" collapsed="false">
      <c r="A1216" s="73"/>
      <c r="B1216" s="10"/>
      <c r="C1216" s="80"/>
      <c r="D1216" s="80"/>
      <c r="E1216" s="81" t="str">
        <f aca="false">IF(D1216="","",IFERROR(INDEX(식자재단가!$B$4:$B$203,MATCH(D1216,식자재단가!$C$4:$C$203,0)),""))</f>
        <v/>
      </c>
      <c r="F1216" s="76"/>
      <c r="G1216" s="59" t="str">
        <f aca="false">IF(D1216="","",IFERROR(INDEX(식자재단가!$F$4:$F$203,MATCH(D1216,식자재단가!$C$4:$C$203,0)),""))</f>
        <v/>
      </c>
      <c r="H1216" s="50"/>
      <c r="I1216" s="82" t="str">
        <f aca="false">IF(OR(F1216="",H1216=""),"",F1216*H1216)</f>
        <v/>
      </c>
      <c r="J1216" s="83" t="str">
        <f aca="false">IF(D1216="","",IFERROR(INDEX(식자재단가!$M$4:$M$203,MATCH(D1216,식자재단가!$C$4:$C$203,0)),"과세"))</f>
        <v/>
      </c>
      <c r="K1216" s="28" t="str">
        <f aca="false">IF(I1216="","",IF(J1216="과세",ROUND(I1216*0.1,0),0))</f>
        <v/>
      </c>
      <c r="L1216" s="28" t="str">
        <f aca="false">IF(I1216="","",I1216+K1216)</f>
        <v/>
      </c>
      <c r="M1216" s="10"/>
      <c r="N1216" s="80"/>
      <c r="O1216" s="80"/>
      <c r="P1216" s="59" t="str">
        <f aca="false">IF(E1216="","",IFERROR(INDEX(기본설정!$H$4:$H$14,MATCH(E1216,기본설정!$G$4:$G$14,0)),""))</f>
        <v/>
      </c>
    </row>
    <row r="1217" customFormat="false" ht="15" hidden="false" customHeight="false" outlineLevel="0" collapsed="false">
      <c r="A1217" s="73"/>
      <c r="B1217" s="10"/>
      <c r="C1217" s="80"/>
      <c r="D1217" s="80"/>
      <c r="E1217" s="81" t="str">
        <f aca="false">IF(D1217="","",IFERROR(INDEX(식자재단가!$B$4:$B$203,MATCH(D1217,식자재단가!$C$4:$C$203,0)),""))</f>
        <v/>
      </c>
      <c r="F1217" s="76"/>
      <c r="G1217" s="59" t="str">
        <f aca="false">IF(D1217="","",IFERROR(INDEX(식자재단가!$F$4:$F$203,MATCH(D1217,식자재단가!$C$4:$C$203,0)),""))</f>
        <v/>
      </c>
      <c r="H1217" s="50"/>
      <c r="I1217" s="82" t="str">
        <f aca="false">IF(OR(F1217="",H1217=""),"",F1217*H1217)</f>
        <v/>
      </c>
      <c r="J1217" s="83" t="str">
        <f aca="false">IF(D1217="","",IFERROR(INDEX(식자재단가!$M$4:$M$203,MATCH(D1217,식자재단가!$C$4:$C$203,0)),"과세"))</f>
        <v/>
      </c>
      <c r="K1217" s="28" t="str">
        <f aca="false">IF(I1217="","",IF(J1217="과세",ROUND(I1217*0.1,0),0))</f>
        <v/>
      </c>
      <c r="L1217" s="28" t="str">
        <f aca="false">IF(I1217="","",I1217+K1217)</f>
        <v/>
      </c>
      <c r="M1217" s="10"/>
      <c r="N1217" s="80"/>
      <c r="O1217" s="80"/>
      <c r="P1217" s="59" t="str">
        <f aca="false">IF(E1217="","",IFERROR(INDEX(기본설정!$H$4:$H$14,MATCH(E1217,기본설정!$G$4:$G$14,0)),""))</f>
        <v/>
      </c>
    </row>
    <row r="1218" customFormat="false" ht="15" hidden="false" customHeight="false" outlineLevel="0" collapsed="false">
      <c r="A1218" s="73"/>
      <c r="B1218" s="10"/>
      <c r="C1218" s="80"/>
      <c r="D1218" s="80"/>
      <c r="E1218" s="81" t="str">
        <f aca="false">IF(D1218="","",IFERROR(INDEX(식자재단가!$B$4:$B$203,MATCH(D1218,식자재단가!$C$4:$C$203,0)),""))</f>
        <v/>
      </c>
      <c r="F1218" s="76"/>
      <c r="G1218" s="59" t="str">
        <f aca="false">IF(D1218="","",IFERROR(INDEX(식자재단가!$F$4:$F$203,MATCH(D1218,식자재단가!$C$4:$C$203,0)),""))</f>
        <v/>
      </c>
      <c r="H1218" s="50"/>
      <c r="I1218" s="82" t="str">
        <f aca="false">IF(OR(F1218="",H1218=""),"",F1218*H1218)</f>
        <v/>
      </c>
      <c r="J1218" s="83" t="str">
        <f aca="false">IF(D1218="","",IFERROR(INDEX(식자재단가!$M$4:$M$203,MATCH(D1218,식자재단가!$C$4:$C$203,0)),"과세"))</f>
        <v/>
      </c>
      <c r="K1218" s="28" t="str">
        <f aca="false">IF(I1218="","",IF(J1218="과세",ROUND(I1218*0.1,0),0))</f>
        <v/>
      </c>
      <c r="L1218" s="28" t="str">
        <f aca="false">IF(I1218="","",I1218+K1218)</f>
        <v/>
      </c>
      <c r="M1218" s="10"/>
      <c r="N1218" s="80"/>
      <c r="O1218" s="80"/>
      <c r="P1218" s="59" t="str">
        <f aca="false">IF(E1218="","",IFERROR(INDEX(기본설정!$H$4:$H$14,MATCH(E1218,기본설정!$G$4:$G$14,0)),""))</f>
        <v/>
      </c>
    </row>
    <row r="1219" customFormat="false" ht="15" hidden="false" customHeight="false" outlineLevel="0" collapsed="false">
      <c r="A1219" s="73"/>
      <c r="B1219" s="10"/>
      <c r="C1219" s="80"/>
      <c r="D1219" s="80"/>
      <c r="E1219" s="81" t="str">
        <f aca="false">IF(D1219="","",IFERROR(INDEX(식자재단가!$B$4:$B$203,MATCH(D1219,식자재단가!$C$4:$C$203,0)),""))</f>
        <v/>
      </c>
      <c r="F1219" s="76"/>
      <c r="G1219" s="59" t="str">
        <f aca="false">IF(D1219="","",IFERROR(INDEX(식자재단가!$F$4:$F$203,MATCH(D1219,식자재단가!$C$4:$C$203,0)),""))</f>
        <v/>
      </c>
      <c r="H1219" s="50"/>
      <c r="I1219" s="82" t="str">
        <f aca="false">IF(OR(F1219="",H1219=""),"",F1219*H1219)</f>
        <v/>
      </c>
      <c r="J1219" s="83" t="str">
        <f aca="false">IF(D1219="","",IFERROR(INDEX(식자재단가!$M$4:$M$203,MATCH(D1219,식자재단가!$C$4:$C$203,0)),"과세"))</f>
        <v/>
      </c>
      <c r="K1219" s="28" t="str">
        <f aca="false">IF(I1219="","",IF(J1219="과세",ROUND(I1219*0.1,0),0))</f>
        <v/>
      </c>
      <c r="L1219" s="28" t="str">
        <f aca="false">IF(I1219="","",I1219+K1219)</f>
        <v/>
      </c>
      <c r="M1219" s="10"/>
      <c r="N1219" s="80"/>
      <c r="O1219" s="80"/>
      <c r="P1219" s="59" t="str">
        <f aca="false">IF(E1219="","",IFERROR(INDEX(기본설정!$H$4:$H$14,MATCH(E1219,기본설정!$G$4:$G$14,0)),""))</f>
        <v/>
      </c>
    </row>
    <row r="1220" customFormat="false" ht="15" hidden="false" customHeight="false" outlineLevel="0" collapsed="false">
      <c r="A1220" s="73"/>
      <c r="B1220" s="10"/>
      <c r="C1220" s="80"/>
      <c r="D1220" s="80"/>
      <c r="E1220" s="81" t="str">
        <f aca="false">IF(D1220="","",IFERROR(INDEX(식자재단가!$B$4:$B$203,MATCH(D1220,식자재단가!$C$4:$C$203,0)),""))</f>
        <v/>
      </c>
      <c r="F1220" s="76"/>
      <c r="G1220" s="59" t="str">
        <f aca="false">IF(D1220="","",IFERROR(INDEX(식자재단가!$F$4:$F$203,MATCH(D1220,식자재단가!$C$4:$C$203,0)),""))</f>
        <v/>
      </c>
      <c r="H1220" s="50"/>
      <c r="I1220" s="82" t="str">
        <f aca="false">IF(OR(F1220="",H1220=""),"",F1220*H1220)</f>
        <v/>
      </c>
      <c r="J1220" s="83" t="str">
        <f aca="false">IF(D1220="","",IFERROR(INDEX(식자재단가!$M$4:$M$203,MATCH(D1220,식자재단가!$C$4:$C$203,0)),"과세"))</f>
        <v/>
      </c>
      <c r="K1220" s="28" t="str">
        <f aca="false">IF(I1220="","",IF(J1220="과세",ROUND(I1220*0.1,0),0))</f>
        <v/>
      </c>
      <c r="L1220" s="28" t="str">
        <f aca="false">IF(I1220="","",I1220+K1220)</f>
        <v/>
      </c>
      <c r="M1220" s="10"/>
      <c r="N1220" s="80"/>
      <c r="O1220" s="80"/>
      <c r="P1220" s="59" t="str">
        <f aca="false">IF(E1220="","",IFERROR(INDEX(기본설정!$H$4:$H$14,MATCH(E1220,기본설정!$G$4:$G$14,0)),""))</f>
        <v/>
      </c>
    </row>
    <row r="1221" customFormat="false" ht="15" hidden="false" customHeight="false" outlineLevel="0" collapsed="false">
      <c r="A1221" s="73"/>
      <c r="B1221" s="10"/>
      <c r="C1221" s="80"/>
      <c r="D1221" s="80"/>
      <c r="E1221" s="81" t="str">
        <f aca="false">IF(D1221="","",IFERROR(INDEX(식자재단가!$B$4:$B$203,MATCH(D1221,식자재단가!$C$4:$C$203,0)),""))</f>
        <v/>
      </c>
      <c r="F1221" s="76"/>
      <c r="G1221" s="59" t="str">
        <f aca="false">IF(D1221="","",IFERROR(INDEX(식자재단가!$F$4:$F$203,MATCH(D1221,식자재단가!$C$4:$C$203,0)),""))</f>
        <v/>
      </c>
      <c r="H1221" s="50"/>
      <c r="I1221" s="82" t="str">
        <f aca="false">IF(OR(F1221="",H1221=""),"",F1221*H1221)</f>
        <v/>
      </c>
      <c r="J1221" s="83" t="str">
        <f aca="false">IF(D1221="","",IFERROR(INDEX(식자재단가!$M$4:$M$203,MATCH(D1221,식자재단가!$C$4:$C$203,0)),"과세"))</f>
        <v/>
      </c>
      <c r="K1221" s="28" t="str">
        <f aca="false">IF(I1221="","",IF(J1221="과세",ROUND(I1221*0.1,0),0))</f>
        <v/>
      </c>
      <c r="L1221" s="28" t="str">
        <f aca="false">IF(I1221="","",I1221+K1221)</f>
        <v/>
      </c>
      <c r="M1221" s="10"/>
      <c r="N1221" s="80"/>
      <c r="O1221" s="80"/>
      <c r="P1221" s="59" t="str">
        <f aca="false">IF(E1221="","",IFERROR(INDEX(기본설정!$H$4:$H$14,MATCH(E1221,기본설정!$G$4:$G$14,0)),""))</f>
        <v/>
      </c>
    </row>
    <row r="1222" customFormat="false" ht="15" hidden="false" customHeight="false" outlineLevel="0" collapsed="false">
      <c r="A1222" s="73"/>
      <c r="B1222" s="10"/>
      <c r="C1222" s="80"/>
      <c r="D1222" s="80"/>
      <c r="E1222" s="81" t="str">
        <f aca="false">IF(D1222="","",IFERROR(INDEX(식자재단가!$B$4:$B$203,MATCH(D1222,식자재단가!$C$4:$C$203,0)),""))</f>
        <v/>
      </c>
      <c r="F1222" s="76"/>
      <c r="G1222" s="59" t="str">
        <f aca="false">IF(D1222="","",IFERROR(INDEX(식자재단가!$F$4:$F$203,MATCH(D1222,식자재단가!$C$4:$C$203,0)),""))</f>
        <v/>
      </c>
      <c r="H1222" s="50"/>
      <c r="I1222" s="82" t="str">
        <f aca="false">IF(OR(F1222="",H1222=""),"",F1222*H1222)</f>
        <v/>
      </c>
      <c r="J1222" s="83" t="str">
        <f aca="false">IF(D1222="","",IFERROR(INDEX(식자재단가!$M$4:$M$203,MATCH(D1222,식자재단가!$C$4:$C$203,0)),"과세"))</f>
        <v/>
      </c>
      <c r="K1222" s="28" t="str">
        <f aca="false">IF(I1222="","",IF(J1222="과세",ROUND(I1222*0.1,0),0))</f>
        <v/>
      </c>
      <c r="L1222" s="28" t="str">
        <f aca="false">IF(I1222="","",I1222+K1222)</f>
        <v/>
      </c>
      <c r="M1222" s="10"/>
      <c r="N1222" s="80"/>
      <c r="O1222" s="80"/>
      <c r="P1222" s="59" t="str">
        <f aca="false">IF(E1222="","",IFERROR(INDEX(기본설정!$H$4:$H$14,MATCH(E1222,기본설정!$G$4:$G$14,0)),""))</f>
        <v/>
      </c>
    </row>
    <row r="1223" customFormat="false" ht="15" hidden="false" customHeight="false" outlineLevel="0" collapsed="false">
      <c r="A1223" s="73"/>
      <c r="B1223" s="10"/>
      <c r="C1223" s="80"/>
      <c r="D1223" s="80"/>
      <c r="E1223" s="81" t="str">
        <f aca="false">IF(D1223="","",IFERROR(INDEX(식자재단가!$B$4:$B$203,MATCH(D1223,식자재단가!$C$4:$C$203,0)),""))</f>
        <v/>
      </c>
      <c r="F1223" s="76"/>
      <c r="G1223" s="59" t="str">
        <f aca="false">IF(D1223="","",IFERROR(INDEX(식자재단가!$F$4:$F$203,MATCH(D1223,식자재단가!$C$4:$C$203,0)),""))</f>
        <v/>
      </c>
      <c r="H1223" s="50"/>
      <c r="I1223" s="82" t="str">
        <f aca="false">IF(OR(F1223="",H1223=""),"",F1223*H1223)</f>
        <v/>
      </c>
      <c r="J1223" s="83" t="str">
        <f aca="false">IF(D1223="","",IFERROR(INDEX(식자재단가!$M$4:$M$203,MATCH(D1223,식자재단가!$C$4:$C$203,0)),"과세"))</f>
        <v/>
      </c>
      <c r="K1223" s="28" t="str">
        <f aca="false">IF(I1223="","",IF(J1223="과세",ROUND(I1223*0.1,0),0))</f>
        <v/>
      </c>
      <c r="L1223" s="28" t="str">
        <f aca="false">IF(I1223="","",I1223+K1223)</f>
        <v/>
      </c>
      <c r="M1223" s="10"/>
      <c r="N1223" s="80"/>
      <c r="O1223" s="80"/>
      <c r="P1223" s="59" t="str">
        <f aca="false">IF(E1223="","",IFERROR(INDEX(기본설정!$H$4:$H$14,MATCH(E1223,기본설정!$G$4:$G$14,0)),""))</f>
        <v/>
      </c>
    </row>
    <row r="1224" customFormat="false" ht="15" hidden="false" customHeight="false" outlineLevel="0" collapsed="false">
      <c r="A1224" s="73"/>
      <c r="B1224" s="10"/>
      <c r="C1224" s="80"/>
      <c r="D1224" s="80"/>
      <c r="E1224" s="81" t="str">
        <f aca="false">IF(D1224="","",IFERROR(INDEX(식자재단가!$B$4:$B$203,MATCH(D1224,식자재단가!$C$4:$C$203,0)),""))</f>
        <v/>
      </c>
      <c r="F1224" s="76"/>
      <c r="G1224" s="59" t="str">
        <f aca="false">IF(D1224="","",IFERROR(INDEX(식자재단가!$F$4:$F$203,MATCH(D1224,식자재단가!$C$4:$C$203,0)),""))</f>
        <v/>
      </c>
      <c r="H1224" s="50"/>
      <c r="I1224" s="82" t="str">
        <f aca="false">IF(OR(F1224="",H1224=""),"",F1224*H1224)</f>
        <v/>
      </c>
      <c r="J1224" s="83" t="str">
        <f aca="false">IF(D1224="","",IFERROR(INDEX(식자재단가!$M$4:$M$203,MATCH(D1224,식자재단가!$C$4:$C$203,0)),"과세"))</f>
        <v/>
      </c>
      <c r="K1224" s="28" t="str">
        <f aca="false">IF(I1224="","",IF(J1224="과세",ROUND(I1224*0.1,0),0))</f>
        <v/>
      </c>
      <c r="L1224" s="28" t="str">
        <f aca="false">IF(I1224="","",I1224+K1224)</f>
        <v/>
      </c>
      <c r="M1224" s="10"/>
      <c r="N1224" s="80"/>
      <c r="O1224" s="80"/>
      <c r="P1224" s="59" t="str">
        <f aca="false">IF(E1224="","",IFERROR(INDEX(기본설정!$H$4:$H$14,MATCH(E1224,기본설정!$G$4:$G$14,0)),""))</f>
        <v/>
      </c>
    </row>
    <row r="1225" customFormat="false" ht="15" hidden="false" customHeight="false" outlineLevel="0" collapsed="false">
      <c r="A1225" s="73"/>
      <c r="B1225" s="10"/>
      <c r="C1225" s="80"/>
      <c r="D1225" s="80"/>
      <c r="E1225" s="81" t="str">
        <f aca="false">IF(D1225="","",IFERROR(INDEX(식자재단가!$B$4:$B$203,MATCH(D1225,식자재단가!$C$4:$C$203,0)),""))</f>
        <v/>
      </c>
      <c r="F1225" s="76"/>
      <c r="G1225" s="59" t="str">
        <f aca="false">IF(D1225="","",IFERROR(INDEX(식자재단가!$F$4:$F$203,MATCH(D1225,식자재단가!$C$4:$C$203,0)),""))</f>
        <v/>
      </c>
      <c r="H1225" s="50"/>
      <c r="I1225" s="82" t="str">
        <f aca="false">IF(OR(F1225="",H1225=""),"",F1225*H1225)</f>
        <v/>
      </c>
      <c r="J1225" s="83" t="str">
        <f aca="false">IF(D1225="","",IFERROR(INDEX(식자재단가!$M$4:$M$203,MATCH(D1225,식자재단가!$C$4:$C$203,0)),"과세"))</f>
        <v/>
      </c>
      <c r="K1225" s="28" t="str">
        <f aca="false">IF(I1225="","",IF(J1225="과세",ROUND(I1225*0.1,0),0))</f>
        <v/>
      </c>
      <c r="L1225" s="28" t="str">
        <f aca="false">IF(I1225="","",I1225+K1225)</f>
        <v/>
      </c>
      <c r="M1225" s="10"/>
      <c r="N1225" s="80"/>
      <c r="O1225" s="80"/>
      <c r="P1225" s="59" t="str">
        <f aca="false">IF(E1225="","",IFERROR(INDEX(기본설정!$H$4:$H$14,MATCH(E1225,기본설정!$G$4:$G$14,0)),""))</f>
        <v/>
      </c>
    </row>
    <row r="1226" customFormat="false" ht="15" hidden="false" customHeight="false" outlineLevel="0" collapsed="false">
      <c r="A1226" s="73"/>
      <c r="B1226" s="10"/>
      <c r="C1226" s="80"/>
      <c r="D1226" s="80"/>
      <c r="E1226" s="81" t="str">
        <f aca="false">IF(D1226="","",IFERROR(INDEX(식자재단가!$B$4:$B$203,MATCH(D1226,식자재단가!$C$4:$C$203,0)),""))</f>
        <v/>
      </c>
      <c r="F1226" s="76"/>
      <c r="G1226" s="59" t="str">
        <f aca="false">IF(D1226="","",IFERROR(INDEX(식자재단가!$F$4:$F$203,MATCH(D1226,식자재단가!$C$4:$C$203,0)),""))</f>
        <v/>
      </c>
      <c r="H1226" s="50"/>
      <c r="I1226" s="82" t="str">
        <f aca="false">IF(OR(F1226="",H1226=""),"",F1226*H1226)</f>
        <v/>
      </c>
      <c r="J1226" s="83" t="str">
        <f aca="false">IF(D1226="","",IFERROR(INDEX(식자재단가!$M$4:$M$203,MATCH(D1226,식자재단가!$C$4:$C$203,0)),"과세"))</f>
        <v/>
      </c>
      <c r="K1226" s="28" t="str">
        <f aca="false">IF(I1226="","",IF(J1226="과세",ROUND(I1226*0.1,0),0))</f>
        <v/>
      </c>
      <c r="L1226" s="28" t="str">
        <f aca="false">IF(I1226="","",I1226+K1226)</f>
        <v/>
      </c>
      <c r="M1226" s="10"/>
      <c r="N1226" s="80"/>
      <c r="O1226" s="80"/>
      <c r="P1226" s="59" t="str">
        <f aca="false">IF(E1226="","",IFERROR(INDEX(기본설정!$H$4:$H$14,MATCH(E1226,기본설정!$G$4:$G$14,0)),""))</f>
        <v/>
      </c>
    </row>
    <row r="1227" customFormat="false" ht="15" hidden="false" customHeight="false" outlineLevel="0" collapsed="false">
      <c r="A1227" s="73"/>
      <c r="B1227" s="10"/>
      <c r="C1227" s="80"/>
      <c r="D1227" s="80"/>
      <c r="E1227" s="81" t="str">
        <f aca="false">IF(D1227="","",IFERROR(INDEX(식자재단가!$B$4:$B$203,MATCH(D1227,식자재단가!$C$4:$C$203,0)),""))</f>
        <v/>
      </c>
      <c r="F1227" s="76"/>
      <c r="G1227" s="59" t="str">
        <f aca="false">IF(D1227="","",IFERROR(INDEX(식자재단가!$F$4:$F$203,MATCH(D1227,식자재단가!$C$4:$C$203,0)),""))</f>
        <v/>
      </c>
      <c r="H1227" s="50"/>
      <c r="I1227" s="82" t="str">
        <f aca="false">IF(OR(F1227="",H1227=""),"",F1227*H1227)</f>
        <v/>
      </c>
      <c r="J1227" s="83" t="str">
        <f aca="false">IF(D1227="","",IFERROR(INDEX(식자재단가!$M$4:$M$203,MATCH(D1227,식자재단가!$C$4:$C$203,0)),"과세"))</f>
        <v/>
      </c>
      <c r="K1227" s="28" t="str">
        <f aca="false">IF(I1227="","",IF(J1227="과세",ROUND(I1227*0.1,0),0))</f>
        <v/>
      </c>
      <c r="L1227" s="28" t="str">
        <f aca="false">IF(I1227="","",I1227+K1227)</f>
        <v/>
      </c>
      <c r="M1227" s="10"/>
      <c r="N1227" s="80"/>
      <c r="O1227" s="80"/>
      <c r="P1227" s="59" t="str">
        <f aca="false">IF(E1227="","",IFERROR(INDEX(기본설정!$H$4:$H$14,MATCH(E1227,기본설정!$G$4:$G$14,0)),""))</f>
        <v/>
      </c>
    </row>
    <row r="1228" customFormat="false" ht="15" hidden="false" customHeight="false" outlineLevel="0" collapsed="false">
      <c r="A1228" s="73"/>
      <c r="B1228" s="10"/>
      <c r="C1228" s="80"/>
      <c r="D1228" s="80"/>
      <c r="E1228" s="81" t="str">
        <f aca="false">IF(D1228="","",IFERROR(INDEX(식자재단가!$B$4:$B$203,MATCH(D1228,식자재단가!$C$4:$C$203,0)),""))</f>
        <v/>
      </c>
      <c r="F1228" s="76"/>
      <c r="G1228" s="59" t="str">
        <f aca="false">IF(D1228="","",IFERROR(INDEX(식자재단가!$F$4:$F$203,MATCH(D1228,식자재단가!$C$4:$C$203,0)),""))</f>
        <v/>
      </c>
      <c r="H1228" s="50"/>
      <c r="I1228" s="82" t="str">
        <f aca="false">IF(OR(F1228="",H1228=""),"",F1228*H1228)</f>
        <v/>
      </c>
      <c r="J1228" s="83" t="str">
        <f aca="false">IF(D1228="","",IFERROR(INDEX(식자재단가!$M$4:$M$203,MATCH(D1228,식자재단가!$C$4:$C$203,0)),"과세"))</f>
        <v/>
      </c>
      <c r="K1228" s="28" t="str">
        <f aca="false">IF(I1228="","",IF(J1228="과세",ROUND(I1228*0.1,0),0))</f>
        <v/>
      </c>
      <c r="L1228" s="28" t="str">
        <f aca="false">IF(I1228="","",I1228+K1228)</f>
        <v/>
      </c>
      <c r="M1228" s="10"/>
      <c r="N1228" s="80"/>
      <c r="O1228" s="80"/>
      <c r="P1228" s="59" t="str">
        <f aca="false">IF(E1228="","",IFERROR(INDEX(기본설정!$H$4:$H$14,MATCH(E1228,기본설정!$G$4:$G$14,0)),""))</f>
        <v/>
      </c>
    </row>
    <row r="1229" customFormat="false" ht="15" hidden="false" customHeight="false" outlineLevel="0" collapsed="false">
      <c r="A1229" s="73"/>
      <c r="B1229" s="10"/>
      <c r="C1229" s="80"/>
      <c r="D1229" s="80"/>
      <c r="E1229" s="81" t="str">
        <f aca="false">IF(D1229="","",IFERROR(INDEX(식자재단가!$B$4:$B$203,MATCH(D1229,식자재단가!$C$4:$C$203,0)),""))</f>
        <v/>
      </c>
      <c r="F1229" s="76"/>
      <c r="G1229" s="59" t="str">
        <f aca="false">IF(D1229="","",IFERROR(INDEX(식자재단가!$F$4:$F$203,MATCH(D1229,식자재단가!$C$4:$C$203,0)),""))</f>
        <v/>
      </c>
      <c r="H1229" s="50"/>
      <c r="I1229" s="82" t="str">
        <f aca="false">IF(OR(F1229="",H1229=""),"",F1229*H1229)</f>
        <v/>
      </c>
      <c r="J1229" s="83" t="str">
        <f aca="false">IF(D1229="","",IFERROR(INDEX(식자재단가!$M$4:$M$203,MATCH(D1229,식자재단가!$C$4:$C$203,0)),"과세"))</f>
        <v/>
      </c>
      <c r="K1229" s="28" t="str">
        <f aca="false">IF(I1229="","",IF(J1229="과세",ROUND(I1229*0.1,0),0))</f>
        <v/>
      </c>
      <c r="L1229" s="28" t="str">
        <f aca="false">IF(I1229="","",I1229+K1229)</f>
        <v/>
      </c>
      <c r="M1229" s="10"/>
      <c r="N1229" s="80"/>
      <c r="O1229" s="80"/>
      <c r="P1229" s="59" t="str">
        <f aca="false">IF(E1229="","",IFERROR(INDEX(기본설정!$H$4:$H$14,MATCH(E1229,기본설정!$G$4:$G$14,0)),""))</f>
        <v/>
      </c>
    </row>
    <row r="1230" customFormat="false" ht="15" hidden="false" customHeight="false" outlineLevel="0" collapsed="false">
      <c r="A1230" s="73"/>
      <c r="B1230" s="10"/>
      <c r="C1230" s="80"/>
      <c r="D1230" s="80"/>
      <c r="E1230" s="81" t="str">
        <f aca="false">IF(D1230="","",IFERROR(INDEX(식자재단가!$B$4:$B$203,MATCH(D1230,식자재단가!$C$4:$C$203,0)),""))</f>
        <v/>
      </c>
      <c r="F1230" s="76"/>
      <c r="G1230" s="59" t="str">
        <f aca="false">IF(D1230="","",IFERROR(INDEX(식자재단가!$F$4:$F$203,MATCH(D1230,식자재단가!$C$4:$C$203,0)),""))</f>
        <v/>
      </c>
      <c r="H1230" s="50"/>
      <c r="I1230" s="82" t="str">
        <f aca="false">IF(OR(F1230="",H1230=""),"",F1230*H1230)</f>
        <v/>
      </c>
      <c r="J1230" s="83" t="str">
        <f aca="false">IF(D1230="","",IFERROR(INDEX(식자재단가!$M$4:$M$203,MATCH(D1230,식자재단가!$C$4:$C$203,0)),"과세"))</f>
        <v/>
      </c>
      <c r="K1230" s="28" t="str">
        <f aca="false">IF(I1230="","",IF(J1230="과세",ROUND(I1230*0.1,0),0))</f>
        <v/>
      </c>
      <c r="L1230" s="28" t="str">
        <f aca="false">IF(I1230="","",I1230+K1230)</f>
        <v/>
      </c>
      <c r="M1230" s="10"/>
      <c r="N1230" s="80"/>
      <c r="O1230" s="80"/>
      <c r="P1230" s="59" t="str">
        <f aca="false">IF(E1230="","",IFERROR(INDEX(기본설정!$H$4:$H$14,MATCH(E1230,기본설정!$G$4:$G$14,0)),""))</f>
        <v/>
      </c>
    </row>
    <row r="1231" customFormat="false" ht="15" hidden="false" customHeight="false" outlineLevel="0" collapsed="false">
      <c r="A1231" s="73"/>
      <c r="B1231" s="10"/>
      <c r="C1231" s="80"/>
      <c r="D1231" s="80"/>
      <c r="E1231" s="81" t="str">
        <f aca="false">IF(D1231="","",IFERROR(INDEX(식자재단가!$B$4:$B$203,MATCH(D1231,식자재단가!$C$4:$C$203,0)),""))</f>
        <v/>
      </c>
      <c r="F1231" s="76"/>
      <c r="G1231" s="59" t="str">
        <f aca="false">IF(D1231="","",IFERROR(INDEX(식자재단가!$F$4:$F$203,MATCH(D1231,식자재단가!$C$4:$C$203,0)),""))</f>
        <v/>
      </c>
      <c r="H1231" s="50"/>
      <c r="I1231" s="82" t="str">
        <f aca="false">IF(OR(F1231="",H1231=""),"",F1231*H1231)</f>
        <v/>
      </c>
      <c r="J1231" s="83" t="str">
        <f aca="false">IF(D1231="","",IFERROR(INDEX(식자재단가!$M$4:$M$203,MATCH(D1231,식자재단가!$C$4:$C$203,0)),"과세"))</f>
        <v/>
      </c>
      <c r="K1231" s="28" t="str">
        <f aca="false">IF(I1231="","",IF(J1231="과세",ROUND(I1231*0.1,0),0))</f>
        <v/>
      </c>
      <c r="L1231" s="28" t="str">
        <f aca="false">IF(I1231="","",I1231+K1231)</f>
        <v/>
      </c>
      <c r="M1231" s="10"/>
      <c r="N1231" s="80"/>
      <c r="O1231" s="80"/>
      <c r="P1231" s="59" t="str">
        <f aca="false">IF(E1231="","",IFERROR(INDEX(기본설정!$H$4:$H$14,MATCH(E1231,기본설정!$G$4:$G$14,0)),""))</f>
        <v/>
      </c>
    </row>
    <row r="1232" customFormat="false" ht="15" hidden="false" customHeight="false" outlineLevel="0" collapsed="false">
      <c r="A1232" s="73"/>
      <c r="B1232" s="10"/>
      <c r="C1232" s="80"/>
      <c r="D1232" s="80"/>
      <c r="E1232" s="81" t="str">
        <f aca="false">IF(D1232="","",IFERROR(INDEX(식자재단가!$B$4:$B$203,MATCH(D1232,식자재단가!$C$4:$C$203,0)),""))</f>
        <v/>
      </c>
      <c r="F1232" s="76"/>
      <c r="G1232" s="59" t="str">
        <f aca="false">IF(D1232="","",IFERROR(INDEX(식자재단가!$F$4:$F$203,MATCH(D1232,식자재단가!$C$4:$C$203,0)),""))</f>
        <v/>
      </c>
      <c r="H1232" s="50"/>
      <c r="I1232" s="82" t="str">
        <f aca="false">IF(OR(F1232="",H1232=""),"",F1232*H1232)</f>
        <v/>
      </c>
      <c r="J1232" s="83" t="str">
        <f aca="false">IF(D1232="","",IFERROR(INDEX(식자재단가!$M$4:$M$203,MATCH(D1232,식자재단가!$C$4:$C$203,0)),"과세"))</f>
        <v/>
      </c>
      <c r="K1232" s="28" t="str">
        <f aca="false">IF(I1232="","",IF(J1232="과세",ROUND(I1232*0.1,0),0))</f>
        <v/>
      </c>
      <c r="L1232" s="28" t="str">
        <f aca="false">IF(I1232="","",I1232+K1232)</f>
        <v/>
      </c>
      <c r="M1232" s="10"/>
      <c r="N1232" s="80"/>
      <c r="O1232" s="80"/>
      <c r="P1232" s="59" t="str">
        <f aca="false">IF(E1232="","",IFERROR(INDEX(기본설정!$H$4:$H$14,MATCH(E1232,기본설정!$G$4:$G$14,0)),""))</f>
        <v/>
      </c>
    </row>
    <row r="1233" customFormat="false" ht="15" hidden="false" customHeight="false" outlineLevel="0" collapsed="false">
      <c r="A1233" s="73"/>
      <c r="B1233" s="10"/>
      <c r="C1233" s="80"/>
      <c r="D1233" s="80"/>
      <c r="E1233" s="81" t="str">
        <f aca="false">IF(D1233="","",IFERROR(INDEX(식자재단가!$B$4:$B$203,MATCH(D1233,식자재단가!$C$4:$C$203,0)),""))</f>
        <v/>
      </c>
      <c r="F1233" s="76"/>
      <c r="G1233" s="59" t="str">
        <f aca="false">IF(D1233="","",IFERROR(INDEX(식자재단가!$F$4:$F$203,MATCH(D1233,식자재단가!$C$4:$C$203,0)),""))</f>
        <v/>
      </c>
      <c r="H1233" s="50"/>
      <c r="I1233" s="82" t="str">
        <f aca="false">IF(OR(F1233="",H1233=""),"",F1233*H1233)</f>
        <v/>
      </c>
      <c r="J1233" s="83" t="str">
        <f aca="false">IF(D1233="","",IFERROR(INDEX(식자재단가!$M$4:$M$203,MATCH(D1233,식자재단가!$C$4:$C$203,0)),"과세"))</f>
        <v/>
      </c>
      <c r="K1233" s="28" t="str">
        <f aca="false">IF(I1233="","",IF(J1233="과세",ROUND(I1233*0.1,0),0))</f>
        <v/>
      </c>
      <c r="L1233" s="28" t="str">
        <f aca="false">IF(I1233="","",I1233+K1233)</f>
        <v/>
      </c>
      <c r="M1233" s="10"/>
      <c r="N1233" s="80"/>
      <c r="O1233" s="80"/>
      <c r="P1233" s="59" t="str">
        <f aca="false">IF(E1233="","",IFERROR(INDEX(기본설정!$H$4:$H$14,MATCH(E1233,기본설정!$G$4:$G$14,0)),""))</f>
        <v/>
      </c>
    </row>
    <row r="1234" customFormat="false" ht="15" hidden="false" customHeight="false" outlineLevel="0" collapsed="false">
      <c r="A1234" s="73"/>
      <c r="B1234" s="10"/>
      <c r="C1234" s="80"/>
      <c r="D1234" s="80"/>
      <c r="E1234" s="81" t="str">
        <f aca="false">IF(D1234="","",IFERROR(INDEX(식자재단가!$B$4:$B$203,MATCH(D1234,식자재단가!$C$4:$C$203,0)),""))</f>
        <v/>
      </c>
      <c r="F1234" s="76"/>
      <c r="G1234" s="59" t="str">
        <f aca="false">IF(D1234="","",IFERROR(INDEX(식자재단가!$F$4:$F$203,MATCH(D1234,식자재단가!$C$4:$C$203,0)),""))</f>
        <v/>
      </c>
      <c r="H1234" s="50"/>
      <c r="I1234" s="82" t="str">
        <f aca="false">IF(OR(F1234="",H1234=""),"",F1234*H1234)</f>
        <v/>
      </c>
      <c r="J1234" s="83" t="str">
        <f aca="false">IF(D1234="","",IFERROR(INDEX(식자재단가!$M$4:$M$203,MATCH(D1234,식자재단가!$C$4:$C$203,0)),"과세"))</f>
        <v/>
      </c>
      <c r="K1234" s="28" t="str">
        <f aca="false">IF(I1234="","",IF(J1234="과세",ROUND(I1234*0.1,0),0))</f>
        <v/>
      </c>
      <c r="L1234" s="28" t="str">
        <f aca="false">IF(I1234="","",I1234+K1234)</f>
        <v/>
      </c>
      <c r="M1234" s="10"/>
      <c r="N1234" s="80"/>
      <c r="O1234" s="80"/>
      <c r="P1234" s="59" t="str">
        <f aca="false">IF(E1234="","",IFERROR(INDEX(기본설정!$H$4:$H$14,MATCH(E1234,기본설정!$G$4:$G$14,0)),""))</f>
        <v/>
      </c>
    </row>
    <row r="1235" customFormat="false" ht="15" hidden="false" customHeight="false" outlineLevel="0" collapsed="false">
      <c r="A1235" s="73"/>
      <c r="B1235" s="10"/>
      <c r="C1235" s="80"/>
      <c r="D1235" s="80"/>
      <c r="E1235" s="81" t="str">
        <f aca="false">IF(D1235="","",IFERROR(INDEX(식자재단가!$B$4:$B$203,MATCH(D1235,식자재단가!$C$4:$C$203,0)),""))</f>
        <v/>
      </c>
      <c r="F1235" s="76"/>
      <c r="G1235" s="59" t="str">
        <f aca="false">IF(D1235="","",IFERROR(INDEX(식자재단가!$F$4:$F$203,MATCH(D1235,식자재단가!$C$4:$C$203,0)),""))</f>
        <v/>
      </c>
      <c r="H1235" s="50"/>
      <c r="I1235" s="82" t="str">
        <f aca="false">IF(OR(F1235="",H1235=""),"",F1235*H1235)</f>
        <v/>
      </c>
      <c r="J1235" s="83" t="str">
        <f aca="false">IF(D1235="","",IFERROR(INDEX(식자재단가!$M$4:$M$203,MATCH(D1235,식자재단가!$C$4:$C$203,0)),"과세"))</f>
        <v/>
      </c>
      <c r="K1235" s="28" t="str">
        <f aca="false">IF(I1235="","",IF(J1235="과세",ROUND(I1235*0.1,0),0))</f>
        <v/>
      </c>
      <c r="L1235" s="28" t="str">
        <f aca="false">IF(I1235="","",I1235+K1235)</f>
        <v/>
      </c>
      <c r="M1235" s="10"/>
      <c r="N1235" s="80"/>
      <c r="O1235" s="80"/>
      <c r="P1235" s="59" t="str">
        <f aca="false">IF(E1235="","",IFERROR(INDEX(기본설정!$H$4:$H$14,MATCH(E1235,기본설정!$G$4:$G$14,0)),""))</f>
        <v/>
      </c>
    </row>
    <row r="1236" customFormat="false" ht="15" hidden="false" customHeight="false" outlineLevel="0" collapsed="false">
      <c r="A1236" s="73"/>
      <c r="B1236" s="10"/>
      <c r="C1236" s="80"/>
      <c r="D1236" s="80"/>
      <c r="E1236" s="81" t="str">
        <f aca="false">IF(D1236="","",IFERROR(INDEX(식자재단가!$B$4:$B$203,MATCH(D1236,식자재단가!$C$4:$C$203,0)),""))</f>
        <v/>
      </c>
      <c r="F1236" s="76"/>
      <c r="G1236" s="59" t="str">
        <f aca="false">IF(D1236="","",IFERROR(INDEX(식자재단가!$F$4:$F$203,MATCH(D1236,식자재단가!$C$4:$C$203,0)),""))</f>
        <v/>
      </c>
      <c r="H1236" s="50"/>
      <c r="I1236" s="82" t="str">
        <f aca="false">IF(OR(F1236="",H1236=""),"",F1236*H1236)</f>
        <v/>
      </c>
      <c r="J1236" s="83" t="str">
        <f aca="false">IF(D1236="","",IFERROR(INDEX(식자재단가!$M$4:$M$203,MATCH(D1236,식자재단가!$C$4:$C$203,0)),"과세"))</f>
        <v/>
      </c>
      <c r="K1236" s="28" t="str">
        <f aca="false">IF(I1236="","",IF(J1236="과세",ROUND(I1236*0.1,0),0))</f>
        <v/>
      </c>
      <c r="L1236" s="28" t="str">
        <f aca="false">IF(I1236="","",I1236+K1236)</f>
        <v/>
      </c>
      <c r="M1236" s="10"/>
      <c r="N1236" s="80"/>
      <c r="O1236" s="80"/>
      <c r="P1236" s="59" t="str">
        <f aca="false">IF(E1236="","",IFERROR(INDEX(기본설정!$H$4:$H$14,MATCH(E1236,기본설정!$G$4:$G$14,0)),""))</f>
        <v/>
      </c>
    </row>
    <row r="1237" customFormat="false" ht="15" hidden="false" customHeight="false" outlineLevel="0" collapsed="false">
      <c r="A1237" s="73"/>
      <c r="B1237" s="10"/>
      <c r="C1237" s="80"/>
      <c r="D1237" s="80"/>
      <c r="E1237" s="81" t="str">
        <f aca="false">IF(D1237="","",IFERROR(INDEX(식자재단가!$B$4:$B$203,MATCH(D1237,식자재단가!$C$4:$C$203,0)),""))</f>
        <v/>
      </c>
      <c r="F1237" s="76"/>
      <c r="G1237" s="59" t="str">
        <f aca="false">IF(D1237="","",IFERROR(INDEX(식자재단가!$F$4:$F$203,MATCH(D1237,식자재단가!$C$4:$C$203,0)),""))</f>
        <v/>
      </c>
      <c r="H1237" s="50"/>
      <c r="I1237" s="82" t="str">
        <f aca="false">IF(OR(F1237="",H1237=""),"",F1237*H1237)</f>
        <v/>
      </c>
      <c r="J1237" s="83" t="str">
        <f aca="false">IF(D1237="","",IFERROR(INDEX(식자재단가!$M$4:$M$203,MATCH(D1237,식자재단가!$C$4:$C$203,0)),"과세"))</f>
        <v/>
      </c>
      <c r="K1237" s="28" t="str">
        <f aca="false">IF(I1237="","",IF(J1237="과세",ROUND(I1237*0.1,0),0))</f>
        <v/>
      </c>
      <c r="L1237" s="28" t="str">
        <f aca="false">IF(I1237="","",I1237+K1237)</f>
        <v/>
      </c>
      <c r="M1237" s="10"/>
      <c r="N1237" s="80"/>
      <c r="O1237" s="80"/>
      <c r="P1237" s="59" t="str">
        <f aca="false">IF(E1237="","",IFERROR(INDEX(기본설정!$H$4:$H$14,MATCH(E1237,기본설정!$G$4:$G$14,0)),""))</f>
        <v/>
      </c>
    </row>
    <row r="1238" customFormat="false" ht="15" hidden="false" customHeight="false" outlineLevel="0" collapsed="false">
      <c r="A1238" s="73"/>
      <c r="B1238" s="10"/>
      <c r="C1238" s="80"/>
      <c r="D1238" s="80"/>
      <c r="E1238" s="81" t="str">
        <f aca="false">IF(D1238="","",IFERROR(INDEX(식자재단가!$B$4:$B$203,MATCH(D1238,식자재단가!$C$4:$C$203,0)),""))</f>
        <v/>
      </c>
      <c r="F1238" s="76"/>
      <c r="G1238" s="59" t="str">
        <f aca="false">IF(D1238="","",IFERROR(INDEX(식자재단가!$F$4:$F$203,MATCH(D1238,식자재단가!$C$4:$C$203,0)),""))</f>
        <v/>
      </c>
      <c r="H1238" s="50"/>
      <c r="I1238" s="82" t="str">
        <f aca="false">IF(OR(F1238="",H1238=""),"",F1238*H1238)</f>
        <v/>
      </c>
      <c r="J1238" s="83" t="str">
        <f aca="false">IF(D1238="","",IFERROR(INDEX(식자재단가!$M$4:$M$203,MATCH(D1238,식자재단가!$C$4:$C$203,0)),"과세"))</f>
        <v/>
      </c>
      <c r="K1238" s="28" t="str">
        <f aca="false">IF(I1238="","",IF(J1238="과세",ROUND(I1238*0.1,0),0))</f>
        <v/>
      </c>
      <c r="L1238" s="28" t="str">
        <f aca="false">IF(I1238="","",I1238+K1238)</f>
        <v/>
      </c>
      <c r="M1238" s="10"/>
      <c r="N1238" s="80"/>
      <c r="O1238" s="80"/>
      <c r="P1238" s="59" t="str">
        <f aca="false">IF(E1238="","",IFERROR(INDEX(기본설정!$H$4:$H$14,MATCH(E1238,기본설정!$G$4:$G$14,0)),""))</f>
        <v/>
      </c>
    </row>
    <row r="1239" customFormat="false" ht="15" hidden="false" customHeight="false" outlineLevel="0" collapsed="false">
      <c r="A1239" s="73"/>
      <c r="B1239" s="10"/>
      <c r="C1239" s="80"/>
      <c r="D1239" s="80"/>
      <c r="E1239" s="81" t="str">
        <f aca="false">IF(D1239="","",IFERROR(INDEX(식자재단가!$B$4:$B$203,MATCH(D1239,식자재단가!$C$4:$C$203,0)),""))</f>
        <v/>
      </c>
      <c r="F1239" s="76"/>
      <c r="G1239" s="59" t="str">
        <f aca="false">IF(D1239="","",IFERROR(INDEX(식자재단가!$F$4:$F$203,MATCH(D1239,식자재단가!$C$4:$C$203,0)),""))</f>
        <v/>
      </c>
      <c r="H1239" s="50"/>
      <c r="I1239" s="82" t="str">
        <f aca="false">IF(OR(F1239="",H1239=""),"",F1239*H1239)</f>
        <v/>
      </c>
      <c r="J1239" s="83" t="str">
        <f aca="false">IF(D1239="","",IFERROR(INDEX(식자재단가!$M$4:$M$203,MATCH(D1239,식자재단가!$C$4:$C$203,0)),"과세"))</f>
        <v/>
      </c>
      <c r="K1239" s="28" t="str">
        <f aca="false">IF(I1239="","",IF(J1239="과세",ROUND(I1239*0.1,0),0))</f>
        <v/>
      </c>
      <c r="L1239" s="28" t="str">
        <f aca="false">IF(I1239="","",I1239+K1239)</f>
        <v/>
      </c>
      <c r="M1239" s="10"/>
      <c r="N1239" s="80"/>
      <c r="O1239" s="80"/>
      <c r="P1239" s="59" t="str">
        <f aca="false">IF(E1239="","",IFERROR(INDEX(기본설정!$H$4:$H$14,MATCH(E1239,기본설정!$G$4:$G$14,0)),""))</f>
        <v/>
      </c>
    </row>
    <row r="1240" customFormat="false" ht="15" hidden="false" customHeight="false" outlineLevel="0" collapsed="false">
      <c r="A1240" s="73"/>
      <c r="B1240" s="10"/>
      <c r="C1240" s="80"/>
      <c r="D1240" s="80"/>
      <c r="E1240" s="81" t="str">
        <f aca="false">IF(D1240="","",IFERROR(INDEX(식자재단가!$B$4:$B$203,MATCH(D1240,식자재단가!$C$4:$C$203,0)),""))</f>
        <v/>
      </c>
      <c r="F1240" s="76"/>
      <c r="G1240" s="59" t="str">
        <f aca="false">IF(D1240="","",IFERROR(INDEX(식자재단가!$F$4:$F$203,MATCH(D1240,식자재단가!$C$4:$C$203,0)),""))</f>
        <v/>
      </c>
      <c r="H1240" s="50"/>
      <c r="I1240" s="82" t="str">
        <f aca="false">IF(OR(F1240="",H1240=""),"",F1240*H1240)</f>
        <v/>
      </c>
      <c r="J1240" s="83" t="str">
        <f aca="false">IF(D1240="","",IFERROR(INDEX(식자재단가!$M$4:$M$203,MATCH(D1240,식자재단가!$C$4:$C$203,0)),"과세"))</f>
        <v/>
      </c>
      <c r="K1240" s="28" t="str">
        <f aca="false">IF(I1240="","",IF(J1240="과세",ROUND(I1240*0.1,0),0))</f>
        <v/>
      </c>
      <c r="L1240" s="28" t="str">
        <f aca="false">IF(I1240="","",I1240+K1240)</f>
        <v/>
      </c>
      <c r="M1240" s="10"/>
      <c r="N1240" s="80"/>
      <c r="O1240" s="80"/>
      <c r="P1240" s="59" t="str">
        <f aca="false">IF(E1240="","",IFERROR(INDEX(기본설정!$H$4:$H$14,MATCH(E1240,기본설정!$G$4:$G$14,0)),""))</f>
        <v/>
      </c>
    </row>
    <row r="1241" customFormat="false" ht="15" hidden="false" customHeight="false" outlineLevel="0" collapsed="false">
      <c r="A1241" s="73"/>
      <c r="B1241" s="10"/>
      <c r="C1241" s="80"/>
      <c r="D1241" s="80"/>
      <c r="E1241" s="81" t="str">
        <f aca="false">IF(D1241="","",IFERROR(INDEX(식자재단가!$B$4:$B$203,MATCH(D1241,식자재단가!$C$4:$C$203,0)),""))</f>
        <v/>
      </c>
      <c r="F1241" s="76"/>
      <c r="G1241" s="59" t="str">
        <f aca="false">IF(D1241="","",IFERROR(INDEX(식자재단가!$F$4:$F$203,MATCH(D1241,식자재단가!$C$4:$C$203,0)),""))</f>
        <v/>
      </c>
      <c r="H1241" s="50"/>
      <c r="I1241" s="82" t="str">
        <f aca="false">IF(OR(F1241="",H1241=""),"",F1241*H1241)</f>
        <v/>
      </c>
      <c r="J1241" s="83" t="str">
        <f aca="false">IF(D1241="","",IFERROR(INDEX(식자재단가!$M$4:$M$203,MATCH(D1241,식자재단가!$C$4:$C$203,0)),"과세"))</f>
        <v/>
      </c>
      <c r="K1241" s="28" t="str">
        <f aca="false">IF(I1241="","",IF(J1241="과세",ROUND(I1241*0.1,0),0))</f>
        <v/>
      </c>
      <c r="L1241" s="28" t="str">
        <f aca="false">IF(I1241="","",I1241+K1241)</f>
        <v/>
      </c>
      <c r="M1241" s="10"/>
      <c r="N1241" s="80"/>
      <c r="O1241" s="80"/>
      <c r="P1241" s="59" t="str">
        <f aca="false">IF(E1241="","",IFERROR(INDEX(기본설정!$H$4:$H$14,MATCH(E1241,기본설정!$G$4:$G$14,0)),""))</f>
        <v/>
      </c>
    </row>
    <row r="1242" customFormat="false" ht="15" hidden="false" customHeight="false" outlineLevel="0" collapsed="false">
      <c r="A1242" s="73"/>
      <c r="B1242" s="10"/>
      <c r="C1242" s="80"/>
      <c r="D1242" s="80"/>
      <c r="E1242" s="81" t="str">
        <f aca="false">IF(D1242="","",IFERROR(INDEX(식자재단가!$B$4:$B$203,MATCH(D1242,식자재단가!$C$4:$C$203,0)),""))</f>
        <v/>
      </c>
      <c r="F1242" s="76"/>
      <c r="G1242" s="59" t="str">
        <f aca="false">IF(D1242="","",IFERROR(INDEX(식자재단가!$F$4:$F$203,MATCH(D1242,식자재단가!$C$4:$C$203,0)),""))</f>
        <v/>
      </c>
      <c r="H1242" s="50"/>
      <c r="I1242" s="82" t="str">
        <f aca="false">IF(OR(F1242="",H1242=""),"",F1242*H1242)</f>
        <v/>
      </c>
      <c r="J1242" s="83" t="str">
        <f aca="false">IF(D1242="","",IFERROR(INDEX(식자재단가!$M$4:$M$203,MATCH(D1242,식자재단가!$C$4:$C$203,0)),"과세"))</f>
        <v/>
      </c>
      <c r="K1242" s="28" t="str">
        <f aca="false">IF(I1242="","",IF(J1242="과세",ROUND(I1242*0.1,0),0))</f>
        <v/>
      </c>
      <c r="L1242" s="28" t="str">
        <f aca="false">IF(I1242="","",I1242+K1242)</f>
        <v/>
      </c>
      <c r="M1242" s="10"/>
      <c r="N1242" s="80"/>
      <c r="O1242" s="80"/>
      <c r="P1242" s="59" t="str">
        <f aca="false">IF(E1242="","",IFERROR(INDEX(기본설정!$H$4:$H$14,MATCH(E1242,기본설정!$G$4:$G$14,0)),""))</f>
        <v/>
      </c>
    </row>
    <row r="1243" customFormat="false" ht="15" hidden="false" customHeight="false" outlineLevel="0" collapsed="false">
      <c r="A1243" s="73"/>
      <c r="B1243" s="10"/>
      <c r="C1243" s="80"/>
      <c r="D1243" s="80"/>
      <c r="E1243" s="81" t="str">
        <f aca="false">IF(D1243="","",IFERROR(INDEX(식자재단가!$B$4:$B$203,MATCH(D1243,식자재단가!$C$4:$C$203,0)),""))</f>
        <v/>
      </c>
      <c r="F1243" s="76"/>
      <c r="G1243" s="59" t="str">
        <f aca="false">IF(D1243="","",IFERROR(INDEX(식자재단가!$F$4:$F$203,MATCH(D1243,식자재단가!$C$4:$C$203,0)),""))</f>
        <v/>
      </c>
      <c r="H1243" s="50"/>
      <c r="I1243" s="82" t="str">
        <f aca="false">IF(OR(F1243="",H1243=""),"",F1243*H1243)</f>
        <v/>
      </c>
      <c r="J1243" s="83" t="str">
        <f aca="false">IF(D1243="","",IFERROR(INDEX(식자재단가!$M$4:$M$203,MATCH(D1243,식자재단가!$C$4:$C$203,0)),"과세"))</f>
        <v/>
      </c>
      <c r="K1243" s="28" t="str">
        <f aca="false">IF(I1243="","",IF(J1243="과세",ROUND(I1243*0.1,0),0))</f>
        <v/>
      </c>
      <c r="L1243" s="28" t="str">
        <f aca="false">IF(I1243="","",I1243+K1243)</f>
        <v/>
      </c>
      <c r="M1243" s="10"/>
      <c r="N1243" s="80"/>
      <c r="O1243" s="80"/>
      <c r="P1243" s="59" t="str">
        <f aca="false">IF(E1243="","",IFERROR(INDEX(기본설정!$H$4:$H$14,MATCH(E1243,기본설정!$G$4:$G$14,0)),""))</f>
        <v/>
      </c>
    </row>
    <row r="1244" customFormat="false" ht="15" hidden="false" customHeight="false" outlineLevel="0" collapsed="false">
      <c r="A1244" s="73"/>
      <c r="B1244" s="10"/>
      <c r="C1244" s="80"/>
      <c r="D1244" s="80"/>
      <c r="E1244" s="81" t="str">
        <f aca="false">IF(D1244="","",IFERROR(INDEX(식자재단가!$B$4:$B$203,MATCH(D1244,식자재단가!$C$4:$C$203,0)),""))</f>
        <v/>
      </c>
      <c r="F1244" s="76"/>
      <c r="G1244" s="59" t="str">
        <f aca="false">IF(D1244="","",IFERROR(INDEX(식자재단가!$F$4:$F$203,MATCH(D1244,식자재단가!$C$4:$C$203,0)),""))</f>
        <v/>
      </c>
      <c r="H1244" s="50"/>
      <c r="I1244" s="82" t="str">
        <f aca="false">IF(OR(F1244="",H1244=""),"",F1244*H1244)</f>
        <v/>
      </c>
      <c r="J1244" s="83" t="str">
        <f aca="false">IF(D1244="","",IFERROR(INDEX(식자재단가!$M$4:$M$203,MATCH(D1244,식자재단가!$C$4:$C$203,0)),"과세"))</f>
        <v/>
      </c>
      <c r="K1244" s="28" t="str">
        <f aca="false">IF(I1244="","",IF(J1244="과세",ROUND(I1244*0.1,0),0))</f>
        <v/>
      </c>
      <c r="L1244" s="28" t="str">
        <f aca="false">IF(I1244="","",I1244+K1244)</f>
        <v/>
      </c>
      <c r="M1244" s="10"/>
      <c r="N1244" s="80"/>
      <c r="O1244" s="80"/>
      <c r="P1244" s="59" t="str">
        <f aca="false">IF(E1244="","",IFERROR(INDEX(기본설정!$H$4:$H$14,MATCH(E1244,기본설정!$G$4:$G$14,0)),""))</f>
        <v/>
      </c>
    </row>
    <row r="1245" customFormat="false" ht="15" hidden="false" customHeight="false" outlineLevel="0" collapsed="false">
      <c r="A1245" s="73"/>
      <c r="B1245" s="10"/>
      <c r="C1245" s="80"/>
      <c r="D1245" s="80"/>
      <c r="E1245" s="81" t="str">
        <f aca="false">IF(D1245="","",IFERROR(INDEX(식자재단가!$B$4:$B$203,MATCH(D1245,식자재단가!$C$4:$C$203,0)),""))</f>
        <v/>
      </c>
      <c r="F1245" s="76"/>
      <c r="G1245" s="59" t="str">
        <f aca="false">IF(D1245="","",IFERROR(INDEX(식자재단가!$F$4:$F$203,MATCH(D1245,식자재단가!$C$4:$C$203,0)),""))</f>
        <v/>
      </c>
      <c r="H1245" s="50"/>
      <c r="I1245" s="82" t="str">
        <f aca="false">IF(OR(F1245="",H1245=""),"",F1245*H1245)</f>
        <v/>
      </c>
      <c r="J1245" s="83" t="str">
        <f aca="false">IF(D1245="","",IFERROR(INDEX(식자재단가!$M$4:$M$203,MATCH(D1245,식자재단가!$C$4:$C$203,0)),"과세"))</f>
        <v/>
      </c>
      <c r="K1245" s="28" t="str">
        <f aca="false">IF(I1245="","",IF(J1245="과세",ROUND(I1245*0.1,0),0))</f>
        <v/>
      </c>
      <c r="L1245" s="28" t="str">
        <f aca="false">IF(I1245="","",I1245+K1245)</f>
        <v/>
      </c>
      <c r="M1245" s="10"/>
      <c r="N1245" s="80"/>
      <c r="O1245" s="80"/>
      <c r="P1245" s="59" t="str">
        <f aca="false">IF(E1245="","",IFERROR(INDEX(기본설정!$H$4:$H$14,MATCH(E1245,기본설정!$G$4:$G$14,0)),""))</f>
        <v/>
      </c>
    </row>
    <row r="1246" customFormat="false" ht="15" hidden="false" customHeight="false" outlineLevel="0" collapsed="false">
      <c r="A1246" s="73"/>
      <c r="B1246" s="10"/>
      <c r="C1246" s="80"/>
      <c r="D1246" s="80"/>
      <c r="E1246" s="81" t="str">
        <f aca="false">IF(D1246="","",IFERROR(INDEX(식자재단가!$B$4:$B$203,MATCH(D1246,식자재단가!$C$4:$C$203,0)),""))</f>
        <v/>
      </c>
      <c r="F1246" s="76"/>
      <c r="G1246" s="59" t="str">
        <f aca="false">IF(D1246="","",IFERROR(INDEX(식자재단가!$F$4:$F$203,MATCH(D1246,식자재단가!$C$4:$C$203,0)),""))</f>
        <v/>
      </c>
      <c r="H1246" s="50"/>
      <c r="I1246" s="82" t="str">
        <f aca="false">IF(OR(F1246="",H1246=""),"",F1246*H1246)</f>
        <v/>
      </c>
      <c r="J1246" s="83" t="str">
        <f aca="false">IF(D1246="","",IFERROR(INDEX(식자재단가!$M$4:$M$203,MATCH(D1246,식자재단가!$C$4:$C$203,0)),"과세"))</f>
        <v/>
      </c>
      <c r="K1246" s="28" t="str">
        <f aca="false">IF(I1246="","",IF(J1246="과세",ROUND(I1246*0.1,0),0))</f>
        <v/>
      </c>
      <c r="L1246" s="28" t="str">
        <f aca="false">IF(I1246="","",I1246+K1246)</f>
        <v/>
      </c>
      <c r="M1246" s="10"/>
      <c r="N1246" s="80"/>
      <c r="O1246" s="80"/>
      <c r="P1246" s="59" t="str">
        <f aca="false">IF(E1246="","",IFERROR(INDEX(기본설정!$H$4:$H$14,MATCH(E1246,기본설정!$G$4:$G$14,0)),""))</f>
        <v/>
      </c>
    </row>
    <row r="1247" customFormat="false" ht="15" hidden="false" customHeight="false" outlineLevel="0" collapsed="false">
      <c r="A1247" s="73"/>
      <c r="B1247" s="10"/>
      <c r="C1247" s="80"/>
      <c r="D1247" s="80"/>
      <c r="E1247" s="81" t="str">
        <f aca="false">IF(D1247="","",IFERROR(INDEX(식자재단가!$B$4:$B$203,MATCH(D1247,식자재단가!$C$4:$C$203,0)),""))</f>
        <v/>
      </c>
      <c r="F1247" s="76"/>
      <c r="G1247" s="59" t="str">
        <f aca="false">IF(D1247="","",IFERROR(INDEX(식자재단가!$F$4:$F$203,MATCH(D1247,식자재단가!$C$4:$C$203,0)),""))</f>
        <v/>
      </c>
      <c r="H1247" s="50"/>
      <c r="I1247" s="82" t="str">
        <f aca="false">IF(OR(F1247="",H1247=""),"",F1247*H1247)</f>
        <v/>
      </c>
      <c r="J1247" s="83" t="str">
        <f aca="false">IF(D1247="","",IFERROR(INDEX(식자재단가!$M$4:$M$203,MATCH(D1247,식자재단가!$C$4:$C$203,0)),"과세"))</f>
        <v/>
      </c>
      <c r="K1247" s="28" t="str">
        <f aca="false">IF(I1247="","",IF(J1247="과세",ROUND(I1247*0.1,0),0))</f>
        <v/>
      </c>
      <c r="L1247" s="28" t="str">
        <f aca="false">IF(I1247="","",I1247+K1247)</f>
        <v/>
      </c>
      <c r="M1247" s="10"/>
      <c r="N1247" s="80"/>
      <c r="O1247" s="80"/>
      <c r="P1247" s="59" t="str">
        <f aca="false">IF(E1247="","",IFERROR(INDEX(기본설정!$H$4:$H$14,MATCH(E1247,기본설정!$G$4:$G$14,0)),""))</f>
        <v/>
      </c>
    </row>
    <row r="1248" customFormat="false" ht="15" hidden="false" customHeight="false" outlineLevel="0" collapsed="false">
      <c r="A1248" s="73"/>
      <c r="B1248" s="10"/>
      <c r="C1248" s="80"/>
      <c r="D1248" s="80"/>
      <c r="E1248" s="81" t="str">
        <f aca="false">IF(D1248="","",IFERROR(INDEX(식자재단가!$B$4:$B$203,MATCH(D1248,식자재단가!$C$4:$C$203,0)),""))</f>
        <v/>
      </c>
      <c r="F1248" s="76"/>
      <c r="G1248" s="59" t="str">
        <f aca="false">IF(D1248="","",IFERROR(INDEX(식자재단가!$F$4:$F$203,MATCH(D1248,식자재단가!$C$4:$C$203,0)),""))</f>
        <v/>
      </c>
      <c r="H1248" s="50"/>
      <c r="I1248" s="82" t="str">
        <f aca="false">IF(OR(F1248="",H1248=""),"",F1248*H1248)</f>
        <v/>
      </c>
      <c r="J1248" s="83" t="str">
        <f aca="false">IF(D1248="","",IFERROR(INDEX(식자재단가!$M$4:$M$203,MATCH(D1248,식자재단가!$C$4:$C$203,0)),"과세"))</f>
        <v/>
      </c>
      <c r="K1248" s="28" t="str">
        <f aca="false">IF(I1248="","",IF(J1248="과세",ROUND(I1248*0.1,0),0))</f>
        <v/>
      </c>
      <c r="L1248" s="28" t="str">
        <f aca="false">IF(I1248="","",I1248+K1248)</f>
        <v/>
      </c>
      <c r="M1248" s="10"/>
      <c r="N1248" s="80"/>
      <c r="O1248" s="80"/>
      <c r="P1248" s="59" t="str">
        <f aca="false">IF(E1248="","",IFERROR(INDEX(기본설정!$H$4:$H$14,MATCH(E1248,기본설정!$G$4:$G$14,0)),""))</f>
        <v/>
      </c>
    </row>
    <row r="1249" customFormat="false" ht="15" hidden="false" customHeight="false" outlineLevel="0" collapsed="false">
      <c r="A1249" s="73"/>
      <c r="B1249" s="10"/>
      <c r="C1249" s="80"/>
      <c r="D1249" s="80"/>
      <c r="E1249" s="81" t="str">
        <f aca="false">IF(D1249="","",IFERROR(INDEX(식자재단가!$B$4:$B$203,MATCH(D1249,식자재단가!$C$4:$C$203,0)),""))</f>
        <v/>
      </c>
      <c r="F1249" s="76"/>
      <c r="G1249" s="59" t="str">
        <f aca="false">IF(D1249="","",IFERROR(INDEX(식자재단가!$F$4:$F$203,MATCH(D1249,식자재단가!$C$4:$C$203,0)),""))</f>
        <v/>
      </c>
      <c r="H1249" s="50"/>
      <c r="I1249" s="82" t="str">
        <f aca="false">IF(OR(F1249="",H1249=""),"",F1249*H1249)</f>
        <v/>
      </c>
      <c r="J1249" s="83" t="str">
        <f aca="false">IF(D1249="","",IFERROR(INDEX(식자재단가!$M$4:$M$203,MATCH(D1249,식자재단가!$C$4:$C$203,0)),"과세"))</f>
        <v/>
      </c>
      <c r="K1249" s="28" t="str">
        <f aca="false">IF(I1249="","",IF(J1249="과세",ROUND(I1249*0.1,0),0))</f>
        <v/>
      </c>
      <c r="L1249" s="28" t="str">
        <f aca="false">IF(I1249="","",I1249+K1249)</f>
        <v/>
      </c>
      <c r="M1249" s="10"/>
      <c r="N1249" s="80"/>
      <c r="O1249" s="80"/>
      <c r="P1249" s="59" t="str">
        <f aca="false">IF(E1249="","",IFERROR(INDEX(기본설정!$H$4:$H$14,MATCH(E1249,기본설정!$G$4:$G$14,0)),""))</f>
        <v/>
      </c>
    </row>
    <row r="1250" customFormat="false" ht="15" hidden="false" customHeight="false" outlineLevel="0" collapsed="false">
      <c r="A1250" s="73"/>
      <c r="B1250" s="10"/>
      <c r="C1250" s="80"/>
      <c r="D1250" s="80"/>
      <c r="E1250" s="81" t="str">
        <f aca="false">IF(D1250="","",IFERROR(INDEX(식자재단가!$B$4:$B$203,MATCH(D1250,식자재단가!$C$4:$C$203,0)),""))</f>
        <v/>
      </c>
      <c r="F1250" s="76"/>
      <c r="G1250" s="59" t="str">
        <f aca="false">IF(D1250="","",IFERROR(INDEX(식자재단가!$F$4:$F$203,MATCH(D1250,식자재단가!$C$4:$C$203,0)),""))</f>
        <v/>
      </c>
      <c r="H1250" s="50"/>
      <c r="I1250" s="82" t="str">
        <f aca="false">IF(OR(F1250="",H1250=""),"",F1250*H1250)</f>
        <v/>
      </c>
      <c r="J1250" s="83" t="str">
        <f aca="false">IF(D1250="","",IFERROR(INDEX(식자재단가!$M$4:$M$203,MATCH(D1250,식자재단가!$C$4:$C$203,0)),"과세"))</f>
        <v/>
      </c>
      <c r="K1250" s="28" t="str">
        <f aca="false">IF(I1250="","",IF(J1250="과세",ROUND(I1250*0.1,0),0))</f>
        <v/>
      </c>
      <c r="L1250" s="28" t="str">
        <f aca="false">IF(I1250="","",I1250+K1250)</f>
        <v/>
      </c>
      <c r="M1250" s="10"/>
      <c r="N1250" s="80"/>
      <c r="O1250" s="80"/>
      <c r="P1250" s="59" t="str">
        <f aca="false">IF(E1250="","",IFERROR(INDEX(기본설정!$H$4:$H$14,MATCH(E1250,기본설정!$G$4:$G$14,0)),""))</f>
        <v/>
      </c>
    </row>
    <row r="1251" customFormat="false" ht="15" hidden="false" customHeight="false" outlineLevel="0" collapsed="false">
      <c r="A1251" s="73"/>
      <c r="B1251" s="10"/>
      <c r="C1251" s="80"/>
      <c r="D1251" s="80"/>
      <c r="E1251" s="81" t="str">
        <f aca="false">IF(D1251="","",IFERROR(INDEX(식자재단가!$B$4:$B$203,MATCH(D1251,식자재단가!$C$4:$C$203,0)),""))</f>
        <v/>
      </c>
      <c r="F1251" s="76"/>
      <c r="G1251" s="59" t="str">
        <f aca="false">IF(D1251="","",IFERROR(INDEX(식자재단가!$F$4:$F$203,MATCH(D1251,식자재단가!$C$4:$C$203,0)),""))</f>
        <v/>
      </c>
      <c r="H1251" s="50"/>
      <c r="I1251" s="82" t="str">
        <f aca="false">IF(OR(F1251="",H1251=""),"",F1251*H1251)</f>
        <v/>
      </c>
      <c r="J1251" s="83" t="str">
        <f aca="false">IF(D1251="","",IFERROR(INDEX(식자재단가!$M$4:$M$203,MATCH(D1251,식자재단가!$C$4:$C$203,0)),"과세"))</f>
        <v/>
      </c>
      <c r="K1251" s="28" t="str">
        <f aca="false">IF(I1251="","",IF(J1251="과세",ROUND(I1251*0.1,0),0))</f>
        <v/>
      </c>
      <c r="L1251" s="28" t="str">
        <f aca="false">IF(I1251="","",I1251+K1251)</f>
        <v/>
      </c>
      <c r="M1251" s="10"/>
      <c r="N1251" s="80"/>
      <c r="O1251" s="80"/>
      <c r="P1251" s="59" t="str">
        <f aca="false">IF(E1251="","",IFERROR(INDEX(기본설정!$H$4:$H$14,MATCH(E1251,기본설정!$G$4:$G$14,0)),""))</f>
        <v/>
      </c>
    </row>
    <row r="1252" customFormat="false" ht="15" hidden="false" customHeight="false" outlineLevel="0" collapsed="false">
      <c r="A1252" s="73"/>
      <c r="B1252" s="10"/>
      <c r="C1252" s="80"/>
      <c r="D1252" s="80"/>
      <c r="E1252" s="81" t="str">
        <f aca="false">IF(D1252="","",IFERROR(INDEX(식자재단가!$B$4:$B$203,MATCH(D1252,식자재단가!$C$4:$C$203,0)),""))</f>
        <v/>
      </c>
      <c r="F1252" s="76"/>
      <c r="G1252" s="59" t="str">
        <f aca="false">IF(D1252="","",IFERROR(INDEX(식자재단가!$F$4:$F$203,MATCH(D1252,식자재단가!$C$4:$C$203,0)),""))</f>
        <v/>
      </c>
      <c r="H1252" s="50"/>
      <c r="I1252" s="82" t="str">
        <f aca="false">IF(OR(F1252="",H1252=""),"",F1252*H1252)</f>
        <v/>
      </c>
      <c r="J1252" s="83" t="str">
        <f aca="false">IF(D1252="","",IFERROR(INDEX(식자재단가!$M$4:$M$203,MATCH(D1252,식자재단가!$C$4:$C$203,0)),"과세"))</f>
        <v/>
      </c>
      <c r="K1252" s="28" t="str">
        <f aca="false">IF(I1252="","",IF(J1252="과세",ROUND(I1252*0.1,0),0))</f>
        <v/>
      </c>
      <c r="L1252" s="28" t="str">
        <f aca="false">IF(I1252="","",I1252+K1252)</f>
        <v/>
      </c>
      <c r="M1252" s="10"/>
      <c r="N1252" s="80"/>
      <c r="O1252" s="80"/>
      <c r="P1252" s="59" t="str">
        <f aca="false">IF(E1252="","",IFERROR(INDEX(기본설정!$H$4:$H$14,MATCH(E1252,기본설정!$G$4:$G$14,0)),""))</f>
        <v/>
      </c>
    </row>
    <row r="1253" customFormat="false" ht="15" hidden="false" customHeight="false" outlineLevel="0" collapsed="false">
      <c r="A1253" s="73"/>
      <c r="B1253" s="10"/>
      <c r="C1253" s="80"/>
      <c r="D1253" s="80"/>
      <c r="E1253" s="81" t="str">
        <f aca="false">IF(D1253="","",IFERROR(INDEX(식자재단가!$B$4:$B$203,MATCH(D1253,식자재단가!$C$4:$C$203,0)),""))</f>
        <v/>
      </c>
      <c r="F1253" s="76"/>
      <c r="G1253" s="59" t="str">
        <f aca="false">IF(D1253="","",IFERROR(INDEX(식자재단가!$F$4:$F$203,MATCH(D1253,식자재단가!$C$4:$C$203,0)),""))</f>
        <v/>
      </c>
      <c r="H1253" s="50"/>
      <c r="I1253" s="82" t="str">
        <f aca="false">IF(OR(F1253="",H1253=""),"",F1253*H1253)</f>
        <v/>
      </c>
      <c r="J1253" s="83" t="str">
        <f aca="false">IF(D1253="","",IFERROR(INDEX(식자재단가!$M$4:$M$203,MATCH(D1253,식자재단가!$C$4:$C$203,0)),"과세"))</f>
        <v/>
      </c>
      <c r="K1253" s="28" t="str">
        <f aca="false">IF(I1253="","",IF(J1253="과세",ROUND(I1253*0.1,0),0))</f>
        <v/>
      </c>
      <c r="L1253" s="28" t="str">
        <f aca="false">IF(I1253="","",I1253+K1253)</f>
        <v/>
      </c>
      <c r="M1253" s="10"/>
      <c r="N1253" s="80"/>
      <c r="O1253" s="80"/>
      <c r="P1253" s="59" t="str">
        <f aca="false">IF(E1253="","",IFERROR(INDEX(기본설정!$H$4:$H$14,MATCH(E1253,기본설정!$G$4:$G$14,0)),""))</f>
        <v/>
      </c>
    </row>
    <row r="1254" customFormat="false" ht="15" hidden="false" customHeight="false" outlineLevel="0" collapsed="false">
      <c r="A1254" s="73"/>
      <c r="B1254" s="10"/>
      <c r="C1254" s="80"/>
      <c r="D1254" s="80"/>
      <c r="E1254" s="81" t="str">
        <f aca="false">IF(D1254="","",IFERROR(INDEX(식자재단가!$B$4:$B$203,MATCH(D1254,식자재단가!$C$4:$C$203,0)),""))</f>
        <v/>
      </c>
      <c r="F1254" s="76"/>
      <c r="G1254" s="59" t="str">
        <f aca="false">IF(D1254="","",IFERROR(INDEX(식자재단가!$F$4:$F$203,MATCH(D1254,식자재단가!$C$4:$C$203,0)),""))</f>
        <v/>
      </c>
      <c r="H1254" s="50"/>
      <c r="I1254" s="82" t="str">
        <f aca="false">IF(OR(F1254="",H1254=""),"",F1254*H1254)</f>
        <v/>
      </c>
      <c r="J1254" s="83" t="str">
        <f aca="false">IF(D1254="","",IFERROR(INDEX(식자재단가!$M$4:$M$203,MATCH(D1254,식자재단가!$C$4:$C$203,0)),"과세"))</f>
        <v/>
      </c>
      <c r="K1254" s="28" t="str">
        <f aca="false">IF(I1254="","",IF(J1254="과세",ROUND(I1254*0.1,0),0))</f>
        <v/>
      </c>
      <c r="L1254" s="28" t="str">
        <f aca="false">IF(I1254="","",I1254+K1254)</f>
        <v/>
      </c>
      <c r="M1254" s="10"/>
      <c r="N1254" s="80"/>
      <c r="O1254" s="80"/>
      <c r="P1254" s="59" t="str">
        <f aca="false">IF(E1254="","",IFERROR(INDEX(기본설정!$H$4:$H$14,MATCH(E1254,기본설정!$G$4:$G$14,0)),""))</f>
        <v/>
      </c>
    </row>
    <row r="1255" customFormat="false" ht="15" hidden="false" customHeight="false" outlineLevel="0" collapsed="false">
      <c r="A1255" s="73"/>
      <c r="B1255" s="10"/>
      <c r="C1255" s="80"/>
      <c r="D1255" s="80"/>
      <c r="E1255" s="81" t="str">
        <f aca="false">IF(D1255="","",IFERROR(INDEX(식자재단가!$B$4:$B$203,MATCH(D1255,식자재단가!$C$4:$C$203,0)),""))</f>
        <v/>
      </c>
      <c r="F1255" s="76"/>
      <c r="G1255" s="59" t="str">
        <f aca="false">IF(D1255="","",IFERROR(INDEX(식자재단가!$F$4:$F$203,MATCH(D1255,식자재단가!$C$4:$C$203,0)),""))</f>
        <v/>
      </c>
      <c r="H1255" s="50"/>
      <c r="I1255" s="82" t="str">
        <f aca="false">IF(OR(F1255="",H1255=""),"",F1255*H1255)</f>
        <v/>
      </c>
      <c r="J1255" s="83" t="str">
        <f aca="false">IF(D1255="","",IFERROR(INDEX(식자재단가!$M$4:$M$203,MATCH(D1255,식자재단가!$C$4:$C$203,0)),"과세"))</f>
        <v/>
      </c>
      <c r="K1255" s="28" t="str">
        <f aca="false">IF(I1255="","",IF(J1255="과세",ROUND(I1255*0.1,0),0))</f>
        <v/>
      </c>
      <c r="L1255" s="28" t="str">
        <f aca="false">IF(I1255="","",I1255+K1255)</f>
        <v/>
      </c>
      <c r="M1255" s="10"/>
      <c r="N1255" s="80"/>
      <c r="O1255" s="80"/>
      <c r="P1255" s="59" t="str">
        <f aca="false">IF(E1255="","",IFERROR(INDEX(기본설정!$H$4:$H$14,MATCH(E1255,기본설정!$G$4:$G$14,0)),""))</f>
        <v/>
      </c>
    </row>
    <row r="1256" customFormat="false" ht="15" hidden="false" customHeight="false" outlineLevel="0" collapsed="false">
      <c r="A1256" s="73"/>
      <c r="B1256" s="10"/>
      <c r="C1256" s="80"/>
      <c r="D1256" s="80"/>
      <c r="E1256" s="81" t="str">
        <f aca="false">IF(D1256="","",IFERROR(INDEX(식자재단가!$B$4:$B$203,MATCH(D1256,식자재단가!$C$4:$C$203,0)),""))</f>
        <v/>
      </c>
      <c r="F1256" s="76"/>
      <c r="G1256" s="59" t="str">
        <f aca="false">IF(D1256="","",IFERROR(INDEX(식자재단가!$F$4:$F$203,MATCH(D1256,식자재단가!$C$4:$C$203,0)),""))</f>
        <v/>
      </c>
      <c r="H1256" s="50"/>
      <c r="I1256" s="82" t="str">
        <f aca="false">IF(OR(F1256="",H1256=""),"",F1256*H1256)</f>
        <v/>
      </c>
      <c r="J1256" s="83" t="str">
        <f aca="false">IF(D1256="","",IFERROR(INDEX(식자재단가!$M$4:$M$203,MATCH(D1256,식자재단가!$C$4:$C$203,0)),"과세"))</f>
        <v/>
      </c>
      <c r="K1256" s="28" t="str">
        <f aca="false">IF(I1256="","",IF(J1256="과세",ROUND(I1256*0.1,0),0))</f>
        <v/>
      </c>
      <c r="L1256" s="28" t="str">
        <f aca="false">IF(I1256="","",I1256+K1256)</f>
        <v/>
      </c>
      <c r="M1256" s="10"/>
      <c r="N1256" s="80"/>
      <c r="O1256" s="80"/>
      <c r="P1256" s="59" t="str">
        <f aca="false">IF(E1256="","",IFERROR(INDEX(기본설정!$H$4:$H$14,MATCH(E1256,기본설정!$G$4:$G$14,0)),""))</f>
        <v/>
      </c>
    </row>
    <row r="1257" customFormat="false" ht="15" hidden="false" customHeight="false" outlineLevel="0" collapsed="false">
      <c r="A1257" s="73"/>
      <c r="B1257" s="10"/>
      <c r="C1257" s="80"/>
      <c r="D1257" s="80"/>
      <c r="E1257" s="81" t="str">
        <f aca="false">IF(D1257="","",IFERROR(INDEX(식자재단가!$B$4:$B$203,MATCH(D1257,식자재단가!$C$4:$C$203,0)),""))</f>
        <v/>
      </c>
      <c r="F1257" s="76"/>
      <c r="G1257" s="59" t="str">
        <f aca="false">IF(D1257="","",IFERROR(INDEX(식자재단가!$F$4:$F$203,MATCH(D1257,식자재단가!$C$4:$C$203,0)),""))</f>
        <v/>
      </c>
      <c r="H1257" s="50"/>
      <c r="I1257" s="82" t="str">
        <f aca="false">IF(OR(F1257="",H1257=""),"",F1257*H1257)</f>
        <v/>
      </c>
      <c r="J1257" s="83" t="str">
        <f aca="false">IF(D1257="","",IFERROR(INDEX(식자재단가!$M$4:$M$203,MATCH(D1257,식자재단가!$C$4:$C$203,0)),"과세"))</f>
        <v/>
      </c>
      <c r="K1257" s="28" t="str">
        <f aca="false">IF(I1257="","",IF(J1257="과세",ROUND(I1257*0.1,0),0))</f>
        <v/>
      </c>
      <c r="L1257" s="28" t="str">
        <f aca="false">IF(I1257="","",I1257+K1257)</f>
        <v/>
      </c>
      <c r="M1257" s="10"/>
      <c r="N1257" s="80"/>
      <c r="O1257" s="80"/>
      <c r="P1257" s="59" t="str">
        <f aca="false">IF(E1257="","",IFERROR(INDEX(기본설정!$H$4:$H$14,MATCH(E1257,기본설정!$G$4:$G$14,0)),""))</f>
        <v/>
      </c>
    </row>
    <row r="1258" customFormat="false" ht="15" hidden="false" customHeight="false" outlineLevel="0" collapsed="false">
      <c r="A1258" s="73"/>
      <c r="B1258" s="10"/>
      <c r="C1258" s="80"/>
      <c r="D1258" s="80"/>
      <c r="E1258" s="81" t="str">
        <f aca="false">IF(D1258="","",IFERROR(INDEX(식자재단가!$B$4:$B$203,MATCH(D1258,식자재단가!$C$4:$C$203,0)),""))</f>
        <v/>
      </c>
      <c r="F1258" s="76"/>
      <c r="G1258" s="59" t="str">
        <f aca="false">IF(D1258="","",IFERROR(INDEX(식자재단가!$F$4:$F$203,MATCH(D1258,식자재단가!$C$4:$C$203,0)),""))</f>
        <v/>
      </c>
      <c r="H1258" s="50"/>
      <c r="I1258" s="82" t="str">
        <f aca="false">IF(OR(F1258="",H1258=""),"",F1258*H1258)</f>
        <v/>
      </c>
      <c r="J1258" s="83" t="str">
        <f aca="false">IF(D1258="","",IFERROR(INDEX(식자재단가!$M$4:$M$203,MATCH(D1258,식자재단가!$C$4:$C$203,0)),"과세"))</f>
        <v/>
      </c>
      <c r="K1258" s="28" t="str">
        <f aca="false">IF(I1258="","",IF(J1258="과세",ROUND(I1258*0.1,0),0))</f>
        <v/>
      </c>
      <c r="L1258" s="28" t="str">
        <f aca="false">IF(I1258="","",I1258+K1258)</f>
        <v/>
      </c>
      <c r="M1258" s="10"/>
      <c r="N1258" s="80"/>
      <c r="O1258" s="80"/>
      <c r="P1258" s="59" t="str">
        <f aca="false">IF(E1258="","",IFERROR(INDEX(기본설정!$H$4:$H$14,MATCH(E1258,기본설정!$G$4:$G$14,0)),""))</f>
        <v/>
      </c>
    </row>
    <row r="1259" customFormat="false" ht="15" hidden="false" customHeight="false" outlineLevel="0" collapsed="false">
      <c r="A1259" s="73"/>
      <c r="B1259" s="10"/>
      <c r="C1259" s="80"/>
      <c r="D1259" s="80"/>
      <c r="E1259" s="81" t="str">
        <f aca="false">IF(D1259="","",IFERROR(INDEX(식자재단가!$B$4:$B$203,MATCH(D1259,식자재단가!$C$4:$C$203,0)),""))</f>
        <v/>
      </c>
      <c r="F1259" s="76"/>
      <c r="G1259" s="59" t="str">
        <f aca="false">IF(D1259="","",IFERROR(INDEX(식자재단가!$F$4:$F$203,MATCH(D1259,식자재단가!$C$4:$C$203,0)),""))</f>
        <v/>
      </c>
      <c r="H1259" s="50"/>
      <c r="I1259" s="82" t="str">
        <f aca="false">IF(OR(F1259="",H1259=""),"",F1259*H1259)</f>
        <v/>
      </c>
      <c r="J1259" s="83" t="str">
        <f aca="false">IF(D1259="","",IFERROR(INDEX(식자재단가!$M$4:$M$203,MATCH(D1259,식자재단가!$C$4:$C$203,0)),"과세"))</f>
        <v/>
      </c>
      <c r="K1259" s="28" t="str">
        <f aca="false">IF(I1259="","",IF(J1259="과세",ROUND(I1259*0.1,0),0))</f>
        <v/>
      </c>
      <c r="L1259" s="28" t="str">
        <f aca="false">IF(I1259="","",I1259+K1259)</f>
        <v/>
      </c>
      <c r="M1259" s="10"/>
      <c r="N1259" s="80"/>
      <c r="O1259" s="80"/>
      <c r="P1259" s="59" t="str">
        <f aca="false">IF(E1259="","",IFERROR(INDEX(기본설정!$H$4:$H$14,MATCH(E1259,기본설정!$G$4:$G$14,0)),""))</f>
        <v/>
      </c>
    </row>
    <row r="1260" customFormat="false" ht="15" hidden="false" customHeight="false" outlineLevel="0" collapsed="false">
      <c r="A1260" s="73"/>
      <c r="B1260" s="10"/>
      <c r="C1260" s="80"/>
      <c r="D1260" s="80"/>
      <c r="E1260" s="81" t="str">
        <f aca="false">IF(D1260="","",IFERROR(INDEX(식자재단가!$B$4:$B$203,MATCH(D1260,식자재단가!$C$4:$C$203,0)),""))</f>
        <v/>
      </c>
      <c r="F1260" s="76"/>
      <c r="G1260" s="59" t="str">
        <f aca="false">IF(D1260="","",IFERROR(INDEX(식자재단가!$F$4:$F$203,MATCH(D1260,식자재단가!$C$4:$C$203,0)),""))</f>
        <v/>
      </c>
      <c r="H1260" s="50"/>
      <c r="I1260" s="82" t="str">
        <f aca="false">IF(OR(F1260="",H1260=""),"",F1260*H1260)</f>
        <v/>
      </c>
      <c r="J1260" s="83" t="str">
        <f aca="false">IF(D1260="","",IFERROR(INDEX(식자재단가!$M$4:$M$203,MATCH(D1260,식자재단가!$C$4:$C$203,0)),"과세"))</f>
        <v/>
      </c>
      <c r="K1260" s="28" t="str">
        <f aca="false">IF(I1260="","",IF(J1260="과세",ROUND(I1260*0.1,0),0))</f>
        <v/>
      </c>
      <c r="L1260" s="28" t="str">
        <f aca="false">IF(I1260="","",I1260+K1260)</f>
        <v/>
      </c>
      <c r="M1260" s="10"/>
      <c r="N1260" s="80"/>
      <c r="O1260" s="80"/>
      <c r="P1260" s="59" t="str">
        <f aca="false">IF(E1260="","",IFERROR(INDEX(기본설정!$H$4:$H$14,MATCH(E1260,기본설정!$G$4:$G$14,0)),""))</f>
        <v/>
      </c>
    </row>
    <row r="1261" customFormat="false" ht="15" hidden="false" customHeight="false" outlineLevel="0" collapsed="false">
      <c r="A1261" s="73"/>
      <c r="B1261" s="10"/>
      <c r="C1261" s="80"/>
      <c r="D1261" s="80"/>
      <c r="E1261" s="81" t="str">
        <f aca="false">IF(D1261="","",IFERROR(INDEX(식자재단가!$B$4:$B$203,MATCH(D1261,식자재단가!$C$4:$C$203,0)),""))</f>
        <v/>
      </c>
      <c r="F1261" s="76"/>
      <c r="G1261" s="59" t="str">
        <f aca="false">IF(D1261="","",IFERROR(INDEX(식자재단가!$F$4:$F$203,MATCH(D1261,식자재단가!$C$4:$C$203,0)),""))</f>
        <v/>
      </c>
      <c r="H1261" s="50"/>
      <c r="I1261" s="82" t="str">
        <f aca="false">IF(OR(F1261="",H1261=""),"",F1261*H1261)</f>
        <v/>
      </c>
      <c r="J1261" s="83" t="str">
        <f aca="false">IF(D1261="","",IFERROR(INDEX(식자재단가!$M$4:$M$203,MATCH(D1261,식자재단가!$C$4:$C$203,0)),"과세"))</f>
        <v/>
      </c>
      <c r="K1261" s="28" t="str">
        <f aca="false">IF(I1261="","",IF(J1261="과세",ROUND(I1261*0.1,0),0))</f>
        <v/>
      </c>
      <c r="L1261" s="28" t="str">
        <f aca="false">IF(I1261="","",I1261+K1261)</f>
        <v/>
      </c>
      <c r="M1261" s="10"/>
      <c r="N1261" s="80"/>
      <c r="O1261" s="80"/>
      <c r="P1261" s="59" t="str">
        <f aca="false">IF(E1261="","",IFERROR(INDEX(기본설정!$H$4:$H$14,MATCH(E1261,기본설정!$G$4:$G$14,0)),""))</f>
        <v/>
      </c>
    </row>
    <row r="1262" customFormat="false" ht="15" hidden="false" customHeight="false" outlineLevel="0" collapsed="false">
      <c r="A1262" s="73"/>
      <c r="B1262" s="10"/>
      <c r="C1262" s="80"/>
      <c r="D1262" s="80"/>
      <c r="E1262" s="81" t="str">
        <f aca="false">IF(D1262="","",IFERROR(INDEX(식자재단가!$B$4:$B$203,MATCH(D1262,식자재단가!$C$4:$C$203,0)),""))</f>
        <v/>
      </c>
      <c r="F1262" s="76"/>
      <c r="G1262" s="59" t="str">
        <f aca="false">IF(D1262="","",IFERROR(INDEX(식자재단가!$F$4:$F$203,MATCH(D1262,식자재단가!$C$4:$C$203,0)),""))</f>
        <v/>
      </c>
      <c r="H1262" s="50"/>
      <c r="I1262" s="82" t="str">
        <f aca="false">IF(OR(F1262="",H1262=""),"",F1262*H1262)</f>
        <v/>
      </c>
      <c r="J1262" s="83" t="str">
        <f aca="false">IF(D1262="","",IFERROR(INDEX(식자재단가!$M$4:$M$203,MATCH(D1262,식자재단가!$C$4:$C$203,0)),"과세"))</f>
        <v/>
      </c>
      <c r="K1262" s="28" t="str">
        <f aca="false">IF(I1262="","",IF(J1262="과세",ROUND(I1262*0.1,0),0))</f>
        <v/>
      </c>
      <c r="L1262" s="28" t="str">
        <f aca="false">IF(I1262="","",I1262+K1262)</f>
        <v/>
      </c>
      <c r="M1262" s="10"/>
      <c r="N1262" s="80"/>
      <c r="O1262" s="80"/>
      <c r="P1262" s="59" t="str">
        <f aca="false">IF(E1262="","",IFERROR(INDEX(기본설정!$H$4:$H$14,MATCH(E1262,기본설정!$G$4:$G$14,0)),""))</f>
        <v/>
      </c>
    </row>
    <row r="1263" customFormat="false" ht="15" hidden="false" customHeight="false" outlineLevel="0" collapsed="false">
      <c r="A1263" s="73"/>
      <c r="B1263" s="10"/>
      <c r="C1263" s="80"/>
      <c r="D1263" s="80"/>
      <c r="E1263" s="81" t="str">
        <f aca="false">IF(D1263="","",IFERROR(INDEX(식자재단가!$B$4:$B$203,MATCH(D1263,식자재단가!$C$4:$C$203,0)),""))</f>
        <v/>
      </c>
      <c r="F1263" s="76"/>
      <c r="G1263" s="59" t="str">
        <f aca="false">IF(D1263="","",IFERROR(INDEX(식자재단가!$F$4:$F$203,MATCH(D1263,식자재단가!$C$4:$C$203,0)),""))</f>
        <v/>
      </c>
      <c r="H1263" s="50"/>
      <c r="I1263" s="82" t="str">
        <f aca="false">IF(OR(F1263="",H1263=""),"",F1263*H1263)</f>
        <v/>
      </c>
      <c r="J1263" s="83" t="str">
        <f aca="false">IF(D1263="","",IFERROR(INDEX(식자재단가!$M$4:$M$203,MATCH(D1263,식자재단가!$C$4:$C$203,0)),"과세"))</f>
        <v/>
      </c>
      <c r="K1263" s="28" t="str">
        <f aca="false">IF(I1263="","",IF(J1263="과세",ROUND(I1263*0.1,0),0))</f>
        <v/>
      </c>
      <c r="L1263" s="28" t="str">
        <f aca="false">IF(I1263="","",I1263+K1263)</f>
        <v/>
      </c>
      <c r="M1263" s="10"/>
      <c r="N1263" s="80"/>
      <c r="O1263" s="80"/>
      <c r="P1263" s="59" t="str">
        <f aca="false">IF(E1263="","",IFERROR(INDEX(기본설정!$H$4:$H$14,MATCH(E1263,기본설정!$G$4:$G$14,0)),""))</f>
        <v/>
      </c>
    </row>
    <row r="1264" customFormat="false" ht="15" hidden="false" customHeight="false" outlineLevel="0" collapsed="false">
      <c r="A1264" s="73"/>
      <c r="B1264" s="10"/>
      <c r="C1264" s="80"/>
      <c r="D1264" s="80"/>
      <c r="E1264" s="81" t="str">
        <f aca="false">IF(D1264="","",IFERROR(INDEX(식자재단가!$B$4:$B$203,MATCH(D1264,식자재단가!$C$4:$C$203,0)),""))</f>
        <v/>
      </c>
      <c r="F1264" s="76"/>
      <c r="G1264" s="59" t="str">
        <f aca="false">IF(D1264="","",IFERROR(INDEX(식자재단가!$F$4:$F$203,MATCH(D1264,식자재단가!$C$4:$C$203,0)),""))</f>
        <v/>
      </c>
      <c r="H1264" s="50"/>
      <c r="I1264" s="82" t="str">
        <f aca="false">IF(OR(F1264="",H1264=""),"",F1264*H1264)</f>
        <v/>
      </c>
      <c r="J1264" s="83" t="str">
        <f aca="false">IF(D1264="","",IFERROR(INDEX(식자재단가!$M$4:$M$203,MATCH(D1264,식자재단가!$C$4:$C$203,0)),"과세"))</f>
        <v/>
      </c>
      <c r="K1264" s="28" t="str">
        <f aca="false">IF(I1264="","",IF(J1264="과세",ROUND(I1264*0.1,0),0))</f>
        <v/>
      </c>
      <c r="L1264" s="28" t="str">
        <f aca="false">IF(I1264="","",I1264+K1264)</f>
        <v/>
      </c>
      <c r="M1264" s="10"/>
      <c r="N1264" s="80"/>
      <c r="O1264" s="80"/>
      <c r="P1264" s="59" t="str">
        <f aca="false">IF(E1264="","",IFERROR(INDEX(기본설정!$H$4:$H$14,MATCH(E1264,기본설정!$G$4:$G$14,0)),""))</f>
        <v/>
      </c>
    </row>
    <row r="1265" customFormat="false" ht="15" hidden="false" customHeight="false" outlineLevel="0" collapsed="false">
      <c r="A1265" s="73"/>
      <c r="B1265" s="10"/>
      <c r="C1265" s="80"/>
      <c r="D1265" s="80"/>
      <c r="E1265" s="81" t="str">
        <f aca="false">IF(D1265="","",IFERROR(INDEX(식자재단가!$B$4:$B$203,MATCH(D1265,식자재단가!$C$4:$C$203,0)),""))</f>
        <v/>
      </c>
      <c r="F1265" s="76"/>
      <c r="G1265" s="59" t="str">
        <f aca="false">IF(D1265="","",IFERROR(INDEX(식자재단가!$F$4:$F$203,MATCH(D1265,식자재단가!$C$4:$C$203,0)),""))</f>
        <v/>
      </c>
      <c r="H1265" s="50"/>
      <c r="I1265" s="82" t="str">
        <f aca="false">IF(OR(F1265="",H1265=""),"",F1265*H1265)</f>
        <v/>
      </c>
      <c r="J1265" s="83" t="str">
        <f aca="false">IF(D1265="","",IFERROR(INDEX(식자재단가!$M$4:$M$203,MATCH(D1265,식자재단가!$C$4:$C$203,0)),"과세"))</f>
        <v/>
      </c>
      <c r="K1265" s="28" t="str">
        <f aca="false">IF(I1265="","",IF(J1265="과세",ROUND(I1265*0.1,0),0))</f>
        <v/>
      </c>
      <c r="L1265" s="28" t="str">
        <f aca="false">IF(I1265="","",I1265+K1265)</f>
        <v/>
      </c>
      <c r="M1265" s="10"/>
      <c r="N1265" s="80"/>
      <c r="O1265" s="80"/>
      <c r="P1265" s="59" t="str">
        <f aca="false">IF(E1265="","",IFERROR(INDEX(기본설정!$H$4:$H$14,MATCH(E1265,기본설정!$G$4:$G$14,0)),""))</f>
        <v/>
      </c>
    </row>
    <row r="1266" customFormat="false" ht="15" hidden="false" customHeight="false" outlineLevel="0" collapsed="false">
      <c r="A1266" s="73"/>
      <c r="B1266" s="10"/>
      <c r="C1266" s="80"/>
      <c r="D1266" s="80"/>
      <c r="E1266" s="81" t="str">
        <f aca="false">IF(D1266="","",IFERROR(INDEX(식자재단가!$B$4:$B$203,MATCH(D1266,식자재단가!$C$4:$C$203,0)),""))</f>
        <v/>
      </c>
      <c r="F1266" s="76"/>
      <c r="G1266" s="59" t="str">
        <f aca="false">IF(D1266="","",IFERROR(INDEX(식자재단가!$F$4:$F$203,MATCH(D1266,식자재단가!$C$4:$C$203,0)),""))</f>
        <v/>
      </c>
      <c r="H1266" s="50"/>
      <c r="I1266" s="82" t="str">
        <f aca="false">IF(OR(F1266="",H1266=""),"",F1266*H1266)</f>
        <v/>
      </c>
      <c r="J1266" s="83" t="str">
        <f aca="false">IF(D1266="","",IFERROR(INDEX(식자재단가!$M$4:$M$203,MATCH(D1266,식자재단가!$C$4:$C$203,0)),"과세"))</f>
        <v/>
      </c>
      <c r="K1266" s="28" t="str">
        <f aca="false">IF(I1266="","",IF(J1266="과세",ROUND(I1266*0.1,0),0))</f>
        <v/>
      </c>
      <c r="L1266" s="28" t="str">
        <f aca="false">IF(I1266="","",I1266+K1266)</f>
        <v/>
      </c>
      <c r="M1266" s="10"/>
      <c r="N1266" s="80"/>
      <c r="O1266" s="80"/>
      <c r="P1266" s="59" t="str">
        <f aca="false">IF(E1266="","",IFERROR(INDEX(기본설정!$H$4:$H$14,MATCH(E1266,기본설정!$G$4:$G$14,0)),""))</f>
        <v/>
      </c>
    </row>
    <row r="1267" customFormat="false" ht="15" hidden="false" customHeight="false" outlineLevel="0" collapsed="false">
      <c r="A1267" s="73"/>
      <c r="B1267" s="10"/>
      <c r="C1267" s="80"/>
      <c r="D1267" s="80"/>
      <c r="E1267" s="81" t="str">
        <f aca="false">IF(D1267="","",IFERROR(INDEX(식자재단가!$B$4:$B$203,MATCH(D1267,식자재단가!$C$4:$C$203,0)),""))</f>
        <v/>
      </c>
      <c r="F1267" s="76"/>
      <c r="G1267" s="59" t="str">
        <f aca="false">IF(D1267="","",IFERROR(INDEX(식자재단가!$F$4:$F$203,MATCH(D1267,식자재단가!$C$4:$C$203,0)),""))</f>
        <v/>
      </c>
      <c r="H1267" s="50"/>
      <c r="I1267" s="82" t="str">
        <f aca="false">IF(OR(F1267="",H1267=""),"",F1267*H1267)</f>
        <v/>
      </c>
      <c r="J1267" s="83" t="str">
        <f aca="false">IF(D1267="","",IFERROR(INDEX(식자재단가!$M$4:$M$203,MATCH(D1267,식자재단가!$C$4:$C$203,0)),"과세"))</f>
        <v/>
      </c>
      <c r="K1267" s="28" t="str">
        <f aca="false">IF(I1267="","",IF(J1267="과세",ROUND(I1267*0.1,0),0))</f>
        <v/>
      </c>
      <c r="L1267" s="28" t="str">
        <f aca="false">IF(I1267="","",I1267+K1267)</f>
        <v/>
      </c>
      <c r="M1267" s="10"/>
      <c r="N1267" s="80"/>
      <c r="O1267" s="80"/>
      <c r="P1267" s="59" t="str">
        <f aca="false">IF(E1267="","",IFERROR(INDEX(기본설정!$H$4:$H$14,MATCH(E1267,기본설정!$G$4:$G$14,0)),""))</f>
        <v/>
      </c>
    </row>
    <row r="1268" customFormat="false" ht="15" hidden="false" customHeight="false" outlineLevel="0" collapsed="false">
      <c r="A1268" s="73"/>
      <c r="B1268" s="10"/>
      <c r="C1268" s="80"/>
      <c r="D1268" s="80"/>
      <c r="E1268" s="81" t="str">
        <f aca="false">IF(D1268="","",IFERROR(INDEX(식자재단가!$B$4:$B$203,MATCH(D1268,식자재단가!$C$4:$C$203,0)),""))</f>
        <v/>
      </c>
      <c r="F1268" s="76"/>
      <c r="G1268" s="59" t="str">
        <f aca="false">IF(D1268="","",IFERROR(INDEX(식자재단가!$F$4:$F$203,MATCH(D1268,식자재단가!$C$4:$C$203,0)),""))</f>
        <v/>
      </c>
      <c r="H1268" s="50"/>
      <c r="I1268" s="82" t="str">
        <f aca="false">IF(OR(F1268="",H1268=""),"",F1268*H1268)</f>
        <v/>
      </c>
      <c r="J1268" s="83" t="str">
        <f aca="false">IF(D1268="","",IFERROR(INDEX(식자재단가!$M$4:$M$203,MATCH(D1268,식자재단가!$C$4:$C$203,0)),"과세"))</f>
        <v/>
      </c>
      <c r="K1268" s="28" t="str">
        <f aca="false">IF(I1268="","",IF(J1268="과세",ROUND(I1268*0.1,0),0))</f>
        <v/>
      </c>
      <c r="L1268" s="28" t="str">
        <f aca="false">IF(I1268="","",I1268+K1268)</f>
        <v/>
      </c>
      <c r="M1268" s="10"/>
      <c r="N1268" s="80"/>
      <c r="O1268" s="80"/>
      <c r="P1268" s="59" t="str">
        <f aca="false">IF(E1268="","",IFERROR(INDEX(기본설정!$H$4:$H$14,MATCH(E1268,기본설정!$G$4:$G$14,0)),""))</f>
        <v/>
      </c>
    </row>
    <row r="1269" customFormat="false" ht="15" hidden="false" customHeight="false" outlineLevel="0" collapsed="false">
      <c r="A1269" s="73"/>
      <c r="B1269" s="10"/>
      <c r="C1269" s="80"/>
      <c r="D1269" s="80"/>
      <c r="E1269" s="81" t="str">
        <f aca="false">IF(D1269="","",IFERROR(INDEX(식자재단가!$B$4:$B$203,MATCH(D1269,식자재단가!$C$4:$C$203,0)),""))</f>
        <v/>
      </c>
      <c r="F1269" s="76"/>
      <c r="G1269" s="59" t="str">
        <f aca="false">IF(D1269="","",IFERROR(INDEX(식자재단가!$F$4:$F$203,MATCH(D1269,식자재단가!$C$4:$C$203,0)),""))</f>
        <v/>
      </c>
      <c r="H1269" s="50"/>
      <c r="I1269" s="82" t="str">
        <f aca="false">IF(OR(F1269="",H1269=""),"",F1269*H1269)</f>
        <v/>
      </c>
      <c r="J1269" s="83" t="str">
        <f aca="false">IF(D1269="","",IFERROR(INDEX(식자재단가!$M$4:$M$203,MATCH(D1269,식자재단가!$C$4:$C$203,0)),"과세"))</f>
        <v/>
      </c>
      <c r="K1269" s="28" t="str">
        <f aca="false">IF(I1269="","",IF(J1269="과세",ROUND(I1269*0.1,0),0))</f>
        <v/>
      </c>
      <c r="L1269" s="28" t="str">
        <f aca="false">IF(I1269="","",I1269+K1269)</f>
        <v/>
      </c>
      <c r="M1269" s="10"/>
      <c r="N1269" s="80"/>
      <c r="O1269" s="80"/>
      <c r="P1269" s="59" t="str">
        <f aca="false">IF(E1269="","",IFERROR(INDEX(기본설정!$H$4:$H$14,MATCH(E1269,기본설정!$G$4:$G$14,0)),""))</f>
        <v/>
      </c>
    </row>
    <row r="1270" customFormat="false" ht="15" hidden="false" customHeight="false" outlineLevel="0" collapsed="false">
      <c r="A1270" s="73"/>
      <c r="B1270" s="10"/>
      <c r="C1270" s="80"/>
      <c r="D1270" s="80"/>
      <c r="E1270" s="81" t="str">
        <f aca="false">IF(D1270="","",IFERROR(INDEX(식자재단가!$B$4:$B$203,MATCH(D1270,식자재단가!$C$4:$C$203,0)),""))</f>
        <v/>
      </c>
      <c r="F1270" s="76"/>
      <c r="G1270" s="59" t="str">
        <f aca="false">IF(D1270="","",IFERROR(INDEX(식자재단가!$F$4:$F$203,MATCH(D1270,식자재단가!$C$4:$C$203,0)),""))</f>
        <v/>
      </c>
      <c r="H1270" s="50"/>
      <c r="I1270" s="82" t="str">
        <f aca="false">IF(OR(F1270="",H1270=""),"",F1270*H1270)</f>
        <v/>
      </c>
      <c r="J1270" s="83" t="str">
        <f aca="false">IF(D1270="","",IFERROR(INDEX(식자재단가!$M$4:$M$203,MATCH(D1270,식자재단가!$C$4:$C$203,0)),"과세"))</f>
        <v/>
      </c>
      <c r="K1270" s="28" t="str">
        <f aca="false">IF(I1270="","",IF(J1270="과세",ROUND(I1270*0.1,0),0))</f>
        <v/>
      </c>
      <c r="L1270" s="28" t="str">
        <f aca="false">IF(I1270="","",I1270+K1270)</f>
        <v/>
      </c>
      <c r="M1270" s="10"/>
      <c r="N1270" s="80"/>
      <c r="O1270" s="80"/>
      <c r="P1270" s="59" t="str">
        <f aca="false">IF(E1270="","",IFERROR(INDEX(기본설정!$H$4:$H$14,MATCH(E1270,기본설정!$G$4:$G$14,0)),""))</f>
        <v/>
      </c>
    </row>
    <row r="1271" customFormat="false" ht="15" hidden="false" customHeight="false" outlineLevel="0" collapsed="false">
      <c r="A1271" s="73"/>
      <c r="B1271" s="10"/>
      <c r="C1271" s="80"/>
      <c r="D1271" s="80"/>
      <c r="E1271" s="81" t="str">
        <f aca="false">IF(D1271="","",IFERROR(INDEX(식자재단가!$B$4:$B$203,MATCH(D1271,식자재단가!$C$4:$C$203,0)),""))</f>
        <v/>
      </c>
      <c r="F1271" s="76"/>
      <c r="G1271" s="59" t="str">
        <f aca="false">IF(D1271="","",IFERROR(INDEX(식자재단가!$F$4:$F$203,MATCH(D1271,식자재단가!$C$4:$C$203,0)),""))</f>
        <v/>
      </c>
      <c r="H1271" s="50"/>
      <c r="I1271" s="82" t="str">
        <f aca="false">IF(OR(F1271="",H1271=""),"",F1271*H1271)</f>
        <v/>
      </c>
      <c r="J1271" s="83" t="str">
        <f aca="false">IF(D1271="","",IFERROR(INDEX(식자재단가!$M$4:$M$203,MATCH(D1271,식자재단가!$C$4:$C$203,0)),"과세"))</f>
        <v/>
      </c>
      <c r="K1271" s="28" t="str">
        <f aca="false">IF(I1271="","",IF(J1271="과세",ROUND(I1271*0.1,0),0))</f>
        <v/>
      </c>
      <c r="L1271" s="28" t="str">
        <f aca="false">IF(I1271="","",I1271+K1271)</f>
        <v/>
      </c>
      <c r="M1271" s="10"/>
      <c r="N1271" s="80"/>
      <c r="O1271" s="80"/>
      <c r="P1271" s="59" t="str">
        <f aca="false">IF(E1271="","",IFERROR(INDEX(기본설정!$H$4:$H$14,MATCH(E1271,기본설정!$G$4:$G$14,0)),""))</f>
        <v/>
      </c>
    </row>
    <row r="1272" customFormat="false" ht="15" hidden="false" customHeight="false" outlineLevel="0" collapsed="false">
      <c r="A1272" s="73"/>
      <c r="B1272" s="10"/>
      <c r="C1272" s="80"/>
      <c r="D1272" s="80"/>
      <c r="E1272" s="81" t="str">
        <f aca="false">IF(D1272="","",IFERROR(INDEX(식자재단가!$B$4:$B$203,MATCH(D1272,식자재단가!$C$4:$C$203,0)),""))</f>
        <v/>
      </c>
      <c r="F1272" s="76"/>
      <c r="G1272" s="59" t="str">
        <f aca="false">IF(D1272="","",IFERROR(INDEX(식자재단가!$F$4:$F$203,MATCH(D1272,식자재단가!$C$4:$C$203,0)),""))</f>
        <v/>
      </c>
      <c r="H1272" s="50"/>
      <c r="I1272" s="82" t="str">
        <f aca="false">IF(OR(F1272="",H1272=""),"",F1272*H1272)</f>
        <v/>
      </c>
      <c r="J1272" s="83" t="str">
        <f aca="false">IF(D1272="","",IFERROR(INDEX(식자재단가!$M$4:$M$203,MATCH(D1272,식자재단가!$C$4:$C$203,0)),"과세"))</f>
        <v/>
      </c>
      <c r="K1272" s="28" t="str">
        <f aca="false">IF(I1272="","",IF(J1272="과세",ROUND(I1272*0.1,0),0))</f>
        <v/>
      </c>
      <c r="L1272" s="28" t="str">
        <f aca="false">IF(I1272="","",I1272+K1272)</f>
        <v/>
      </c>
      <c r="M1272" s="10"/>
      <c r="N1272" s="80"/>
      <c r="O1272" s="80"/>
      <c r="P1272" s="59" t="str">
        <f aca="false">IF(E1272="","",IFERROR(INDEX(기본설정!$H$4:$H$14,MATCH(E1272,기본설정!$G$4:$G$14,0)),""))</f>
        <v/>
      </c>
    </row>
    <row r="1273" customFormat="false" ht="15" hidden="false" customHeight="false" outlineLevel="0" collapsed="false">
      <c r="A1273" s="73"/>
      <c r="B1273" s="10"/>
      <c r="C1273" s="80"/>
      <c r="D1273" s="80"/>
      <c r="E1273" s="81" t="str">
        <f aca="false">IF(D1273="","",IFERROR(INDEX(식자재단가!$B$4:$B$203,MATCH(D1273,식자재단가!$C$4:$C$203,0)),""))</f>
        <v/>
      </c>
      <c r="F1273" s="76"/>
      <c r="G1273" s="59" t="str">
        <f aca="false">IF(D1273="","",IFERROR(INDEX(식자재단가!$F$4:$F$203,MATCH(D1273,식자재단가!$C$4:$C$203,0)),""))</f>
        <v/>
      </c>
      <c r="H1273" s="50"/>
      <c r="I1273" s="82" t="str">
        <f aca="false">IF(OR(F1273="",H1273=""),"",F1273*H1273)</f>
        <v/>
      </c>
      <c r="J1273" s="83" t="str">
        <f aca="false">IF(D1273="","",IFERROR(INDEX(식자재단가!$M$4:$M$203,MATCH(D1273,식자재단가!$C$4:$C$203,0)),"과세"))</f>
        <v/>
      </c>
      <c r="K1273" s="28" t="str">
        <f aca="false">IF(I1273="","",IF(J1273="과세",ROUND(I1273*0.1,0),0))</f>
        <v/>
      </c>
      <c r="L1273" s="28" t="str">
        <f aca="false">IF(I1273="","",I1273+K1273)</f>
        <v/>
      </c>
      <c r="M1273" s="10"/>
      <c r="N1273" s="80"/>
      <c r="O1273" s="80"/>
      <c r="P1273" s="59" t="str">
        <f aca="false">IF(E1273="","",IFERROR(INDEX(기본설정!$H$4:$H$14,MATCH(E1273,기본설정!$G$4:$G$14,0)),""))</f>
        <v/>
      </c>
    </row>
    <row r="1274" customFormat="false" ht="15" hidden="false" customHeight="false" outlineLevel="0" collapsed="false">
      <c r="A1274" s="73"/>
      <c r="B1274" s="10"/>
      <c r="C1274" s="80"/>
      <c r="D1274" s="80"/>
      <c r="E1274" s="81" t="str">
        <f aca="false">IF(D1274="","",IFERROR(INDEX(식자재단가!$B$4:$B$203,MATCH(D1274,식자재단가!$C$4:$C$203,0)),""))</f>
        <v/>
      </c>
      <c r="F1274" s="76"/>
      <c r="G1274" s="59" t="str">
        <f aca="false">IF(D1274="","",IFERROR(INDEX(식자재단가!$F$4:$F$203,MATCH(D1274,식자재단가!$C$4:$C$203,0)),""))</f>
        <v/>
      </c>
      <c r="H1274" s="50"/>
      <c r="I1274" s="82" t="str">
        <f aca="false">IF(OR(F1274="",H1274=""),"",F1274*H1274)</f>
        <v/>
      </c>
      <c r="J1274" s="83" t="str">
        <f aca="false">IF(D1274="","",IFERROR(INDEX(식자재단가!$M$4:$M$203,MATCH(D1274,식자재단가!$C$4:$C$203,0)),"과세"))</f>
        <v/>
      </c>
      <c r="K1274" s="28" t="str">
        <f aca="false">IF(I1274="","",IF(J1274="과세",ROUND(I1274*0.1,0),0))</f>
        <v/>
      </c>
      <c r="L1274" s="28" t="str">
        <f aca="false">IF(I1274="","",I1274+K1274)</f>
        <v/>
      </c>
      <c r="M1274" s="10"/>
      <c r="N1274" s="80"/>
      <c r="O1274" s="80"/>
      <c r="P1274" s="59" t="str">
        <f aca="false">IF(E1274="","",IFERROR(INDEX(기본설정!$H$4:$H$14,MATCH(E1274,기본설정!$G$4:$G$14,0)),""))</f>
        <v/>
      </c>
    </row>
    <row r="1275" customFormat="false" ht="15" hidden="false" customHeight="false" outlineLevel="0" collapsed="false">
      <c r="A1275" s="73"/>
      <c r="B1275" s="10"/>
      <c r="C1275" s="80"/>
      <c r="D1275" s="80"/>
      <c r="E1275" s="81" t="str">
        <f aca="false">IF(D1275="","",IFERROR(INDEX(식자재단가!$B$4:$B$203,MATCH(D1275,식자재단가!$C$4:$C$203,0)),""))</f>
        <v/>
      </c>
      <c r="F1275" s="76"/>
      <c r="G1275" s="59" t="str">
        <f aca="false">IF(D1275="","",IFERROR(INDEX(식자재단가!$F$4:$F$203,MATCH(D1275,식자재단가!$C$4:$C$203,0)),""))</f>
        <v/>
      </c>
      <c r="H1275" s="50"/>
      <c r="I1275" s="82" t="str">
        <f aca="false">IF(OR(F1275="",H1275=""),"",F1275*H1275)</f>
        <v/>
      </c>
      <c r="J1275" s="83" t="str">
        <f aca="false">IF(D1275="","",IFERROR(INDEX(식자재단가!$M$4:$M$203,MATCH(D1275,식자재단가!$C$4:$C$203,0)),"과세"))</f>
        <v/>
      </c>
      <c r="K1275" s="28" t="str">
        <f aca="false">IF(I1275="","",IF(J1275="과세",ROUND(I1275*0.1,0),0))</f>
        <v/>
      </c>
      <c r="L1275" s="28" t="str">
        <f aca="false">IF(I1275="","",I1275+K1275)</f>
        <v/>
      </c>
      <c r="M1275" s="10"/>
      <c r="N1275" s="80"/>
      <c r="O1275" s="80"/>
      <c r="P1275" s="59" t="str">
        <f aca="false">IF(E1275="","",IFERROR(INDEX(기본설정!$H$4:$H$14,MATCH(E1275,기본설정!$G$4:$G$14,0)),""))</f>
        <v/>
      </c>
    </row>
    <row r="1276" customFormat="false" ht="15" hidden="false" customHeight="false" outlineLevel="0" collapsed="false">
      <c r="A1276" s="73"/>
      <c r="B1276" s="10"/>
      <c r="C1276" s="80"/>
      <c r="D1276" s="80"/>
      <c r="E1276" s="81" t="str">
        <f aca="false">IF(D1276="","",IFERROR(INDEX(식자재단가!$B$4:$B$203,MATCH(D1276,식자재단가!$C$4:$C$203,0)),""))</f>
        <v/>
      </c>
      <c r="F1276" s="76"/>
      <c r="G1276" s="59" t="str">
        <f aca="false">IF(D1276="","",IFERROR(INDEX(식자재단가!$F$4:$F$203,MATCH(D1276,식자재단가!$C$4:$C$203,0)),""))</f>
        <v/>
      </c>
      <c r="H1276" s="50"/>
      <c r="I1276" s="82" t="str">
        <f aca="false">IF(OR(F1276="",H1276=""),"",F1276*H1276)</f>
        <v/>
      </c>
      <c r="J1276" s="83" t="str">
        <f aca="false">IF(D1276="","",IFERROR(INDEX(식자재단가!$M$4:$M$203,MATCH(D1276,식자재단가!$C$4:$C$203,0)),"과세"))</f>
        <v/>
      </c>
      <c r="K1276" s="28" t="str">
        <f aca="false">IF(I1276="","",IF(J1276="과세",ROUND(I1276*0.1,0),0))</f>
        <v/>
      </c>
      <c r="L1276" s="28" t="str">
        <f aca="false">IF(I1276="","",I1276+K1276)</f>
        <v/>
      </c>
      <c r="M1276" s="10"/>
      <c r="N1276" s="80"/>
      <c r="O1276" s="80"/>
      <c r="P1276" s="59" t="str">
        <f aca="false">IF(E1276="","",IFERROR(INDEX(기본설정!$H$4:$H$14,MATCH(E1276,기본설정!$G$4:$G$14,0)),""))</f>
        <v/>
      </c>
    </row>
    <row r="1277" customFormat="false" ht="15" hidden="false" customHeight="false" outlineLevel="0" collapsed="false">
      <c r="A1277" s="73"/>
      <c r="B1277" s="10"/>
      <c r="C1277" s="80"/>
      <c r="D1277" s="80"/>
      <c r="E1277" s="81" t="str">
        <f aca="false">IF(D1277="","",IFERROR(INDEX(식자재단가!$B$4:$B$203,MATCH(D1277,식자재단가!$C$4:$C$203,0)),""))</f>
        <v/>
      </c>
      <c r="F1277" s="76"/>
      <c r="G1277" s="59" t="str">
        <f aca="false">IF(D1277="","",IFERROR(INDEX(식자재단가!$F$4:$F$203,MATCH(D1277,식자재단가!$C$4:$C$203,0)),""))</f>
        <v/>
      </c>
      <c r="H1277" s="50"/>
      <c r="I1277" s="82" t="str">
        <f aca="false">IF(OR(F1277="",H1277=""),"",F1277*H1277)</f>
        <v/>
      </c>
      <c r="J1277" s="83" t="str">
        <f aca="false">IF(D1277="","",IFERROR(INDEX(식자재단가!$M$4:$M$203,MATCH(D1277,식자재단가!$C$4:$C$203,0)),"과세"))</f>
        <v/>
      </c>
      <c r="K1277" s="28" t="str">
        <f aca="false">IF(I1277="","",IF(J1277="과세",ROUND(I1277*0.1,0),0))</f>
        <v/>
      </c>
      <c r="L1277" s="28" t="str">
        <f aca="false">IF(I1277="","",I1277+K1277)</f>
        <v/>
      </c>
      <c r="M1277" s="10"/>
      <c r="N1277" s="80"/>
      <c r="O1277" s="80"/>
      <c r="P1277" s="59" t="str">
        <f aca="false">IF(E1277="","",IFERROR(INDEX(기본설정!$H$4:$H$14,MATCH(E1277,기본설정!$G$4:$G$14,0)),""))</f>
        <v/>
      </c>
    </row>
    <row r="1278" customFormat="false" ht="15" hidden="false" customHeight="false" outlineLevel="0" collapsed="false">
      <c r="A1278" s="73"/>
      <c r="B1278" s="10"/>
      <c r="C1278" s="80"/>
      <c r="D1278" s="80"/>
      <c r="E1278" s="81" t="str">
        <f aca="false">IF(D1278="","",IFERROR(INDEX(식자재단가!$B$4:$B$203,MATCH(D1278,식자재단가!$C$4:$C$203,0)),""))</f>
        <v/>
      </c>
      <c r="F1278" s="76"/>
      <c r="G1278" s="59" t="str">
        <f aca="false">IF(D1278="","",IFERROR(INDEX(식자재단가!$F$4:$F$203,MATCH(D1278,식자재단가!$C$4:$C$203,0)),""))</f>
        <v/>
      </c>
      <c r="H1278" s="50"/>
      <c r="I1278" s="82" t="str">
        <f aca="false">IF(OR(F1278="",H1278=""),"",F1278*H1278)</f>
        <v/>
      </c>
      <c r="J1278" s="83" t="str">
        <f aca="false">IF(D1278="","",IFERROR(INDEX(식자재단가!$M$4:$M$203,MATCH(D1278,식자재단가!$C$4:$C$203,0)),"과세"))</f>
        <v/>
      </c>
      <c r="K1278" s="28" t="str">
        <f aca="false">IF(I1278="","",IF(J1278="과세",ROUND(I1278*0.1,0),0))</f>
        <v/>
      </c>
      <c r="L1278" s="28" t="str">
        <f aca="false">IF(I1278="","",I1278+K1278)</f>
        <v/>
      </c>
      <c r="M1278" s="10"/>
      <c r="N1278" s="80"/>
      <c r="O1278" s="80"/>
      <c r="P1278" s="59" t="str">
        <f aca="false">IF(E1278="","",IFERROR(INDEX(기본설정!$H$4:$H$14,MATCH(E1278,기본설정!$G$4:$G$14,0)),""))</f>
        <v/>
      </c>
    </row>
    <row r="1279" customFormat="false" ht="15" hidden="false" customHeight="false" outlineLevel="0" collapsed="false">
      <c r="A1279" s="73"/>
      <c r="B1279" s="10"/>
      <c r="C1279" s="80"/>
      <c r="D1279" s="80"/>
      <c r="E1279" s="81" t="str">
        <f aca="false">IF(D1279="","",IFERROR(INDEX(식자재단가!$B$4:$B$203,MATCH(D1279,식자재단가!$C$4:$C$203,0)),""))</f>
        <v/>
      </c>
      <c r="F1279" s="76"/>
      <c r="G1279" s="59" t="str">
        <f aca="false">IF(D1279="","",IFERROR(INDEX(식자재단가!$F$4:$F$203,MATCH(D1279,식자재단가!$C$4:$C$203,0)),""))</f>
        <v/>
      </c>
      <c r="H1279" s="50"/>
      <c r="I1279" s="82" t="str">
        <f aca="false">IF(OR(F1279="",H1279=""),"",F1279*H1279)</f>
        <v/>
      </c>
      <c r="J1279" s="83" t="str">
        <f aca="false">IF(D1279="","",IFERROR(INDEX(식자재단가!$M$4:$M$203,MATCH(D1279,식자재단가!$C$4:$C$203,0)),"과세"))</f>
        <v/>
      </c>
      <c r="K1279" s="28" t="str">
        <f aca="false">IF(I1279="","",IF(J1279="과세",ROUND(I1279*0.1,0),0))</f>
        <v/>
      </c>
      <c r="L1279" s="28" t="str">
        <f aca="false">IF(I1279="","",I1279+K1279)</f>
        <v/>
      </c>
      <c r="M1279" s="10"/>
      <c r="N1279" s="80"/>
      <c r="O1279" s="80"/>
      <c r="P1279" s="59" t="str">
        <f aca="false">IF(E1279="","",IFERROR(INDEX(기본설정!$H$4:$H$14,MATCH(E1279,기본설정!$G$4:$G$14,0)),""))</f>
        <v/>
      </c>
    </row>
    <row r="1280" customFormat="false" ht="15" hidden="false" customHeight="false" outlineLevel="0" collapsed="false">
      <c r="A1280" s="73"/>
      <c r="B1280" s="10"/>
      <c r="C1280" s="80"/>
      <c r="D1280" s="80"/>
      <c r="E1280" s="81" t="str">
        <f aca="false">IF(D1280="","",IFERROR(INDEX(식자재단가!$B$4:$B$203,MATCH(D1280,식자재단가!$C$4:$C$203,0)),""))</f>
        <v/>
      </c>
      <c r="F1280" s="76"/>
      <c r="G1280" s="59" t="str">
        <f aca="false">IF(D1280="","",IFERROR(INDEX(식자재단가!$F$4:$F$203,MATCH(D1280,식자재단가!$C$4:$C$203,0)),""))</f>
        <v/>
      </c>
      <c r="H1280" s="50"/>
      <c r="I1280" s="82" t="str">
        <f aca="false">IF(OR(F1280="",H1280=""),"",F1280*H1280)</f>
        <v/>
      </c>
      <c r="J1280" s="83" t="str">
        <f aca="false">IF(D1280="","",IFERROR(INDEX(식자재단가!$M$4:$M$203,MATCH(D1280,식자재단가!$C$4:$C$203,0)),"과세"))</f>
        <v/>
      </c>
      <c r="K1280" s="28" t="str">
        <f aca="false">IF(I1280="","",IF(J1280="과세",ROUND(I1280*0.1,0),0))</f>
        <v/>
      </c>
      <c r="L1280" s="28" t="str">
        <f aca="false">IF(I1280="","",I1280+K1280)</f>
        <v/>
      </c>
      <c r="M1280" s="10"/>
      <c r="N1280" s="80"/>
      <c r="O1280" s="80"/>
      <c r="P1280" s="59" t="str">
        <f aca="false">IF(E1280="","",IFERROR(INDEX(기본설정!$H$4:$H$14,MATCH(E1280,기본설정!$G$4:$G$14,0)),""))</f>
        <v/>
      </c>
    </row>
    <row r="1281" customFormat="false" ht="15" hidden="false" customHeight="false" outlineLevel="0" collapsed="false">
      <c r="A1281" s="73"/>
      <c r="B1281" s="10"/>
      <c r="C1281" s="80"/>
      <c r="D1281" s="80"/>
      <c r="E1281" s="81" t="str">
        <f aca="false">IF(D1281="","",IFERROR(INDEX(식자재단가!$B$4:$B$203,MATCH(D1281,식자재단가!$C$4:$C$203,0)),""))</f>
        <v/>
      </c>
      <c r="F1281" s="76"/>
      <c r="G1281" s="59" t="str">
        <f aca="false">IF(D1281="","",IFERROR(INDEX(식자재단가!$F$4:$F$203,MATCH(D1281,식자재단가!$C$4:$C$203,0)),""))</f>
        <v/>
      </c>
      <c r="H1281" s="50"/>
      <c r="I1281" s="82" t="str">
        <f aca="false">IF(OR(F1281="",H1281=""),"",F1281*H1281)</f>
        <v/>
      </c>
      <c r="J1281" s="83" t="str">
        <f aca="false">IF(D1281="","",IFERROR(INDEX(식자재단가!$M$4:$M$203,MATCH(D1281,식자재단가!$C$4:$C$203,0)),"과세"))</f>
        <v/>
      </c>
      <c r="K1281" s="28" t="str">
        <f aca="false">IF(I1281="","",IF(J1281="과세",ROUND(I1281*0.1,0),0))</f>
        <v/>
      </c>
      <c r="L1281" s="28" t="str">
        <f aca="false">IF(I1281="","",I1281+K1281)</f>
        <v/>
      </c>
      <c r="M1281" s="10"/>
      <c r="N1281" s="80"/>
      <c r="O1281" s="80"/>
      <c r="P1281" s="59" t="str">
        <f aca="false">IF(E1281="","",IFERROR(INDEX(기본설정!$H$4:$H$14,MATCH(E1281,기본설정!$G$4:$G$14,0)),""))</f>
        <v/>
      </c>
    </row>
    <row r="1282" customFormat="false" ht="15" hidden="false" customHeight="false" outlineLevel="0" collapsed="false">
      <c r="A1282" s="73"/>
      <c r="B1282" s="10"/>
      <c r="C1282" s="80"/>
      <c r="D1282" s="80"/>
      <c r="E1282" s="81" t="str">
        <f aca="false">IF(D1282="","",IFERROR(INDEX(식자재단가!$B$4:$B$203,MATCH(D1282,식자재단가!$C$4:$C$203,0)),""))</f>
        <v/>
      </c>
      <c r="F1282" s="76"/>
      <c r="G1282" s="59" t="str">
        <f aca="false">IF(D1282="","",IFERROR(INDEX(식자재단가!$F$4:$F$203,MATCH(D1282,식자재단가!$C$4:$C$203,0)),""))</f>
        <v/>
      </c>
      <c r="H1282" s="50"/>
      <c r="I1282" s="82" t="str">
        <f aca="false">IF(OR(F1282="",H1282=""),"",F1282*H1282)</f>
        <v/>
      </c>
      <c r="J1282" s="83" t="str">
        <f aca="false">IF(D1282="","",IFERROR(INDEX(식자재단가!$M$4:$M$203,MATCH(D1282,식자재단가!$C$4:$C$203,0)),"과세"))</f>
        <v/>
      </c>
      <c r="K1282" s="28" t="str">
        <f aca="false">IF(I1282="","",IF(J1282="과세",ROUND(I1282*0.1,0),0))</f>
        <v/>
      </c>
      <c r="L1282" s="28" t="str">
        <f aca="false">IF(I1282="","",I1282+K1282)</f>
        <v/>
      </c>
      <c r="M1282" s="10"/>
      <c r="N1282" s="80"/>
      <c r="O1282" s="80"/>
      <c r="P1282" s="59" t="str">
        <f aca="false">IF(E1282="","",IFERROR(INDEX(기본설정!$H$4:$H$14,MATCH(E1282,기본설정!$G$4:$G$14,0)),""))</f>
        <v/>
      </c>
    </row>
    <row r="1283" customFormat="false" ht="15" hidden="false" customHeight="false" outlineLevel="0" collapsed="false">
      <c r="A1283" s="73"/>
      <c r="B1283" s="10"/>
      <c r="C1283" s="80"/>
      <c r="D1283" s="80"/>
      <c r="E1283" s="81" t="str">
        <f aca="false">IF(D1283="","",IFERROR(INDEX(식자재단가!$B$4:$B$203,MATCH(D1283,식자재단가!$C$4:$C$203,0)),""))</f>
        <v/>
      </c>
      <c r="F1283" s="76"/>
      <c r="G1283" s="59" t="str">
        <f aca="false">IF(D1283="","",IFERROR(INDEX(식자재단가!$F$4:$F$203,MATCH(D1283,식자재단가!$C$4:$C$203,0)),""))</f>
        <v/>
      </c>
      <c r="H1283" s="50"/>
      <c r="I1283" s="82" t="str">
        <f aca="false">IF(OR(F1283="",H1283=""),"",F1283*H1283)</f>
        <v/>
      </c>
      <c r="J1283" s="83" t="str">
        <f aca="false">IF(D1283="","",IFERROR(INDEX(식자재단가!$M$4:$M$203,MATCH(D1283,식자재단가!$C$4:$C$203,0)),"과세"))</f>
        <v/>
      </c>
      <c r="K1283" s="28" t="str">
        <f aca="false">IF(I1283="","",IF(J1283="과세",ROUND(I1283*0.1,0),0))</f>
        <v/>
      </c>
      <c r="L1283" s="28" t="str">
        <f aca="false">IF(I1283="","",I1283+K1283)</f>
        <v/>
      </c>
      <c r="M1283" s="10"/>
      <c r="N1283" s="80"/>
      <c r="O1283" s="80"/>
      <c r="P1283" s="59" t="str">
        <f aca="false">IF(E1283="","",IFERROR(INDEX(기본설정!$H$4:$H$14,MATCH(E1283,기본설정!$G$4:$G$14,0)),""))</f>
        <v/>
      </c>
    </row>
    <row r="1284" customFormat="false" ht="15" hidden="false" customHeight="false" outlineLevel="0" collapsed="false">
      <c r="A1284" s="73"/>
      <c r="B1284" s="10"/>
      <c r="C1284" s="80"/>
      <c r="D1284" s="80"/>
      <c r="E1284" s="81" t="str">
        <f aca="false">IF(D1284="","",IFERROR(INDEX(식자재단가!$B$4:$B$203,MATCH(D1284,식자재단가!$C$4:$C$203,0)),""))</f>
        <v/>
      </c>
      <c r="F1284" s="76"/>
      <c r="G1284" s="59" t="str">
        <f aca="false">IF(D1284="","",IFERROR(INDEX(식자재단가!$F$4:$F$203,MATCH(D1284,식자재단가!$C$4:$C$203,0)),""))</f>
        <v/>
      </c>
      <c r="H1284" s="50"/>
      <c r="I1284" s="82" t="str">
        <f aca="false">IF(OR(F1284="",H1284=""),"",F1284*H1284)</f>
        <v/>
      </c>
      <c r="J1284" s="83" t="str">
        <f aca="false">IF(D1284="","",IFERROR(INDEX(식자재단가!$M$4:$M$203,MATCH(D1284,식자재단가!$C$4:$C$203,0)),"과세"))</f>
        <v/>
      </c>
      <c r="K1284" s="28" t="str">
        <f aca="false">IF(I1284="","",IF(J1284="과세",ROUND(I1284*0.1,0),0))</f>
        <v/>
      </c>
      <c r="L1284" s="28" t="str">
        <f aca="false">IF(I1284="","",I1284+K1284)</f>
        <v/>
      </c>
      <c r="M1284" s="10"/>
      <c r="N1284" s="80"/>
      <c r="O1284" s="80"/>
      <c r="P1284" s="59" t="str">
        <f aca="false">IF(E1284="","",IFERROR(INDEX(기본설정!$H$4:$H$14,MATCH(E1284,기본설정!$G$4:$G$14,0)),""))</f>
        <v/>
      </c>
    </row>
    <row r="1285" customFormat="false" ht="15" hidden="false" customHeight="false" outlineLevel="0" collapsed="false">
      <c r="A1285" s="73"/>
      <c r="B1285" s="10"/>
      <c r="C1285" s="80"/>
      <c r="D1285" s="80"/>
      <c r="E1285" s="81" t="str">
        <f aca="false">IF(D1285="","",IFERROR(INDEX(식자재단가!$B$4:$B$203,MATCH(D1285,식자재단가!$C$4:$C$203,0)),""))</f>
        <v/>
      </c>
      <c r="F1285" s="76"/>
      <c r="G1285" s="59" t="str">
        <f aca="false">IF(D1285="","",IFERROR(INDEX(식자재단가!$F$4:$F$203,MATCH(D1285,식자재단가!$C$4:$C$203,0)),""))</f>
        <v/>
      </c>
      <c r="H1285" s="50"/>
      <c r="I1285" s="82" t="str">
        <f aca="false">IF(OR(F1285="",H1285=""),"",F1285*H1285)</f>
        <v/>
      </c>
      <c r="J1285" s="83" t="str">
        <f aca="false">IF(D1285="","",IFERROR(INDEX(식자재단가!$M$4:$M$203,MATCH(D1285,식자재단가!$C$4:$C$203,0)),"과세"))</f>
        <v/>
      </c>
      <c r="K1285" s="28" t="str">
        <f aca="false">IF(I1285="","",IF(J1285="과세",ROUND(I1285*0.1,0),0))</f>
        <v/>
      </c>
      <c r="L1285" s="28" t="str">
        <f aca="false">IF(I1285="","",I1285+K1285)</f>
        <v/>
      </c>
      <c r="M1285" s="10"/>
      <c r="N1285" s="80"/>
      <c r="O1285" s="80"/>
      <c r="P1285" s="59" t="str">
        <f aca="false">IF(E1285="","",IFERROR(INDEX(기본설정!$H$4:$H$14,MATCH(E1285,기본설정!$G$4:$G$14,0)),""))</f>
        <v/>
      </c>
    </row>
    <row r="1286" customFormat="false" ht="15" hidden="false" customHeight="false" outlineLevel="0" collapsed="false">
      <c r="A1286" s="73"/>
      <c r="B1286" s="10"/>
      <c r="C1286" s="80"/>
      <c r="D1286" s="80"/>
      <c r="E1286" s="81" t="str">
        <f aca="false">IF(D1286="","",IFERROR(INDEX(식자재단가!$B$4:$B$203,MATCH(D1286,식자재단가!$C$4:$C$203,0)),""))</f>
        <v/>
      </c>
      <c r="F1286" s="76"/>
      <c r="G1286" s="59" t="str">
        <f aca="false">IF(D1286="","",IFERROR(INDEX(식자재단가!$F$4:$F$203,MATCH(D1286,식자재단가!$C$4:$C$203,0)),""))</f>
        <v/>
      </c>
      <c r="H1286" s="50"/>
      <c r="I1286" s="82" t="str">
        <f aca="false">IF(OR(F1286="",H1286=""),"",F1286*H1286)</f>
        <v/>
      </c>
      <c r="J1286" s="83" t="str">
        <f aca="false">IF(D1286="","",IFERROR(INDEX(식자재단가!$M$4:$M$203,MATCH(D1286,식자재단가!$C$4:$C$203,0)),"과세"))</f>
        <v/>
      </c>
      <c r="K1286" s="28" t="str">
        <f aca="false">IF(I1286="","",IF(J1286="과세",ROUND(I1286*0.1,0),0))</f>
        <v/>
      </c>
      <c r="L1286" s="28" t="str">
        <f aca="false">IF(I1286="","",I1286+K1286)</f>
        <v/>
      </c>
      <c r="M1286" s="10"/>
      <c r="N1286" s="80"/>
      <c r="O1286" s="80"/>
      <c r="P1286" s="59" t="str">
        <f aca="false">IF(E1286="","",IFERROR(INDEX(기본설정!$H$4:$H$14,MATCH(E1286,기본설정!$G$4:$G$14,0)),""))</f>
        <v/>
      </c>
    </row>
    <row r="1287" customFormat="false" ht="15" hidden="false" customHeight="false" outlineLevel="0" collapsed="false">
      <c r="A1287" s="73"/>
      <c r="B1287" s="10"/>
      <c r="C1287" s="80"/>
      <c r="D1287" s="80"/>
      <c r="E1287" s="81" t="str">
        <f aca="false">IF(D1287="","",IFERROR(INDEX(식자재단가!$B$4:$B$203,MATCH(D1287,식자재단가!$C$4:$C$203,0)),""))</f>
        <v/>
      </c>
      <c r="F1287" s="76"/>
      <c r="G1287" s="59" t="str">
        <f aca="false">IF(D1287="","",IFERROR(INDEX(식자재단가!$F$4:$F$203,MATCH(D1287,식자재단가!$C$4:$C$203,0)),""))</f>
        <v/>
      </c>
      <c r="H1287" s="50"/>
      <c r="I1287" s="82" t="str">
        <f aca="false">IF(OR(F1287="",H1287=""),"",F1287*H1287)</f>
        <v/>
      </c>
      <c r="J1287" s="83" t="str">
        <f aca="false">IF(D1287="","",IFERROR(INDEX(식자재단가!$M$4:$M$203,MATCH(D1287,식자재단가!$C$4:$C$203,0)),"과세"))</f>
        <v/>
      </c>
      <c r="K1287" s="28" t="str">
        <f aca="false">IF(I1287="","",IF(J1287="과세",ROUND(I1287*0.1,0),0))</f>
        <v/>
      </c>
      <c r="L1287" s="28" t="str">
        <f aca="false">IF(I1287="","",I1287+K1287)</f>
        <v/>
      </c>
      <c r="M1287" s="10"/>
      <c r="N1287" s="80"/>
      <c r="O1287" s="80"/>
      <c r="P1287" s="59" t="str">
        <f aca="false">IF(E1287="","",IFERROR(INDEX(기본설정!$H$4:$H$14,MATCH(E1287,기본설정!$G$4:$G$14,0)),""))</f>
        <v/>
      </c>
    </row>
    <row r="1288" customFormat="false" ht="15" hidden="false" customHeight="false" outlineLevel="0" collapsed="false">
      <c r="A1288" s="73"/>
      <c r="B1288" s="10"/>
      <c r="C1288" s="80"/>
      <c r="D1288" s="80"/>
      <c r="E1288" s="81" t="str">
        <f aca="false">IF(D1288="","",IFERROR(INDEX(식자재단가!$B$4:$B$203,MATCH(D1288,식자재단가!$C$4:$C$203,0)),""))</f>
        <v/>
      </c>
      <c r="F1288" s="76"/>
      <c r="G1288" s="59" t="str">
        <f aca="false">IF(D1288="","",IFERROR(INDEX(식자재단가!$F$4:$F$203,MATCH(D1288,식자재단가!$C$4:$C$203,0)),""))</f>
        <v/>
      </c>
      <c r="H1288" s="50"/>
      <c r="I1288" s="82" t="str">
        <f aca="false">IF(OR(F1288="",H1288=""),"",F1288*H1288)</f>
        <v/>
      </c>
      <c r="J1288" s="83" t="str">
        <f aca="false">IF(D1288="","",IFERROR(INDEX(식자재단가!$M$4:$M$203,MATCH(D1288,식자재단가!$C$4:$C$203,0)),"과세"))</f>
        <v/>
      </c>
      <c r="K1288" s="28" t="str">
        <f aca="false">IF(I1288="","",IF(J1288="과세",ROUND(I1288*0.1,0),0))</f>
        <v/>
      </c>
      <c r="L1288" s="28" t="str">
        <f aca="false">IF(I1288="","",I1288+K1288)</f>
        <v/>
      </c>
      <c r="M1288" s="10"/>
      <c r="N1288" s="80"/>
      <c r="O1288" s="80"/>
      <c r="P1288" s="59" t="str">
        <f aca="false">IF(E1288="","",IFERROR(INDEX(기본설정!$H$4:$H$14,MATCH(E1288,기본설정!$G$4:$G$14,0)),""))</f>
        <v/>
      </c>
    </row>
    <row r="1289" customFormat="false" ht="15" hidden="false" customHeight="false" outlineLevel="0" collapsed="false">
      <c r="A1289" s="73"/>
      <c r="B1289" s="10"/>
      <c r="C1289" s="80"/>
      <c r="D1289" s="80"/>
      <c r="E1289" s="81" t="str">
        <f aca="false">IF(D1289="","",IFERROR(INDEX(식자재단가!$B$4:$B$203,MATCH(D1289,식자재단가!$C$4:$C$203,0)),""))</f>
        <v/>
      </c>
      <c r="F1289" s="76"/>
      <c r="G1289" s="59" t="str">
        <f aca="false">IF(D1289="","",IFERROR(INDEX(식자재단가!$F$4:$F$203,MATCH(D1289,식자재단가!$C$4:$C$203,0)),""))</f>
        <v/>
      </c>
      <c r="H1289" s="50"/>
      <c r="I1289" s="82" t="str">
        <f aca="false">IF(OR(F1289="",H1289=""),"",F1289*H1289)</f>
        <v/>
      </c>
      <c r="J1289" s="83" t="str">
        <f aca="false">IF(D1289="","",IFERROR(INDEX(식자재단가!$M$4:$M$203,MATCH(D1289,식자재단가!$C$4:$C$203,0)),"과세"))</f>
        <v/>
      </c>
      <c r="K1289" s="28" t="str">
        <f aca="false">IF(I1289="","",IF(J1289="과세",ROUND(I1289*0.1,0),0))</f>
        <v/>
      </c>
      <c r="L1289" s="28" t="str">
        <f aca="false">IF(I1289="","",I1289+K1289)</f>
        <v/>
      </c>
      <c r="M1289" s="10"/>
      <c r="N1289" s="80"/>
      <c r="O1289" s="80"/>
      <c r="P1289" s="59" t="str">
        <f aca="false">IF(E1289="","",IFERROR(INDEX(기본설정!$H$4:$H$14,MATCH(E1289,기본설정!$G$4:$G$14,0)),""))</f>
        <v/>
      </c>
    </row>
    <row r="1290" customFormat="false" ht="15" hidden="false" customHeight="false" outlineLevel="0" collapsed="false">
      <c r="A1290" s="73"/>
      <c r="B1290" s="10"/>
      <c r="C1290" s="80"/>
      <c r="D1290" s="80"/>
      <c r="E1290" s="81" t="str">
        <f aca="false">IF(D1290="","",IFERROR(INDEX(식자재단가!$B$4:$B$203,MATCH(D1290,식자재단가!$C$4:$C$203,0)),""))</f>
        <v/>
      </c>
      <c r="F1290" s="76"/>
      <c r="G1290" s="59" t="str">
        <f aca="false">IF(D1290="","",IFERROR(INDEX(식자재단가!$F$4:$F$203,MATCH(D1290,식자재단가!$C$4:$C$203,0)),""))</f>
        <v/>
      </c>
      <c r="H1290" s="50"/>
      <c r="I1290" s="82" t="str">
        <f aca="false">IF(OR(F1290="",H1290=""),"",F1290*H1290)</f>
        <v/>
      </c>
      <c r="J1290" s="83" t="str">
        <f aca="false">IF(D1290="","",IFERROR(INDEX(식자재단가!$M$4:$M$203,MATCH(D1290,식자재단가!$C$4:$C$203,0)),"과세"))</f>
        <v/>
      </c>
      <c r="K1290" s="28" t="str">
        <f aca="false">IF(I1290="","",IF(J1290="과세",ROUND(I1290*0.1,0),0))</f>
        <v/>
      </c>
      <c r="L1290" s="28" t="str">
        <f aca="false">IF(I1290="","",I1290+K1290)</f>
        <v/>
      </c>
      <c r="M1290" s="10"/>
      <c r="N1290" s="80"/>
      <c r="O1290" s="80"/>
      <c r="P1290" s="59" t="str">
        <f aca="false">IF(E1290="","",IFERROR(INDEX(기본설정!$H$4:$H$14,MATCH(E1290,기본설정!$G$4:$G$14,0)),""))</f>
        <v/>
      </c>
    </row>
    <row r="1291" customFormat="false" ht="15" hidden="false" customHeight="false" outlineLevel="0" collapsed="false">
      <c r="A1291" s="73"/>
      <c r="B1291" s="10"/>
      <c r="C1291" s="80"/>
      <c r="D1291" s="80"/>
      <c r="E1291" s="81" t="str">
        <f aca="false">IF(D1291="","",IFERROR(INDEX(식자재단가!$B$4:$B$203,MATCH(D1291,식자재단가!$C$4:$C$203,0)),""))</f>
        <v/>
      </c>
      <c r="F1291" s="76"/>
      <c r="G1291" s="59" t="str">
        <f aca="false">IF(D1291="","",IFERROR(INDEX(식자재단가!$F$4:$F$203,MATCH(D1291,식자재단가!$C$4:$C$203,0)),""))</f>
        <v/>
      </c>
      <c r="H1291" s="50"/>
      <c r="I1291" s="82" t="str">
        <f aca="false">IF(OR(F1291="",H1291=""),"",F1291*H1291)</f>
        <v/>
      </c>
      <c r="J1291" s="83" t="str">
        <f aca="false">IF(D1291="","",IFERROR(INDEX(식자재단가!$M$4:$M$203,MATCH(D1291,식자재단가!$C$4:$C$203,0)),"과세"))</f>
        <v/>
      </c>
      <c r="K1291" s="28" t="str">
        <f aca="false">IF(I1291="","",IF(J1291="과세",ROUND(I1291*0.1,0),0))</f>
        <v/>
      </c>
      <c r="L1291" s="28" t="str">
        <f aca="false">IF(I1291="","",I1291+K1291)</f>
        <v/>
      </c>
      <c r="M1291" s="10"/>
      <c r="N1291" s="80"/>
      <c r="O1291" s="80"/>
      <c r="P1291" s="59" t="str">
        <f aca="false">IF(E1291="","",IFERROR(INDEX(기본설정!$H$4:$H$14,MATCH(E1291,기본설정!$G$4:$G$14,0)),""))</f>
        <v/>
      </c>
    </row>
    <row r="1292" customFormat="false" ht="15" hidden="false" customHeight="false" outlineLevel="0" collapsed="false">
      <c r="A1292" s="73"/>
      <c r="B1292" s="10"/>
      <c r="C1292" s="80"/>
      <c r="D1292" s="80"/>
      <c r="E1292" s="81" t="str">
        <f aca="false">IF(D1292="","",IFERROR(INDEX(식자재단가!$B$4:$B$203,MATCH(D1292,식자재단가!$C$4:$C$203,0)),""))</f>
        <v/>
      </c>
      <c r="F1292" s="76"/>
      <c r="G1292" s="59" t="str">
        <f aca="false">IF(D1292="","",IFERROR(INDEX(식자재단가!$F$4:$F$203,MATCH(D1292,식자재단가!$C$4:$C$203,0)),""))</f>
        <v/>
      </c>
      <c r="H1292" s="50"/>
      <c r="I1292" s="82" t="str">
        <f aca="false">IF(OR(F1292="",H1292=""),"",F1292*H1292)</f>
        <v/>
      </c>
      <c r="J1292" s="83" t="str">
        <f aca="false">IF(D1292="","",IFERROR(INDEX(식자재단가!$M$4:$M$203,MATCH(D1292,식자재단가!$C$4:$C$203,0)),"과세"))</f>
        <v/>
      </c>
      <c r="K1292" s="28" t="str">
        <f aca="false">IF(I1292="","",IF(J1292="과세",ROUND(I1292*0.1,0),0))</f>
        <v/>
      </c>
      <c r="L1292" s="28" t="str">
        <f aca="false">IF(I1292="","",I1292+K1292)</f>
        <v/>
      </c>
      <c r="M1292" s="10"/>
      <c r="N1292" s="80"/>
      <c r="O1292" s="80"/>
      <c r="P1292" s="59" t="str">
        <f aca="false">IF(E1292="","",IFERROR(INDEX(기본설정!$H$4:$H$14,MATCH(E1292,기본설정!$G$4:$G$14,0)),""))</f>
        <v/>
      </c>
    </row>
    <row r="1293" customFormat="false" ht="15" hidden="false" customHeight="false" outlineLevel="0" collapsed="false">
      <c r="A1293" s="73"/>
      <c r="B1293" s="10"/>
      <c r="C1293" s="80"/>
      <c r="D1293" s="80"/>
      <c r="E1293" s="81" t="str">
        <f aca="false">IF(D1293="","",IFERROR(INDEX(식자재단가!$B$4:$B$203,MATCH(D1293,식자재단가!$C$4:$C$203,0)),""))</f>
        <v/>
      </c>
      <c r="F1293" s="76"/>
      <c r="G1293" s="59" t="str">
        <f aca="false">IF(D1293="","",IFERROR(INDEX(식자재단가!$F$4:$F$203,MATCH(D1293,식자재단가!$C$4:$C$203,0)),""))</f>
        <v/>
      </c>
      <c r="H1293" s="50"/>
      <c r="I1293" s="82" t="str">
        <f aca="false">IF(OR(F1293="",H1293=""),"",F1293*H1293)</f>
        <v/>
      </c>
      <c r="J1293" s="83" t="str">
        <f aca="false">IF(D1293="","",IFERROR(INDEX(식자재단가!$M$4:$M$203,MATCH(D1293,식자재단가!$C$4:$C$203,0)),"과세"))</f>
        <v/>
      </c>
      <c r="K1293" s="28" t="str">
        <f aca="false">IF(I1293="","",IF(J1293="과세",ROUND(I1293*0.1,0),0))</f>
        <v/>
      </c>
      <c r="L1293" s="28" t="str">
        <f aca="false">IF(I1293="","",I1293+K1293)</f>
        <v/>
      </c>
      <c r="M1293" s="10"/>
      <c r="N1293" s="80"/>
      <c r="O1293" s="80"/>
      <c r="P1293" s="59" t="str">
        <f aca="false">IF(E1293="","",IFERROR(INDEX(기본설정!$H$4:$H$14,MATCH(E1293,기본설정!$G$4:$G$14,0)),""))</f>
        <v/>
      </c>
    </row>
    <row r="1294" customFormat="false" ht="15" hidden="false" customHeight="false" outlineLevel="0" collapsed="false">
      <c r="A1294" s="73"/>
      <c r="B1294" s="10"/>
      <c r="C1294" s="80"/>
      <c r="D1294" s="80"/>
      <c r="E1294" s="81" t="str">
        <f aca="false">IF(D1294="","",IFERROR(INDEX(식자재단가!$B$4:$B$203,MATCH(D1294,식자재단가!$C$4:$C$203,0)),""))</f>
        <v/>
      </c>
      <c r="F1294" s="76"/>
      <c r="G1294" s="59" t="str">
        <f aca="false">IF(D1294="","",IFERROR(INDEX(식자재단가!$F$4:$F$203,MATCH(D1294,식자재단가!$C$4:$C$203,0)),""))</f>
        <v/>
      </c>
      <c r="H1294" s="50"/>
      <c r="I1294" s="82" t="str">
        <f aca="false">IF(OR(F1294="",H1294=""),"",F1294*H1294)</f>
        <v/>
      </c>
      <c r="J1294" s="83" t="str">
        <f aca="false">IF(D1294="","",IFERROR(INDEX(식자재단가!$M$4:$M$203,MATCH(D1294,식자재단가!$C$4:$C$203,0)),"과세"))</f>
        <v/>
      </c>
      <c r="K1294" s="28" t="str">
        <f aca="false">IF(I1294="","",IF(J1294="과세",ROUND(I1294*0.1,0),0))</f>
        <v/>
      </c>
      <c r="L1294" s="28" t="str">
        <f aca="false">IF(I1294="","",I1294+K1294)</f>
        <v/>
      </c>
      <c r="M1294" s="10"/>
      <c r="N1294" s="80"/>
      <c r="O1294" s="80"/>
      <c r="P1294" s="59" t="str">
        <f aca="false">IF(E1294="","",IFERROR(INDEX(기본설정!$H$4:$H$14,MATCH(E1294,기본설정!$G$4:$G$14,0)),""))</f>
        <v/>
      </c>
    </row>
    <row r="1295" customFormat="false" ht="15" hidden="false" customHeight="false" outlineLevel="0" collapsed="false">
      <c r="A1295" s="73"/>
      <c r="B1295" s="10"/>
      <c r="C1295" s="80"/>
      <c r="D1295" s="80"/>
      <c r="E1295" s="81" t="str">
        <f aca="false">IF(D1295="","",IFERROR(INDEX(식자재단가!$B$4:$B$203,MATCH(D1295,식자재단가!$C$4:$C$203,0)),""))</f>
        <v/>
      </c>
      <c r="F1295" s="76"/>
      <c r="G1295" s="59" t="str">
        <f aca="false">IF(D1295="","",IFERROR(INDEX(식자재단가!$F$4:$F$203,MATCH(D1295,식자재단가!$C$4:$C$203,0)),""))</f>
        <v/>
      </c>
      <c r="H1295" s="50"/>
      <c r="I1295" s="82" t="str">
        <f aca="false">IF(OR(F1295="",H1295=""),"",F1295*H1295)</f>
        <v/>
      </c>
      <c r="J1295" s="83" t="str">
        <f aca="false">IF(D1295="","",IFERROR(INDEX(식자재단가!$M$4:$M$203,MATCH(D1295,식자재단가!$C$4:$C$203,0)),"과세"))</f>
        <v/>
      </c>
      <c r="K1295" s="28" t="str">
        <f aca="false">IF(I1295="","",IF(J1295="과세",ROUND(I1295*0.1,0),0))</f>
        <v/>
      </c>
      <c r="L1295" s="28" t="str">
        <f aca="false">IF(I1295="","",I1295+K1295)</f>
        <v/>
      </c>
      <c r="M1295" s="10"/>
      <c r="N1295" s="80"/>
      <c r="O1295" s="80"/>
      <c r="P1295" s="59" t="str">
        <f aca="false">IF(E1295="","",IFERROR(INDEX(기본설정!$H$4:$H$14,MATCH(E1295,기본설정!$G$4:$G$14,0)),""))</f>
        <v/>
      </c>
    </row>
    <row r="1296" customFormat="false" ht="15" hidden="false" customHeight="false" outlineLevel="0" collapsed="false">
      <c r="A1296" s="73"/>
      <c r="B1296" s="10"/>
      <c r="C1296" s="80"/>
      <c r="D1296" s="80"/>
      <c r="E1296" s="81" t="str">
        <f aca="false">IF(D1296="","",IFERROR(INDEX(식자재단가!$B$4:$B$203,MATCH(D1296,식자재단가!$C$4:$C$203,0)),""))</f>
        <v/>
      </c>
      <c r="F1296" s="76"/>
      <c r="G1296" s="59" t="str">
        <f aca="false">IF(D1296="","",IFERROR(INDEX(식자재단가!$F$4:$F$203,MATCH(D1296,식자재단가!$C$4:$C$203,0)),""))</f>
        <v/>
      </c>
      <c r="H1296" s="50"/>
      <c r="I1296" s="82" t="str">
        <f aca="false">IF(OR(F1296="",H1296=""),"",F1296*H1296)</f>
        <v/>
      </c>
      <c r="J1296" s="83" t="str">
        <f aca="false">IF(D1296="","",IFERROR(INDEX(식자재단가!$M$4:$M$203,MATCH(D1296,식자재단가!$C$4:$C$203,0)),"과세"))</f>
        <v/>
      </c>
      <c r="K1296" s="28" t="str">
        <f aca="false">IF(I1296="","",IF(J1296="과세",ROUND(I1296*0.1,0),0))</f>
        <v/>
      </c>
      <c r="L1296" s="28" t="str">
        <f aca="false">IF(I1296="","",I1296+K1296)</f>
        <v/>
      </c>
      <c r="M1296" s="10"/>
      <c r="N1296" s="80"/>
      <c r="O1296" s="80"/>
      <c r="P1296" s="59" t="str">
        <f aca="false">IF(E1296="","",IFERROR(INDEX(기본설정!$H$4:$H$14,MATCH(E1296,기본설정!$G$4:$G$14,0)),""))</f>
        <v/>
      </c>
    </row>
    <row r="1297" customFormat="false" ht="15" hidden="false" customHeight="false" outlineLevel="0" collapsed="false">
      <c r="A1297" s="73"/>
      <c r="B1297" s="10"/>
      <c r="C1297" s="80"/>
      <c r="D1297" s="80"/>
      <c r="E1297" s="81" t="str">
        <f aca="false">IF(D1297="","",IFERROR(INDEX(식자재단가!$B$4:$B$203,MATCH(D1297,식자재단가!$C$4:$C$203,0)),""))</f>
        <v/>
      </c>
      <c r="F1297" s="76"/>
      <c r="G1297" s="59" t="str">
        <f aca="false">IF(D1297="","",IFERROR(INDEX(식자재단가!$F$4:$F$203,MATCH(D1297,식자재단가!$C$4:$C$203,0)),""))</f>
        <v/>
      </c>
      <c r="H1297" s="50"/>
      <c r="I1297" s="82" t="str">
        <f aca="false">IF(OR(F1297="",H1297=""),"",F1297*H1297)</f>
        <v/>
      </c>
      <c r="J1297" s="83" t="str">
        <f aca="false">IF(D1297="","",IFERROR(INDEX(식자재단가!$M$4:$M$203,MATCH(D1297,식자재단가!$C$4:$C$203,0)),"과세"))</f>
        <v/>
      </c>
      <c r="K1297" s="28" t="str">
        <f aca="false">IF(I1297="","",IF(J1297="과세",ROUND(I1297*0.1,0),0))</f>
        <v/>
      </c>
      <c r="L1297" s="28" t="str">
        <f aca="false">IF(I1297="","",I1297+K1297)</f>
        <v/>
      </c>
      <c r="M1297" s="10"/>
      <c r="N1297" s="80"/>
      <c r="O1297" s="80"/>
      <c r="P1297" s="59" t="str">
        <f aca="false">IF(E1297="","",IFERROR(INDEX(기본설정!$H$4:$H$14,MATCH(E1297,기본설정!$G$4:$G$14,0)),""))</f>
        <v/>
      </c>
    </row>
    <row r="1298" customFormat="false" ht="15" hidden="false" customHeight="false" outlineLevel="0" collapsed="false">
      <c r="A1298" s="73"/>
      <c r="B1298" s="10"/>
      <c r="C1298" s="80"/>
      <c r="D1298" s="80"/>
      <c r="E1298" s="81" t="str">
        <f aca="false">IF(D1298="","",IFERROR(INDEX(식자재단가!$B$4:$B$203,MATCH(D1298,식자재단가!$C$4:$C$203,0)),""))</f>
        <v/>
      </c>
      <c r="F1298" s="76"/>
      <c r="G1298" s="59" t="str">
        <f aca="false">IF(D1298="","",IFERROR(INDEX(식자재단가!$F$4:$F$203,MATCH(D1298,식자재단가!$C$4:$C$203,0)),""))</f>
        <v/>
      </c>
      <c r="H1298" s="50"/>
      <c r="I1298" s="82" t="str">
        <f aca="false">IF(OR(F1298="",H1298=""),"",F1298*H1298)</f>
        <v/>
      </c>
      <c r="J1298" s="83" t="str">
        <f aca="false">IF(D1298="","",IFERROR(INDEX(식자재단가!$M$4:$M$203,MATCH(D1298,식자재단가!$C$4:$C$203,0)),"과세"))</f>
        <v/>
      </c>
      <c r="K1298" s="28" t="str">
        <f aca="false">IF(I1298="","",IF(J1298="과세",ROUND(I1298*0.1,0),0))</f>
        <v/>
      </c>
      <c r="L1298" s="28" t="str">
        <f aca="false">IF(I1298="","",I1298+K1298)</f>
        <v/>
      </c>
      <c r="M1298" s="10"/>
      <c r="N1298" s="80"/>
      <c r="O1298" s="80"/>
      <c r="P1298" s="59" t="str">
        <f aca="false">IF(E1298="","",IFERROR(INDEX(기본설정!$H$4:$H$14,MATCH(E1298,기본설정!$G$4:$G$14,0)),""))</f>
        <v/>
      </c>
    </row>
    <row r="1299" customFormat="false" ht="15" hidden="false" customHeight="false" outlineLevel="0" collapsed="false">
      <c r="A1299" s="73"/>
      <c r="B1299" s="10"/>
      <c r="C1299" s="80"/>
      <c r="D1299" s="80"/>
      <c r="E1299" s="81" t="str">
        <f aca="false">IF(D1299="","",IFERROR(INDEX(식자재단가!$B$4:$B$203,MATCH(D1299,식자재단가!$C$4:$C$203,0)),""))</f>
        <v/>
      </c>
      <c r="F1299" s="76"/>
      <c r="G1299" s="59" t="str">
        <f aca="false">IF(D1299="","",IFERROR(INDEX(식자재단가!$F$4:$F$203,MATCH(D1299,식자재단가!$C$4:$C$203,0)),""))</f>
        <v/>
      </c>
      <c r="H1299" s="50"/>
      <c r="I1299" s="82" t="str">
        <f aca="false">IF(OR(F1299="",H1299=""),"",F1299*H1299)</f>
        <v/>
      </c>
      <c r="J1299" s="83" t="str">
        <f aca="false">IF(D1299="","",IFERROR(INDEX(식자재단가!$M$4:$M$203,MATCH(D1299,식자재단가!$C$4:$C$203,0)),"과세"))</f>
        <v/>
      </c>
      <c r="K1299" s="28" t="str">
        <f aca="false">IF(I1299="","",IF(J1299="과세",ROUND(I1299*0.1,0),0))</f>
        <v/>
      </c>
      <c r="L1299" s="28" t="str">
        <f aca="false">IF(I1299="","",I1299+K1299)</f>
        <v/>
      </c>
      <c r="M1299" s="10"/>
      <c r="N1299" s="80"/>
      <c r="O1299" s="80"/>
      <c r="P1299" s="59" t="str">
        <f aca="false">IF(E1299="","",IFERROR(INDEX(기본설정!$H$4:$H$14,MATCH(E1299,기본설정!$G$4:$G$14,0)),""))</f>
        <v/>
      </c>
    </row>
    <row r="1300" customFormat="false" ht="15" hidden="false" customHeight="false" outlineLevel="0" collapsed="false">
      <c r="A1300" s="73"/>
      <c r="B1300" s="10"/>
      <c r="C1300" s="80"/>
      <c r="D1300" s="80"/>
      <c r="E1300" s="81" t="str">
        <f aca="false">IF(D1300="","",IFERROR(INDEX(식자재단가!$B$4:$B$203,MATCH(D1300,식자재단가!$C$4:$C$203,0)),""))</f>
        <v/>
      </c>
      <c r="F1300" s="76"/>
      <c r="G1300" s="59" t="str">
        <f aca="false">IF(D1300="","",IFERROR(INDEX(식자재단가!$F$4:$F$203,MATCH(D1300,식자재단가!$C$4:$C$203,0)),""))</f>
        <v/>
      </c>
      <c r="H1300" s="50"/>
      <c r="I1300" s="82" t="str">
        <f aca="false">IF(OR(F1300="",H1300=""),"",F1300*H1300)</f>
        <v/>
      </c>
      <c r="J1300" s="83" t="str">
        <f aca="false">IF(D1300="","",IFERROR(INDEX(식자재단가!$M$4:$M$203,MATCH(D1300,식자재단가!$C$4:$C$203,0)),"과세"))</f>
        <v/>
      </c>
      <c r="K1300" s="28" t="str">
        <f aca="false">IF(I1300="","",IF(J1300="과세",ROUND(I1300*0.1,0),0))</f>
        <v/>
      </c>
      <c r="L1300" s="28" t="str">
        <f aca="false">IF(I1300="","",I1300+K1300)</f>
        <v/>
      </c>
      <c r="M1300" s="10"/>
      <c r="N1300" s="80"/>
      <c r="O1300" s="80"/>
      <c r="P1300" s="59" t="str">
        <f aca="false">IF(E1300="","",IFERROR(INDEX(기본설정!$H$4:$H$14,MATCH(E1300,기본설정!$G$4:$G$14,0)),""))</f>
        <v/>
      </c>
    </row>
    <row r="1301" customFormat="false" ht="15" hidden="false" customHeight="false" outlineLevel="0" collapsed="false">
      <c r="A1301" s="73"/>
      <c r="B1301" s="10"/>
      <c r="C1301" s="80"/>
      <c r="D1301" s="80"/>
      <c r="E1301" s="81" t="str">
        <f aca="false">IF(D1301="","",IFERROR(INDEX(식자재단가!$B$4:$B$203,MATCH(D1301,식자재단가!$C$4:$C$203,0)),""))</f>
        <v/>
      </c>
      <c r="F1301" s="76"/>
      <c r="G1301" s="59" t="str">
        <f aca="false">IF(D1301="","",IFERROR(INDEX(식자재단가!$F$4:$F$203,MATCH(D1301,식자재단가!$C$4:$C$203,0)),""))</f>
        <v/>
      </c>
      <c r="H1301" s="50"/>
      <c r="I1301" s="82" t="str">
        <f aca="false">IF(OR(F1301="",H1301=""),"",F1301*H1301)</f>
        <v/>
      </c>
      <c r="J1301" s="83" t="str">
        <f aca="false">IF(D1301="","",IFERROR(INDEX(식자재단가!$M$4:$M$203,MATCH(D1301,식자재단가!$C$4:$C$203,0)),"과세"))</f>
        <v/>
      </c>
      <c r="K1301" s="28" t="str">
        <f aca="false">IF(I1301="","",IF(J1301="과세",ROUND(I1301*0.1,0),0))</f>
        <v/>
      </c>
      <c r="L1301" s="28" t="str">
        <f aca="false">IF(I1301="","",I1301+K1301)</f>
        <v/>
      </c>
      <c r="M1301" s="10"/>
      <c r="N1301" s="80"/>
      <c r="O1301" s="80"/>
      <c r="P1301" s="59" t="str">
        <f aca="false">IF(E1301="","",IFERROR(INDEX(기본설정!$H$4:$H$14,MATCH(E1301,기본설정!$G$4:$G$14,0)),""))</f>
        <v/>
      </c>
    </row>
    <row r="1302" customFormat="false" ht="15" hidden="false" customHeight="false" outlineLevel="0" collapsed="false">
      <c r="A1302" s="73"/>
      <c r="B1302" s="10"/>
      <c r="C1302" s="80"/>
      <c r="D1302" s="80"/>
      <c r="E1302" s="81" t="str">
        <f aca="false">IF(D1302="","",IFERROR(INDEX(식자재단가!$B$4:$B$203,MATCH(D1302,식자재단가!$C$4:$C$203,0)),""))</f>
        <v/>
      </c>
      <c r="F1302" s="76"/>
      <c r="G1302" s="59" t="str">
        <f aca="false">IF(D1302="","",IFERROR(INDEX(식자재단가!$F$4:$F$203,MATCH(D1302,식자재단가!$C$4:$C$203,0)),""))</f>
        <v/>
      </c>
      <c r="H1302" s="50"/>
      <c r="I1302" s="82" t="str">
        <f aca="false">IF(OR(F1302="",H1302=""),"",F1302*H1302)</f>
        <v/>
      </c>
      <c r="J1302" s="83" t="str">
        <f aca="false">IF(D1302="","",IFERROR(INDEX(식자재단가!$M$4:$M$203,MATCH(D1302,식자재단가!$C$4:$C$203,0)),"과세"))</f>
        <v/>
      </c>
      <c r="K1302" s="28" t="str">
        <f aca="false">IF(I1302="","",IF(J1302="과세",ROUND(I1302*0.1,0),0))</f>
        <v/>
      </c>
      <c r="L1302" s="28" t="str">
        <f aca="false">IF(I1302="","",I1302+K1302)</f>
        <v/>
      </c>
      <c r="M1302" s="10"/>
      <c r="N1302" s="80"/>
      <c r="O1302" s="80"/>
      <c r="P1302" s="59" t="str">
        <f aca="false">IF(E1302="","",IFERROR(INDEX(기본설정!$H$4:$H$14,MATCH(E1302,기본설정!$G$4:$G$14,0)),""))</f>
        <v/>
      </c>
    </row>
    <row r="1303" customFormat="false" ht="15" hidden="false" customHeight="false" outlineLevel="0" collapsed="false">
      <c r="A1303" s="73"/>
      <c r="B1303" s="10"/>
      <c r="C1303" s="80"/>
      <c r="D1303" s="80"/>
      <c r="E1303" s="81" t="str">
        <f aca="false">IF(D1303="","",IFERROR(INDEX(식자재단가!$B$4:$B$203,MATCH(D1303,식자재단가!$C$4:$C$203,0)),""))</f>
        <v/>
      </c>
      <c r="F1303" s="76"/>
      <c r="G1303" s="59" t="str">
        <f aca="false">IF(D1303="","",IFERROR(INDEX(식자재단가!$F$4:$F$203,MATCH(D1303,식자재단가!$C$4:$C$203,0)),""))</f>
        <v/>
      </c>
      <c r="H1303" s="50"/>
      <c r="I1303" s="82" t="str">
        <f aca="false">IF(OR(F1303="",H1303=""),"",F1303*H1303)</f>
        <v/>
      </c>
      <c r="J1303" s="83" t="str">
        <f aca="false">IF(D1303="","",IFERROR(INDEX(식자재단가!$M$4:$M$203,MATCH(D1303,식자재단가!$C$4:$C$203,0)),"과세"))</f>
        <v/>
      </c>
      <c r="K1303" s="28" t="str">
        <f aca="false">IF(I1303="","",IF(J1303="과세",ROUND(I1303*0.1,0),0))</f>
        <v/>
      </c>
      <c r="L1303" s="28" t="str">
        <f aca="false">IF(I1303="","",I1303+K1303)</f>
        <v/>
      </c>
      <c r="M1303" s="10"/>
      <c r="N1303" s="80"/>
      <c r="O1303" s="80"/>
      <c r="P1303" s="59" t="str">
        <f aca="false">IF(E1303="","",IFERROR(INDEX(기본설정!$H$4:$H$14,MATCH(E1303,기본설정!$G$4:$G$14,0)),""))</f>
        <v/>
      </c>
    </row>
    <row r="1304" customFormat="false" ht="15" hidden="false" customHeight="false" outlineLevel="0" collapsed="false">
      <c r="A1304" s="73"/>
      <c r="B1304" s="10"/>
      <c r="C1304" s="80"/>
      <c r="D1304" s="80"/>
      <c r="E1304" s="81" t="str">
        <f aca="false">IF(D1304="","",IFERROR(INDEX(식자재단가!$B$4:$B$203,MATCH(D1304,식자재단가!$C$4:$C$203,0)),""))</f>
        <v/>
      </c>
      <c r="F1304" s="76"/>
      <c r="G1304" s="59" t="str">
        <f aca="false">IF(D1304="","",IFERROR(INDEX(식자재단가!$F$4:$F$203,MATCH(D1304,식자재단가!$C$4:$C$203,0)),""))</f>
        <v/>
      </c>
      <c r="H1304" s="50"/>
      <c r="I1304" s="82" t="str">
        <f aca="false">IF(OR(F1304="",H1304=""),"",F1304*H1304)</f>
        <v/>
      </c>
      <c r="J1304" s="83" t="str">
        <f aca="false">IF(D1304="","",IFERROR(INDEX(식자재단가!$M$4:$M$203,MATCH(D1304,식자재단가!$C$4:$C$203,0)),"과세"))</f>
        <v/>
      </c>
      <c r="K1304" s="28" t="str">
        <f aca="false">IF(I1304="","",IF(J1304="과세",ROUND(I1304*0.1,0),0))</f>
        <v/>
      </c>
      <c r="L1304" s="28" t="str">
        <f aca="false">IF(I1304="","",I1304+K1304)</f>
        <v/>
      </c>
      <c r="M1304" s="10"/>
      <c r="N1304" s="80"/>
      <c r="O1304" s="80"/>
      <c r="P1304" s="59" t="str">
        <f aca="false">IF(E1304="","",IFERROR(INDEX(기본설정!$H$4:$H$14,MATCH(E1304,기본설정!$G$4:$G$14,0)),""))</f>
        <v/>
      </c>
    </row>
    <row r="1305" customFormat="false" ht="15" hidden="false" customHeight="false" outlineLevel="0" collapsed="false">
      <c r="A1305" s="73"/>
      <c r="B1305" s="10"/>
      <c r="C1305" s="80"/>
      <c r="D1305" s="80"/>
      <c r="E1305" s="81" t="str">
        <f aca="false">IF(D1305="","",IFERROR(INDEX(식자재단가!$B$4:$B$203,MATCH(D1305,식자재단가!$C$4:$C$203,0)),""))</f>
        <v/>
      </c>
      <c r="F1305" s="76"/>
      <c r="G1305" s="59" t="str">
        <f aca="false">IF(D1305="","",IFERROR(INDEX(식자재단가!$F$4:$F$203,MATCH(D1305,식자재단가!$C$4:$C$203,0)),""))</f>
        <v/>
      </c>
      <c r="H1305" s="50"/>
      <c r="I1305" s="82" t="str">
        <f aca="false">IF(OR(F1305="",H1305=""),"",F1305*H1305)</f>
        <v/>
      </c>
      <c r="J1305" s="83" t="str">
        <f aca="false">IF(D1305="","",IFERROR(INDEX(식자재단가!$M$4:$M$203,MATCH(D1305,식자재단가!$C$4:$C$203,0)),"과세"))</f>
        <v/>
      </c>
      <c r="K1305" s="28" t="str">
        <f aca="false">IF(I1305="","",IF(J1305="과세",ROUND(I1305*0.1,0),0))</f>
        <v/>
      </c>
      <c r="L1305" s="28" t="str">
        <f aca="false">IF(I1305="","",I1305+K1305)</f>
        <v/>
      </c>
      <c r="M1305" s="10"/>
      <c r="N1305" s="80"/>
      <c r="O1305" s="80"/>
      <c r="P1305" s="59" t="str">
        <f aca="false">IF(E1305="","",IFERROR(INDEX(기본설정!$H$4:$H$14,MATCH(E1305,기본설정!$G$4:$G$14,0)),""))</f>
        <v/>
      </c>
    </row>
    <row r="1306" customFormat="false" ht="15" hidden="false" customHeight="false" outlineLevel="0" collapsed="false">
      <c r="A1306" s="73"/>
      <c r="B1306" s="10"/>
      <c r="C1306" s="80"/>
      <c r="D1306" s="80"/>
      <c r="E1306" s="81" t="str">
        <f aca="false">IF(D1306="","",IFERROR(INDEX(식자재단가!$B$4:$B$203,MATCH(D1306,식자재단가!$C$4:$C$203,0)),""))</f>
        <v/>
      </c>
      <c r="F1306" s="76"/>
      <c r="G1306" s="59" t="str">
        <f aca="false">IF(D1306="","",IFERROR(INDEX(식자재단가!$F$4:$F$203,MATCH(D1306,식자재단가!$C$4:$C$203,0)),""))</f>
        <v/>
      </c>
      <c r="H1306" s="50"/>
      <c r="I1306" s="82" t="str">
        <f aca="false">IF(OR(F1306="",H1306=""),"",F1306*H1306)</f>
        <v/>
      </c>
      <c r="J1306" s="83" t="str">
        <f aca="false">IF(D1306="","",IFERROR(INDEX(식자재단가!$M$4:$M$203,MATCH(D1306,식자재단가!$C$4:$C$203,0)),"과세"))</f>
        <v/>
      </c>
      <c r="K1306" s="28" t="str">
        <f aca="false">IF(I1306="","",IF(J1306="과세",ROUND(I1306*0.1,0),0))</f>
        <v/>
      </c>
      <c r="L1306" s="28" t="str">
        <f aca="false">IF(I1306="","",I1306+K1306)</f>
        <v/>
      </c>
      <c r="M1306" s="10"/>
      <c r="N1306" s="80"/>
      <c r="O1306" s="80"/>
      <c r="P1306" s="59" t="str">
        <f aca="false">IF(E1306="","",IFERROR(INDEX(기본설정!$H$4:$H$14,MATCH(E1306,기본설정!$G$4:$G$14,0)),""))</f>
        <v/>
      </c>
    </row>
    <row r="1307" customFormat="false" ht="15" hidden="false" customHeight="false" outlineLevel="0" collapsed="false">
      <c r="A1307" s="73"/>
      <c r="B1307" s="10"/>
      <c r="C1307" s="80"/>
      <c r="D1307" s="80"/>
      <c r="E1307" s="81" t="str">
        <f aca="false">IF(D1307="","",IFERROR(INDEX(식자재단가!$B$4:$B$203,MATCH(D1307,식자재단가!$C$4:$C$203,0)),""))</f>
        <v/>
      </c>
      <c r="F1307" s="76"/>
      <c r="G1307" s="59" t="str">
        <f aca="false">IF(D1307="","",IFERROR(INDEX(식자재단가!$F$4:$F$203,MATCH(D1307,식자재단가!$C$4:$C$203,0)),""))</f>
        <v/>
      </c>
      <c r="H1307" s="50"/>
      <c r="I1307" s="82" t="str">
        <f aca="false">IF(OR(F1307="",H1307=""),"",F1307*H1307)</f>
        <v/>
      </c>
      <c r="J1307" s="83" t="str">
        <f aca="false">IF(D1307="","",IFERROR(INDEX(식자재단가!$M$4:$M$203,MATCH(D1307,식자재단가!$C$4:$C$203,0)),"과세"))</f>
        <v/>
      </c>
      <c r="K1307" s="28" t="str">
        <f aca="false">IF(I1307="","",IF(J1307="과세",ROUND(I1307*0.1,0),0))</f>
        <v/>
      </c>
      <c r="L1307" s="28" t="str">
        <f aca="false">IF(I1307="","",I1307+K1307)</f>
        <v/>
      </c>
      <c r="M1307" s="10"/>
      <c r="N1307" s="80"/>
      <c r="O1307" s="80"/>
      <c r="P1307" s="59" t="str">
        <f aca="false">IF(E1307="","",IFERROR(INDEX(기본설정!$H$4:$H$14,MATCH(E1307,기본설정!$G$4:$G$14,0)),""))</f>
        <v/>
      </c>
    </row>
    <row r="1308" customFormat="false" ht="15" hidden="false" customHeight="false" outlineLevel="0" collapsed="false">
      <c r="A1308" s="73"/>
      <c r="B1308" s="10"/>
      <c r="C1308" s="80"/>
      <c r="D1308" s="80"/>
      <c r="E1308" s="81" t="str">
        <f aca="false">IF(D1308="","",IFERROR(INDEX(식자재단가!$B$4:$B$203,MATCH(D1308,식자재단가!$C$4:$C$203,0)),""))</f>
        <v/>
      </c>
      <c r="F1308" s="76"/>
      <c r="G1308" s="59" t="str">
        <f aca="false">IF(D1308="","",IFERROR(INDEX(식자재단가!$F$4:$F$203,MATCH(D1308,식자재단가!$C$4:$C$203,0)),""))</f>
        <v/>
      </c>
      <c r="H1308" s="50"/>
      <c r="I1308" s="82" t="str">
        <f aca="false">IF(OR(F1308="",H1308=""),"",F1308*H1308)</f>
        <v/>
      </c>
      <c r="J1308" s="83" t="str">
        <f aca="false">IF(D1308="","",IFERROR(INDEX(식자재단가!$M$4:$M$203,MATCH(D1308,식자재단가!$C$4:$C$203,0)),"과세"))</f>
        <v/>
      </c>
      <c r="K1308" s="28" t="str">
        <f aca="false">IF(I1308="","",IF(J1308="과세",ROUND(I1308*0.1,0),0))</f>
        <v/>
      </c>
      <c r="L1308" s="28" t="str">
        <f aca="false">IF(I1308="","",I1308+K1308)</f>
        <v/>
      </c>
      <c r="M1308" s="10"/>
      <c r="N1308" s="80"/>
      <c r="O1308" s="80"/>
      <c r="P1308" s="59" t="str">
        <f aca="false">IF(E1308="","",IFERROR(INDEX(기본설정!$H$4:$H$14,MATCH(E1308,기본설정!$G$4:$G$14,0)),""))</f>
        <v/>
      </c>
    </row>
    <row r="1309" customFormat="false" ht="15" hidden="false" customHeight="false" outlineLevel="0" collapsed="false">
      <c r="A1309" s="73"/>
      <c r="B1309" s="10"/>
      <c r="C1309" s="80"/>
      <c r="D1309" s="80"/>
      <c r="E1309" s="81" t="str">
        <f aca="false">IF(D1309="","",IFERROR(INDEX(식자재단가!$B$4:$B$203,MATCH(D1309,식자재단가!$C$4:$C$203,0)),""))</f>
        <v/>
      </c>
      <c r="F1309" s="76"/>
      <c r="G1309" s="59" t="str">
        <f aca="false">IF(D1309="","",IFERROR(INDEX(식자재단가!$F$4:$F$203,MATCH(D1309,식자재단가!$C$4:$C$203,0)),""))</f>
        <v/>
      </c>
      <c r="H1309" s="50"/>
      <c r="I1309" s="82" t="str">
        <f aca="false">IF(OR(F1309="",H1309=""),"",F1309*H1309)</f>
        <v/>
      </c>
      <c r="J1309" s="83" t="str">
        <f aca="false">IF(D1309="","",IFERROR(INDEX(식자재단가!$M$4:$M$203,MATCH(D1309,식자재단가!$C$4:$C$203,0)),"과세"))</f>
        <v/>
      </c>
      <c r="K1309" s="28" t="str">
        <f aca="false">IF(I1309="","",IF(J1309="과세",ROUND(I1309*0.1,0),0))</f>
        <v/>
      </c>
      <c r="L1309" s="28" t="str">
        <f aca="false">IF(I1309="","",I1309+K1309)</f>
        <v/>
      </c>
      <c r="M1309" s="10"/>
      <c r="N1309" s="80"/>
      <c r="O1309" s="80"/>
      <c r="P1309" s="59" t="str">
        <f aca="false">IF(E1309="","",IFERROR(INDEX(기본설정!$H$4:$H$14,MATCH(E1309,기본설정!$G$4:$G$14,0)),""))</f>
        <v/>
      </c>
    </row>
    <row r="1310" customFormat="false" ht="15" hidden="false" customHeight="false" outlineLevel="0" collapsed="false">
      <c r="A1310" s="73"/>
      <c r="B1310" s="10"/>
      <c r="C1310" s="80"/>
      <c r="D1310" s="80"/>
      <c r="E1310" s="81" t="str">
        <f aca="false">IF(D1310="","",IFERROR(INDEX(식자재단가!$B$4:$B$203,MATCH(D1310,식자재단가!$C$4:$C$203,0)),""))</f>
        <v/>
      </c>
      <c r="F1310" s="76"/>
      <c r="G1310" s="59" t="str">
        <f aca="false">IF(D1310="","",IFERROR(INDEX(식자재단가!$F$4:$F$203,MATCH(D1310,식자재단가!$C$4:$C$203,0)),""))</f>
        <v/>
      </c>
      <c r="H1310" s="50"/>
      <c r="I1310" s="82" t="str">
        <f aca="false">IF(OR(F1310="",H1310=""),"",F1310*H1310)</f>
        <v/>
      </c>
      <c r="J1310" s="83" t="str">
        <f aca="false">IF(D1310="","",IFERROR(INDEX(식자재단가!$M$4:$M$203,MATCH(D1310,식자재단가!$C$4:$C$203,0)),"과세"))</f>
        <v/>
      </c>
      <c r="K1310" s="28" t="str">
        <f aca="false">IF(I1310="","",IF(J1310="과세",ROUND(I1310*0.1,0),0))</f>
        <v/>
      </c>
      <c r="L1310" s="28" t="str">
        <f aca="false">IF(I1310="","",I1310+K1310)</f>
        <v/>
      </c>
      <c r="M1310" s="10"/>
      <c r="N1310" s="80"/>
      <c r="O1310" s="80"/>
      <c r="P1310" s="59" t="str">
        <f aca="false">IF(E1310="","",IFERROR(INDEX(기본설정!$H$4:$H$14,MATCH(E1310,기본설정!$G$4:$G$14,0)),""))</f>
        <v/>
      </c>
    </row>
    <row r="1311" customFormat="false" ht="15" hidden="false" customHeight="false" outlineLevel="0" collapsed="false">
      <c r="A1311" s="73"/>
      <c r="B1311" s="10"/>
      <c r="C1311" s="80"/>
      <c r="D1311" s="80"/>
      <c r="E1311" s="81" t="str">
        <f aca="false">IF(D1311="","",IFERROR(INDEX(식자재단가!$B$4:$B$203,MATCH(D1311,식자재단가!$C$4:$C$203,0)),""))</f>
        <v/>
      </c>
      <c r="F1311" s="76"/>
      <c r="G1311" s="59" t="str">
        <f aca="false">IF(D1311="","",IFERROR(INDEX(식자재단가!$F$4:$F$203,MATCH(D1311,식자재단가!$C$4:$C$203,0)),""))</f>
        <v/>
      </c>
      <c r="H1311" s="50"/>
      <c r="I1311" s="82" t="str">
        <f aca="false">IF(OR(F1311="",H1311=""),"",F1311*H1311)</f>
        <v/>
      </c>
      <c r="J1311" s="83" t="str">
        <f aca="false">IF(D1311="","",IFERROR(INDEX(식자재단가!$M$4:$M$203,MATCH(D1311,식자재단가!$C$4:$C$203,0)),"과세"))</f>
        <v/>
      </c>
      <c r="K1311" s="28" t="str">
        <f aca="false">IF(I1311="","",IF(J1311="과세",ROUND(I1311*0.1,0),0))</f>
        <v/>
      </c>
      <c r="L1311" s="28" t="str">
        <f aca="false">IF(I1311="","",I1311+K1311)</f>
        <v/>
      </c>
      <c r="M1311" s="10"/>
      <c r="N1311" s="80"/>
      <c r="O1311" s="80"/>
      <c r="P1311" s="59" t="str">
        <f aca="false">IF(E1311="","",IFERROR(INDEX(기본설정!$H$4:$H$14,MATCH(E1311,기본설정!$G$4:$G$14,0)),""))</f>
        <v/>
      </c>
    </row>
    <row r="1312" customFormat="false" ht="15" hidden="false" customHeight="false" outlineLevel="0" collapsed="false">
      <c r="A1312" s="73"/>
      <c r="B1312" s="10"/>
      <c r="C1312" s="80"/>
      <c r="D1312" s="80"/>
      <c r="E1312" s="81" t="str">
        <f aca="false">IF(D1312="","",IFERROR(INDEX(식자재단가!$B$4:$B$203,MATCH(D1312,식자재단가!$C$4:$C$203,0)),""))</f>
        <v/>
      </c>
      <c r="F1312" s="76"/>
      <c r="G1312" s="59" t="str">
        <f aca="false">IF(D1312="","",IFERROR(INDEX(식자재단가!$F$4:$F$203,MATCH(D1312,식자재단가!$C$4:$C$203,0)),""))</f>
        <v/>
      </c>
      <c r="H1312" s="50"/>
      <c r="I1312" s="82" t="str">
        <f aca="false">IF(OR(F1312="",H1312=""),"",F1312*H1312)</f>
        <v/>
      </c>
      <c r="J1312" s="83" t="str">
        <f aca="false">IF(D1312="","",IFERROR(INDEX(식자재단가!$M$4:$M$203,MATCH(D1312,식자재단가!$C$4:$C$203,0)),"과세"))</f>
        <v/>
      </c>
      <c r="K1312" s="28" t="str">
        <f aca="false">IF(I1312="","",IF(J1312="과세",ROUND(I1312*0.1,0),0))</f>
        <v/>
      </c>
      <c r="L1312" s="28" t="str">
        <f aca="false">IF(I1312="","",I1312+K1312)</f>
        <v/>
      </c>
      <c r="M1312" s="10"/>
      <c r="N1312" s="80"/>
      <c r="O1312" s="80"/>
      <c r="P1312" s="59" t="str">
        <f aca="false">IF(E1312="","",IFERROR(INDEX(기본설정!$H$4:$H$14,MATCH(E1312,기본설정!$G$4:$G$14,0)),""))</f>
        <v/>
      </c>
    </row>
    <row r="1313" customFormat="false" ht="15" hidden="false" customHeight="false" outlineLevel="0" collapsed="false">
      <c r="A1313" s="73"/>
      <c r="B1313" s="10"/>
      <c r="C1313" s="80"/>
      <c r="D1313" s="80"/>
      <c r="E1313" s="81" t="str">
        <f aca="false">IF(D1313="","",IFERROR(INDEX(식자재단가!$B$4:$B$203,MATCH(D1313,식자재단가!$C$4:$C$203,0)),""))</f>
        <v/>
      </c>
      <c r="F1313" s="76"/>
      <c r="G1313" s="59" t="str">
        <f aca="false">IF(D1313="","",IFERROR(INDEX(식자재단가!$F$4:$F$203,MATCH(D1313,식자재단가!$C$4:$C$203,0)),""))</f>
        <v/>
      </c>
      <c r="H1313" s="50"/>
      <c r="I1313" s="82" t="str">
        <f aca="false">IF(OR(F1313="",H1313=""),"",F1313*H1313)</f>
        <v/>
      </c>
      <c r="J1313" s="83" t="str">
        <f aca="false">IF(D1313="","",IFERROR(INDEX(식자재단가!$M$4:$M$203,MATCH(D1313,식자재단가!$C$4:$C$203,0)),"과세"))</f>
        <v/>
      </c>
      <c r="K1313" s="28" t="str">
        <f aca="false">IF(I1313="","",IF(J1313="과세",ROUND(I1313*0.1,0),0))</f>
        <v/>
      </c>
      <c r="L1313" s="28" t="str">
        <f aca="false">IF(I1313="","",I1313+K1313)</f>
        <v/>
      </c>
      <c r="M1313" s="10"/>
      <c r="N1313" s="80"/>
      <c r="O1313" s="80"/>
      <c r="P1313" s="59" t="str">
        <f aca="false">IF(E1313="","",IFERROR(INDEX(기본설정!$H$4:$H$14,MATCH(E1313,기본설정!$G$4:$G$14,0)),""))</f>
        <v/>
      </c>
    </row>
    <row r="1314" customFormat="false" ht="15" hidden="false" customHeight="false" outlineLevel="0" collapsed="false">
      <c r="A1314" s="73"/>
      <c r="B1314" s="10"/>
      <c r="C1314" s="80"/>
      <c r="D1314" s="80"/>
      <c r="E1314" s="81" t="str">
        <f aca="false">IF(D1314="","",IFERROR(INDEX(식자재단가!$B$4:$B$203,MATCH(D1314,식자재단가!$C$4:$C$203,0)),""))</f>
        <v/>
      </c>
      <c r="F1314" s="76"/>
      <c r="G1314" s="59" t="str">
        <f aca="false">IF(D1314="","",IFERROR(INDEX(식자재단가!$F$4:$F$203,MATCH(D1314,식자재단가!$C$4:$C$203,0)),""))</f>
        <v/>
      </c>
      <c r="H1314" s="50"/>
      <c r="I1314" s="82" t="str">
        <f aca="false">IF(OR(F1314="",H1314=""),"",F1314*H1314)</f>
        <v/>
      </c>
      <c r="J1314" s="83" t="str">
        <f aca="false">IF(D1314="","",IFERROR(INDEX(식자재단가!$M$4:$M$203,MATCH(D1314,식자재단가!$C$4:$C$203,0)),"과세"))</f>
        <v/>
      </c>
      <c r="K1314" s="28" t="str">
        <f aca="false">IF(I1314="","",IF(J1314="과세",ROUND(I1314*0.1,0),0))</f>
        <v/>
      </c>
      <c r="L1314" s="28" t="str">
        <f aca="false">IF(I1314="","",I1314+K1314)</f>
        <v/>
      </c>
      <c r="M1314" s="10"/>
      <c r="N1314" s="80"/>
      <c r="O1314" s="80"/>
      <c r="P1314" s="59" t="str">
        <f aca="false">IF(E1314="","",IFERROR(INDEX(기본설정!$H$4:$H$14,MATCH(E1314,기본설정!$G$4:$G$14,0)),""))</f>
        <v/>
      </c>
    </row>
    <row r="1315" customFormat="false" ht="15" hidden="false" customHeight="false" outlineLevel="0" collapsed="false">
      <c r="A1315" s="73"/>
      <c r="B1315" s="10"/>
      <c r="C1315" s="80"/>
      <c r="D1315" s="80"/>
      <c r="E1315" s="81" t="str">
        <f aca="false">IF(D1315="","",IFERROR(INDEX(식자재단가!$B$4:$B$203,MATCH(D1315,식자재단가!$C$4:$C$203,0)),""))</f>
        <v/>
      </c>
      <c r="F1315" s="76"/>
      <c r="G1315" s="59" t="str">
        <f aca="false">IF(D1315="","",IFERROR(INDEX(식자재단가!$F$4:$F$203,MATCH(D1315,식자재단가!$C$4:$C$203,0)),""))</f>
        <v/>
      </c>
      <c r="H1315" s="50"/>
      <c r="I1315" s="82" t="str">
        <f aca="false">IF(OR(F1315="",H1315=""),"",F1315*H1315)</f>
        <v/>
      </c>
      <c r="J1315" s="83" t="str">
        <f aca="false">IF(D1315="","",IFERROR(INDEX(식자재단가!$M$4:$M$203,MATCH(D1315,식자재단가!$C$4:$C$203,0)),"과세"))</f>
        <v/>
      </c>
      <c r="K1315" s="28" t="str">
        <f aca="false">IF(I1315="","",IF(J1315="과세",ROUND(I1315*0.1,0),0))</f>
        <v/>
      </c>
      <c r="L1315" s="28" t="str">
        <f aca="false">IF(I1315="","",I1315+K1315)</f>
        <v/>
      </c>
      <c r="M1315" s="10"/>
      <c r="N1315" s="80"/>
      <c r="O1315" s="80"/>
      <c r="P1315" s="59" t="str">
        <f aca="false">IF(E1315="","",IFERROR(INDEX(기본설정!$H$4:$H$14,MATCH(E1315,기본설정!$G$4:$G$14,0)),""))</f>
        <v/>
      </c>
    </row>
    <row r="1316" customFormat="false" ht="15" hidden="false" customHeight="false" outlineLevel="0" collapsed="false">
      <c r="A1316" s="73"/>
      <c r="B1316" s="10"/>
      <c r="C1316" s="80"/>
      <c r="D1316" s="80"/>
      <c r="E1316" s="81" t="str">
        <f aca="false">IF(D1316="","",IFERROR(INDEX(식자재단가!$B$4:$B$203,MATCH(D1316,식자재단가!$C$4:$C$203,0)),""))</f>
        <v/>
      </c>
      <c r="F1316" s="76"/>
      <c r="G1316" s="59" t="str">
        <f aca="false">IF(D1316="","",IFERROR(INDEX(식자재단가!$F$4:$F$203,MATCH(D1316,식자재단가!$C$4:$C$203,0)),""))</f>
        <v/>
      </c>
      <c r="H1316" s="50"/>
      <c r="I1316" s="82" t="str">
        <f aca="false">IF(OR(F1316="",H1316=""),"",F1316*H1316)</f>
        <v/>
      </c>
      <c r="J1316" s="83" t="str">
        <f aca="false">IF(D1316="","",IFERROR(INDEX(식자재단가!$M$4:$M$203,MATCH(D1316,식자재단가!$C$4:$C$203,0)),"과세"))</f>
        <v/>
      </c>
      <c r="K1316" s="28" t="str">
        <f aca="false">IF(I1316="","",IF(J1316="과세",ROUND(I1316*0.1,0),0))</f>
        <v/>
      </c>
      <c r="L1316" s="28" t="str">
        <f aca="false">IF(I1316="","",I1316+K1316)</f>
        <v/>
      </c>
      <c r="M1316" s="10"/>
      <c r="N1316" s="80"/>
      <c r="O1316" s="80"/>
      <c r="P1316" s="59" t="str">
        <f aca="false">IF(E1316="","",IFERROR(INDEX(기본설정!$H$4:$H$14,MATCH(E1316,기본설정!$G$4:$G$14,0)),""))</f>
        <v/>
      </c>
    </row>
    <row r="1317" customFormat="false" ht="15" hidden="false" customHeight="false" outlineLevel="0" collapsed="false">
      <c r="A1317" s="73"/>
      <c r="B1317" s="10"/>
      <c r="C1317" s="80"/>
      <c r="D1317" s="80"/>
      <c r="E1317" s="81" t="str">
        <f aca="false">IF(D1317="","",IFERROR(INDEX(식자재단가!$B$4:$B$203,MATCH(D1317,식자재단가!$C$4:$C$203,0)),""))</f>
        <v/>
      </c>
      <c r="F1317" s="76"/>
      <c r="G1317" s="59" t="str">
        <f aca="false">IF(D1317="","",IFERROR(INDEX(식자재단가!$F$4:$F$203,MATCH(D1317,식자재단가!$C$4:$C$203,0)),""))</f>
        <v/>
      </c>
      <c r="H1317" s="50"/>
      <c r="I1317" s="82" t="str">
        <f aca="false">IF(OR(F1317="",H1317=""),"",F1317*H1317)</f>
        <v/>
      </c>
      <c r="J1317" s="83" t="str">
        <f aca="false">IF(D1317="","",IFERROR(INDEX(식자재단가!$M$4:$M$203,MATCH(D1317,식자재단가!$C$4:$C$203,0)),"과세"))</f>
        <v/>
      </c>
      <c r="K1317" s="28" t="str">
        <f aca="false">IF(I1317="","",IF(J1317="과세",ROUND(I1317*0.1,0),0))</f>
        <v/>
      </c>
      <c r="L1317" s="28" t="str">
        <f aca="false">IF(I1317="","",I1317+K1317)</f>
        <v/>
      </c>
      <c r="M1317" s="10"/>
      <c r="N1317" s="80"/>
      <c r="O1317" s="80"/>
      <c r="P1317" s="59" t="str">
        <f aca="false">IF(E1317="","",IFERROR(INDEX(기본설정!$H$4:$H$14,MATCH(E1317,기본설정!$G$4:$G$14,0)),""))</f>
        <v/>
      </c>
    </row>
    <row r="1318" customFormat="false" ht="15" hidden="false" customHeight="false" outlineLevel="0" collapsed="false">
      <c r="A1318" s="73"/>
      <c r="B1318" s="10"/>
      <c r="C1318" s="80"/>
      <c r="D1318" s="80"/>
      <c r="E1318" s="81" t="str">
        <f aca="false">IF(D1318="","",IFERROR(INDEX(식자재단가!$B$4:$B$203,MATCH(D1318,식자재단가!$C$4:$C$203,0)),""))</f>
        <v/>
      </c>
      <c r="F1318" s="76"/>
      <c r="G1318" s="59" t="str">
        <f aca="false">IF(D1318="","",IFERROR(INDEX(식자재단가!$F$4:$F$203,MATCH(D1318,식자재단가!$C$4:$C$203,0)),""))</f>
        <v/>
      </c>
      <c r="H1318" s="50"/>
      <c r="I1318" s="82" t="str">
        <f aca="false">IF(OR(F1318="",H1318=""),"",F1318*H1318)</f>
        <v/>
      </c>
      <c r="J1318" s="83" t="str">
        <f aca="false">IF(D1318="","",IFERROR(INDEX(식자재단가!$M$4:$M$203,MATCH(D1318,식자재단가!$C$4:$C$203,0)),"과세"))</f>
        <v/>
      </c>
      <c r="K1318" s="28" t="str">
        <f aca="false">IF(I1318="","",IF(J1318="과세",ROUND(I1318*0.1,0),0))</f>
        <v/>
      </c>
      <c r="L1318" s="28" t="str">
        <f aca="false">IF(I1318="","",I1318+K1318)</f>
        <v/>
      </c>
      <c r="M1318" s="10"/>
      <c r="N1318" s="80"/>
      <c r="O1318" s="80"/>
      <c r="P1318" s="59" t="str">
        <f aca="false">IF(E1318="","",IFERROR(INDEX(기본설정!$H$4:$H$14,MATCH(E1318,기본설정!$G$4:$G$14,0)),""))</f>
        <v/>
      </c>
    </row>
    <row r="1319" customFormat="false" ht="15" hidden="false" customHeight="false" outlineLevel="0" collapsed="false">
      <c r="A1319" s="73"/>
      <c r="B1319" s="10"/>
      <c r="C1319" s="80"/>
      <c r="D1319" s="80"/>
      <c r="E1319" s="81" t="str">
        <f aca="false">IF(D1319="","",IFERROR(INDEX(식자재단가!$B$4:$B$203,MATCH(D1319,식자재단가!$C$4:$C$203,0)),""))</f>
        <v/>
      </c>
      <c r="F1319" s="76"/>
      <c r="G1319" s="59" t="str">
        <f aca="false">IF(D1319="","",IFERROR(INDEX(식자재단가!$F$4:$F$203,MATCH(D1319,식자재단가!$C$4:$C$203,0)),""))</f>
        <v/>
      </c>
      <c r="H1319" s="50"/>
      <c r="I1319" s="82" t="str">
        <f aca="false">IF(OR(F1319="",H1319=""),"",F1319*H1319)</f>
        <v/>
      </c>
      <c r="J1319" s="83" t="str">
        <f aca="false">IF(D1319="","",IFERROR(INDEX(식자재단가!$M$4:$M$203,MATCH(D1319,식자재단가!$C$4:$C$203,0)),"과세"))</f>
        <v/>
      </c>
      <c r="K1319" s="28" t="str">
        <f aca="false">IF(I1319="","",IF(J1319="과세",ROUND(I1319*0.1,0),0))</f>
        <v/>
      </c>
      <c r="L1319" s="28" t="str">
        <f aca="false">IF(I1319="","",I1319+K1319)</f>
        <v/>
      </c>
      <c r="M1319" s="10"/>
      <c r="N1319" s="80"/>
      <c r="O1319" s="80"/>
      <c r="P1319" s="59" t="str">
        <f aca="false">IF(E1319="","",IFERROR(INDEX(기본설정!$H$4:$H$14,MATCH(E1319,기본설정!$G$4:$G$14,0)),""))</f>
        <v/>
      </c>
    </row>
    <row r="1320" customFormat="false" ht="15" hidden="false" customHeight="false" outlineLevel="0" collapsed="false">
      <c r="A1320" s="73"/>
      <c r="B1320" s="10"/>
      <c r="C1320" s="80"/>
      <c r="D1320" s="80"/>
      <c r="E1320" s="81" t="str">
        <f aca="false">IF(D1320="","",IFERROR(INDEX(식자재단가!$B$4:$B$203,MATCH(D1320,식자재단가!$C$4:$C$203,0)),""))</f>
        <v/>
      </c>
      <c r="F1320" s="76"/>
      <c r="G1320" s="59" t="str">
        <f aca="false">IF(D1320="","",IFERROR(INDEX(식자재단가!$F$4:$F$203,MATCH(D1320,식자재단가!$C$4:$C$203,0)),""))</f>
        <v/>
      </c>
      <c r="H1320" s="50"/>
      <c r="I1320" s="82" t="str">
        <f aca="false">IF(OR(F1320="",H1320=""),"",F1320*H1320)</f>
        <v/>
      </c>
      <c r="J1320" s="83" t="str">
        <f aca="false">IF(D1320="","",IFERROR(INDEX(식자재단가!$M$4:$M$203,MATCH(D1320,식자재단가!$C$4:$C$203,0)),"과세"))</f>
        <v/>
      </c>
      <c r="K1320" s="28" t="str">
        <f aca="false">IF(I1320="","",IF(J1320="과세",ROUND(I1320*0.1,0),0))</f>
        <v/>
      </c>
      <c r="L1320" s="28" t="str">
        <f aca="false">IF(I1320="","",I1320+K1320)</f>
        <v/>
      </c>
      <c r="M1320" s="10"/>
      <c r="N1320" s="80"/>
      <c r="O1320" s="80"/>
      <c r="P1320" s="59" t="str">
        <f aca="false">IF(E1320="","",IFERROR(INDEX(기본설정!$H$4:$H$14,MATCH(E1320,기본설정!$G$4:$G$14,0)),""))</f>
        <v/>
      </c>
    </row>
    <row r="1321" customFormat="false" ht="15" hidden="false" customHeight="false" outlineLevel="0" collapsed="false">
      <c r="A1321" s="73"/>
      <c r="B1321" s="10"/>
      <c r="C1321" s="80"/>
      <c r="D1321" s="80"/>
      <c r="E1321" s="81" t="str">
        <f aca="false">IF(D1321="","",IFERROR(INDEX(식자재단가!$B$4:$B$203,MATCH(D1321,식자재단가!$C$4:$C$203,0)),""))</f>
        <v/>
      </c>
      <c r="F1321" s="76"/>
      <c r="G1321" s="59" t="str">
        <f aca="false">IF(D1321="","",IFERROR(INDEX(식자재단가!$F$4:$F$203,MATCH(D1321,식자재단가!$C$4:$C$203,0)),""))</f>
        <v/>
      </c>
      <c r="H1321" s="50"/>
      <c r="I1321" s="82" t="str">
        <f aca="false">IF(OR(F1321="",H1321=""),"",F1321*H1321)</f>
        <v/>
      </c>
      <c r="J1321" s="83" t="str">
        <f aca="false">IF(D1321="","",IFERROR(INDEX(식자재단가!$M$4:$M$203,MATCH(D1321,식자재단가!$C$4:$C$203,0)),"과세"))</f>
        <v/>
      </c>
      <c r="K1321" s="28" t="str">
        <f aca="false">IF(I1321="","",IF(J1321="과세",ROUND(I1321*0.1,0),0))</f>
        <v/>
      </c>
      <c r="L1321" s="28" t="str">
        <f aca="false">IF(I1321="","",I1321+K1321)</f>
        <v/>
      </c>
      <c r="M1321" s="10"/>
      <c r="N1321" s="80"/>
      <c r="O1321" s="80"/>
      <c r="P1321" s="59" t="str">
        <f aca="false">IF(E1321="","",IFERROR(INDEX(기본설정!$H$4:$H$14,MATCH(E1321,기본설정!$G$4:$G$14,0)),""))</f>
        <v/>
      </c>
    </row>
    <row r="1322" customFormat="false" ht="15" hidden="false" customHeight="false" outlineLevel="0" collapsed="false">
      <c r="A1322" s="73"/>
      <c r="B1322" s="10"/>
      <c r="C1322" s="80"/>
      <c r="D1322" s="80"/>
      <c r="E1322" s="81" t="str">
        <f aca="false">IF(D1322="","",IFERROR(INDEX(식자재단가!$B$4:$B$203,MATCH(D1322,식자재단가!$C$4:$C$203,0)),""))</f>
        <v/>
      </c>
      <c r="F1322" s="76"/>
      <c r="G1322" s="59" t="str">
        <f aca="false">IF(D1322="","",IFERROR(INDEX(식자재단가!$F$4:$F$203,MATCH(D1322,식자재단가!$C$4:$C$203,0)),""))</f>
        <v/>
      </c>
      <c r="H1322" s="50"/>
      <c r="I1322" s="82" t="str">
        <f aca="false">IF(OR(F1322="",H1322=""),"",F1322*H1322)</f>
        <v/>
      </c>
      <c r="J1322" s="83" t="str">
        <f aca="false">IF(D1322="","",IFERROR(INDEX(식자재단가!$M$4:$M$203,MATCH(D1322,식자재단가!$C$4:$C$203,0)),"과세"))</f>
        <v/>
      </c>
      <c r="K1322" s="28" t="str">
        <f aca="false">IF(I1322="","",IF(J1322="과세",ROUND(I1322*0.1,0),0))</f>
        <v/>
      </c>
      <c r="L1322" s="28" t="str">
        <f aca="false">IF(I1322="","",I1322+K1322)</f>
        <v/>
      </c>
      <c r="M1322" s="10"/>
      <c r="N1322" s="80"/>
      <c r="O1322" s="80"/>
      <c r="P1322" s="59" t="str">
        <f aca="false">IF(E1322="","",IFERROR(INDEX(기본설정!$H$4:$H$14,MATCH(E1322,기본설정!$G$4:$G$14,0)),""))</f>
        <v/>
      </c>
    </row>
    <row r="1323" customFormat="false" ht="15" hidden="false" customHeight="false" outlineLevel="0" collapsed="false">
      <c r="A1323" s="73"/>
      <c r="B1323" s="10"/>
      <c r="C1323" s="80"/>
      <c r="D1323" s="80"/>
      <c r="E1323" s="81" t="str">
        <f aca="false">IF(D1323="","",IFERROR(INDEX(식자재단가!$B$4:$B$203,MATCH(D1323,식자재단가!$C$4:$C$203,0)),""))</f>
        <v/>
      </c>
      <c r="F1323" s="76"/>
      <c r="G1323" s="59" t="str">
        <f aca="false">IF(D1323="","",IFERROR(INDEX(식자재단가!$F$4:$F$203,MATCH(D1323,식자재단가!$C$4:$C$203,0)),""))</f>
        <v/>
      </c>
      <c r="H1323" s="50"/>
      <c r="I1323" s="82" t="str">
        <f aca="false">IF(OR(F1323="",H1323=""),"",F1323*H1323)</f>
        <v/>
      </c>
      <c r="J1323" s="83" t="str">
        <f aca="false">IF(D1323="","",IFERROR(INDEX(식자재단가!$M$4:$M$203,MATCH(D1323,식자재단가!$C$4:$C$203,0)),"과세"))</f>
        <v/>
      </c>
      <c r="K1323" s="28" t="str">
        <f aca="false">IF(I1323="","",IF(J1323="과세",ROUND(I1323*0.1,0),0))</f>
        <v/>
      </c>
      <c r="L1323" s="28" t="str">
        <f aca="false">IF(I1323="","",I1323+K1323)</f>
        <v/>
      </c>
      <c r="M1323" s="10"/>
      <c r="N1323" s="80"/>
      <c r="O1323" s="80"/>
      <c r="P1323" s="59" t="str">
        <f aca="false">IF(E1323="","",IFERROR(INDEX(기본설정!$H$4:$H$14,MATCH(E1323,기본설정!$G$4:$G$14,0)),""))</f>
        <v/>
      </c>
    </row>
    <row r="1324" customFormat="false" ht="15" hidden="false" customHeight="false" outlineLevel="0" collapsed="false">
      <c r="A1324" s="73"/>
      <c r="B1324" s="10"/>
      <c r="C1324" s="80"/>
      <c r="D1324" s="80"/>
      <c r="E1324" s="81" t="str">
        <f aca="false">IF(D1324="","",IFERROR(INDEX(식자재단가!$B$4:$B$203,MATCH(D1324,식자재단가!$C$4:$C$203,0)),""))</f>
        <v/>
      </c>
      <c r="F1324" s="76"/>
      <c r="G1324" s="59" t="str">
        <f aca="false">IF(D1324="","",IFERROR(INDEX(식자재단가!$F$4:$F$203,MATCH(D1324,식자재단가!$C$4:$C$203,0)),""))</f>
        <v/>
      </c>
      <c r="H1324" s="50"/>
      <c r="I1324" s="82" t="str">
        <f aca="false">IF(OR(F1324="",H1324=""),"",F1324*H1324)</f>
        <v/>
      </c>
      <c r="J1324" s="83" t="str">
        <f aca="false">IF(D1324="","",IFERROR(INDEX(식자재단가!$M$4:$M$203,MATCH(D1324,식자재단가!$C$4:$C$203,0)),"과세"))</f>
        <v/>
      </c>
      <c r="K1324" s="28" t="str">
        <f aca="false">IF(I1324="","",IF(J1324="과세",ROUND(I1324*0.1,0),0))</f>
        <v/>
      </c>
      <c r="L1324" s="28" t="str">
        <f aca="false">IF(I1324="","",I1324+K1324)</f>
        <v/>
      </c>
      <c r="M1324" s="10"/>
      <c r="N1324" s="80"/>
      <c r="O1324" s="80"/>
      <c r="P1324" s="59" t="str">
        <f aca="false">IF(E1324="","",IFERROR(INDEX(기본설정!$H$4:$H$14,MATCH(E1324,기본설정!$G$4:$G$14,0)),""))</f>
        <v/>
      </c>
    </row>
    <row r="1325" customFormat="false" ht="15" hidden="false" customHeight="false" outlineLevel="0" collapsed="false">
      <c r="A1325" s="73"/>
      <c r="B1325" s="10"/>
      <c r="C1325" s="80"/>
      <c r="D1325" s="80"/>
      <c r="E1325" s="81" t="str">
        <f aca="false">IF(D1325="","",IFERROR(INDEX(식자재단가!$B$4:$B$203,MATCH(D1325,식자재단가!$C$4:$C$203,0)),""))</f>
        <v/>
      </c>
      <c r="F1325" s="76"/>
      <c r="G1325" s="59" t="str">
        <f aca="false">IF(D1325="","",IFERROR(INDEX(식자재단가!$F$4:$F$203,MATCH(D1325,식자재단가!$C$4:$C$203,0)),""))</f>
        <v/>
      </c>
      <c r="H1325" s="50"/>
      <c r="I1325" s="82" t="str">
        <f aca="false">IF(OR(F1325="",H1325=""),"",F1325*H1325)</f>
        <v/>
      </c>
      <c r="J1325" s="83" t="str">
        <f aca="false">IF(D1325="","",IFERROR(INDEX(식자재단가!$M$4:$M$203,MATCH(D1325,식자재단가!$C$4:$C$203,0)),"과세"))</f>
        <v/>
      </c>
      <c r="K1325" s="28" t="str">
        <f aca="false">IF(I1325="","",IF(J1325="과세",ROUND(I1325*0.1,0),0))</f>
        <v/>
      </c>
      <c r="L1325" s="28" t="str">
        <f aca="false">IF(I1325="","",I1325+K1325)</f>
        <v/>
      </c>
      <c r="M1325" s="10"/>
      <c r="N1325" s="80"/>
      <c r="O1325" s="80"/>
      <c r="P1325" s="59" t="str">
        <f aca="false">IF(E1325="","",IFERROR(INDEX(기본설정!$H$4:$H$14,MATCH(E1325,기본설정!$G$4:$G$14,0)),""))</f>
        <v/>
      </c>
    </row>
    <row r="1326" customFormat="false" ht="15" hidden="false" customHeight="false" outlineLevel="0" collapsed="false">
      <c r="A1326" s="73"/>
      <c r="B1326" s="10"/>
      <c r="C1326" s="80"/>
      <c r="D1326" s="80"/>
      <c r="E1326" s="81" t="str">
        <f aca="false">IF(D1326="","",IFERROR(INDEX(식자재단가!$B$4:$B$203,MATCH(D1326,식자재단가!$C$4:$C$203,0)),""))</f>
        <v/>
      </c>
      <c r="F1326" s="76"/>
      <c r="G1326" s="59" t="str">
        <f aca="false">IF(D1326="","",IFERROR(INDEX(식자재단가!$F$4:$F$203,MATCH(D1326,식자재단가!$C$4:$C$203,0)),""))</f>
        <v/>
      </c>
      <c r="H1326" s="50"/>
      <c r="I1326" s="82" t="str">
        <f aca="false">IF(OR(F1326="",H1326=""),"",F1326*H1326)</f>
        <v/>
      </c>
      <c r="J1326" s="83" t="str">
        <f aca="false">IF(D1326="","",IFERROR(INDEX(식자재단가!$M$4:$M$203,MATCH(D1326,식자재단가!$C$4:$C$203,0)),"과세"))</f>
        <v/>
      </c>
      <c r="K1326" s="28" t="str">
        <f aca="false">IF(I1326="","",IF(J1326="과세",ROUND(I1326*0.1,0),0))</f>
        <v/>
      </c>
      <c r="L1326" s="28" t="str">
        <f aca="false">IF(I1326="","",I1326+K1326)</f>
        <v/>
      </c>
      <c r="M1326" s="10"/>
      <c r="N1326" s="80"/>
      <c r="O1326" s="80"/>
      <c r="P1326" s="59" t="str">
        <f aca="false">IF(E1326="","",IFERROR(INDEX(기본설정!$H$4:$H$14,MATCH(E1326,기본설정!$G$4:$G$14,0)),""))</f>
        <v/>
      </c>
    </row>
    <row r="1327" customFormat="false" ht="15" hidden="false" customHeight="false" outlineLevel="0" collapsed="false">
      <c r="A1327" s="73"/>
      <c r="B1327" s="10"/>
      <c r="C1327" s="80"/>
      <c r="D1327" s="80"/>
      <c r="E1327" s="81" t="str">
        <f aca="false">IF(D1327="","",IFERROR(INDEX(식자재단가!$B$4:$B$203,MATCH(D1327,식자재단가!$C$4:$C$203,0)),""))</f>
        <v/>
      </c>
      <c r="F1327" s="76"/>
      <c r="G1327" s="59" t="str">
        <f aca="false">IF(D1327="","",IFERROR(INDEX(식자재단가!$F$4:$F$203,MATCH(D1327,식자재단가!$C$4:$C$203,0)),""))</f>
        <v/>
      </c>
      <c r="H1327" s="50"/>
      <c r="I1327" s="82" t="str">
        <f aca="false">IF(OR(F1327="",H1327=""),"",F1327*H1327)</f>
        <v/>
      </c>
      <c r="J1327" s="83" t="str">
        <f aca="false">IF(D1327="","",IFERROR(INDEX(식자재단가!$M$4:$M$203,MATCH(D1327,식자재단가!$C$4:$C$203,0)),"과세"))</f>
        <v/>
      </c>
      <c r="K1327" s="28" t="str">
        <f aca="false">IF(I1327="","",IF(J1327="과세",ROUND(I1327*0.1,0),0))</f>
        <v/>
      </c>
      <c r="L1327" s="28" t="str">
        <f aca="false">IF(I1327="","",I1327+K1327)</f>
        <v/>
      </c>
      <c r="M1327" s="10"/>
      <c r="N1327" s="80"/>
      <c r="O1327" s="80"/>
      <c r="P1327" s="59" t="str">
        <f aca="false">IF(E1327="","",IFERROR(INDEX(기본설정!$H$4:$H$14,MATCH(E1327,기본설정!$G$4:$G$14,0)),""))</f>
        <v/>
      </c>
    </row>
    <row r="1328" customFormat="false" ht="15" hidden="false" customHeight="false" outlineLevel="0" collapsed="false">
      <c r="A1328" s="73"/>
      <c r="B1328" s="10"/>
      <c r="C1328" s="80"/>
      <c r="D1328" s="80"/>
      <c r="E1328" s="81" t="str">
        <f aca="false">IF(D1328="","",IFERROR(INDEX(식자재단가!$B$4:$B$203,MATCH(D1328,식자재단가!$C$4:$C$203,0)),""))</f>
        <v/>
      </c>
      <c r="F1328" s="76"/>
      <c r="G1328" s="59" t="str">
        <f aca="false">IF(D1328="","",IFERROR(INDEX(식자재단가!$F$4:$F$203,MATCH(D1328,식자재단가!$C$4:$C$203,0)),""))</f>
        <v/>
      </c>
      <c r="H1328" s="50"/>
      <c r="I1328" s="82" t="str">
        <f aca="false">IF(OR(F1328="",H1328=""),"",F1328*H1328)</f>
        <v/>
      </c>
      <c r="J1328" s="83" t="str">
        <f aca="false">IF(D1328="","",IFERROR(INDEX(식자재단가!$M$4:$M$203,MATCH(D1328,식자재단가!$C$4:$C$203,0)),"과세"))</f>
        <v/>
      </c>
      <c r="K1328" s="28" t="str">
        <f aca="false">IF(I1328="","",IF(J1328="과세",ROUND(I1328*0.1,0),0))</f>
        <v/>
      </c>
      <c r="L1328" s="28" t="str">
        <f aca="false">IF(I1328="","",I1328+K1328)</f>
        <v/>
      </c>
      <c r="M1328" s="10"/>
      <c r="N1328" s="80"/>
      <c r="O1328" s="80"/>
      <c r="P1328" s="59" t="str">
        <f aca="false">IF(E1328="","",IFERROR(INDEX(기본설정!$H$4:$H$14,MATCH(E1328,기본설정!$G$4:$G$14,0)),""))</f>
        <v/>
      </c>
    </row>
    <row r="1329" customFormat="false" ht="15" hidden="false" customHeight="false" outlineLevel="0" collapsed="false">
      <c r="A1329" s="73"/>
      <c r="B1329" s="10"/>
      <c r="C1329" s="80"/>
      <c r="D1329" s="80"/>
      <c r="E1329" s="81" t="str">
        <f aca="false">IF(D1329="","",IFERROR(INDEX(식자재단가!$B$4:$B$203,MATCH(D1329,식자재단가!$C$4:$C$203,0)),""))</f>
        <v/>
      </c>
      <c r="F1329" s="76"/>
      <c r="G1329" s="59" t="str">
        <f aca="false">IF(D1329="","",IFERROR(INDEX(식자재단가!$F$4:$F$203,MATCH(D1329,식자재단가!$C$4:$C$203,0)),""))</f>
        <v/>
      </c>
      <c r="H1329" s="50"/>
      <c r="I1329" s="82" t="str">
        <f aca="false">IF(OR(F1329="",H1329=""),"",F1329*H1329)</f>
        <v/>
      </c>
      <c r="J1329" s="83" t="str">
        <f aca="false">IF(D1329="","",IFERROR(INDEX(식자재단가!$M$4:$M$203,MATCH(D1329,식자재단가!$C$4:$C$203,0)),"과세"))</f>
        <v/>
      </c>
      <c r="K1329" s="28" t="str">
        <f aca="false">IF(I1329="","",IF(J1329="과세",ROUND(I1329*0.1,0),0))</f>
        <v/>
      </c>
      <c r="L1329" s="28" t="str">
        <f aca="false">IF(I1329="","",I1329+K1329)</f>
        <v/>
      </c>
      <c r="M1329" s="10"/>
      <c r="N1329" s="80"/>
      <c r="O1329" s="80"/>
      <c r="P1329" s="59" t="str">
        <f aca="false">IF(E1329="","",IFERROR(INDEX(기본설정!$H$4:$H$14,MATCH(E1329,기본설정!$G$4:$G$14,0)),""))</f>
        <v/>
      </c>
    </row>
    <row r="1330" customFormat="false" ht="15" hidden="false" customHeight="false" outlineLevel="0" collapsed="false">
      <c r="A1330" s="73"/>
      <c r="B1330" s="10"/>
      <c r="C1330" s="80"/>
      <c r="D1330" s="80"/>
      <c r="E1330" s="81" t="str">
        <f aca="false">IF(D1330="","",IFERROR(INDEX(식자재단가!$B$4:$B$203,MATCH(D1330,식자재단가!$C$4:$C$203,0)),""))</f>
        <v/>
      </c>
      <c r="F1330" s="76"/>
      <c r="G1330" s="59" t="str">
        <f aca="false">IF(D1330="","",IFERROR(INDEX(식자재단가!$F$4:$F$203,MATCH(D1330,식자재단가!$C$4:$C$203,0)),""))</f>
        <v/>
      </c>
      <c r="H1330" s="50"/>
      <c r="I1330" s="82" t="str">
        <f aca="false">IF(OR(F1330="",H1330=""),"",F1330*H1330)</f>
        <v/>
      </c>
      <c r="J1330" s="83" t="str">
        <f aca="false">IF(D1330="","",IFERROR(INDEX(식자재단가!$M$4:$M$203,MATCH(D1330,식자재단가!$C$4:$C$203,0)),"과세"))</f>
        <v/>
      </c>
      <c r="K1330" s="28" t="str">
        <f aca="false">IF(I1330="","",IF(J1330="과세",ROUND(I1330*0.1,0),0))</f>
        <v/>
      </c>
      <c r="L1330" s="28" t="str">
        <f aca="false">IF(I1330="","",I1330+K1330)</f>
        <v/>
      </c>
      <c r="M1330" s="10"/>
      <c r="N1330" s="80"/>
      <c r="O1330" s="80"/>
      <c r="P1330" s="59" t="str">
        <f aca="false">IF(E1330="","",IFERROR(INDEX(기본설정!$H$4:$H$14,MATCH(E1330,기본설정!$G$4:$G$14,0)),""))</f>
        <v/>
      </c>
    </row>
    <row r="1331" customFormat="false" ht="15" hidden="false" customHeight="false" outlineLevel="0" collapsed="false">
      <c r="A1331" s="73"/>
      <c r="B1331" s="10"/>
      <c r="C1331" s="80"/>
      <c r="D1331" s="80"/>
      <c r="E1331" s="81" t="str">
        <f aca="false">IF(D1331="","",IFERROR(INDEX(식자재단가!$B$4:$B$203,MATCH(D1331,식자재단가!$C$4:$C$203,0)),""))</f>
        <v/>
      </c>
      <c r="F1331" s="76"/>
      <c r="G1331" s="59" t="str">
        <f aca="false">IF(D1331="","",IFERROR(INDEX(식자재단가!$F$4:$F$203,MATCH(D1331,식자재단가!$C$4:$C$203,0)),""))</f>
        <v/>
      </c>
      <c r="H1331" s="50"/>
      <c r="I1331" s="82" t="str">
        <f aca="false">IF(OR(F1331="",H1331=""),"",F1331*H1331)</f>
        <v/>
      </c>
      <c r="J1331" s="83" t="str">
        <f aca="false">IF(D1331="","",IFERROR(INDEX(식자재단가!$M$4:$M$203,MATCH(D1331,식자재단가!$C$4:$C$203,0)),"과세"))</f>
        <v/>
      </c>
      <c r="K1331" s="28" t="str">
        <f aca="false">IF(I1331="","",IF(J1331="과세",ROUND(I1331*0.1,0),0))</f>
        <v/>
      </c>
      <c r="L1331" s="28" t="str">
        <f aca="false">IF(I1331="","",I1331+K1331)</f>
        <v/>
      </c>
      <c r="M1331" s="10"/>
      <c r="N1331" s="80"/>
      <c r="O1331" s="80"/>
      <c r="P1331" s="59" t="str">
        <f aca="false">IF(E1331="","",IFERROR(INDEX(기본설정!$H$4:$H$14,MATCH(E1331,기본설정!$G$4:$G$14,0)),""))</f>
        <v/>
      </c>
    </row>
    <row r="1332" customFormat="false" ht="15" hidden="false" customHeight="false" outlineLevel="0" collapsed="false">
      <c r="A1332" s="73"/>
      <c r="B1332" s="10"/>
      <c r="C1332" s="80"/>
      <c r="D1332" s="80"/>
      <c r="E1332" s="81" t="str">
        <f aca="false">IF(D1332="","",IFERROR(INDEX(식자재단가!$B$4:$B$203,MATCH(D1332,식자재단가!$C$4:$C$203,0)),""))</f>
        <v/>
      </c>
      <c r="F1332" s="76"/>
      <c r="G1332" s="59" t="str">
        <f aca="false">IF(D1332="","",IFERROR(INDEX(식자재단가!$F$4:$F$203,MATCH(D1332,식자재단가!$C$4:$C$203,0)),""))</f>
        <v/>
      </c>
      <c r="H1332" s="50"/>
      <c r="I1332" s="82" t="str">
        <f aca="false">IF(OR(F1332="",H1332=""),"",F1332*H1332)</f>
        <v/>
      </c>
      <c r="J1332" s="83" t="str">
        <f aca="false">IF(D1332="","",IFERROR(INDEX(식자재단가!$M$4:$M$203,MATCH(D1332,식자재단가!$C$4:$C$203,0)),"과세"))</f>
        <v/>
      </c>
      <c r="K1332" s="28" t="str">
        <f aca="false">IF(I1332="","",IF(J1332="과세",ROUND(I1332*0.1,0),0))</f>
        <v/>
      </c>
      <c r="L1332" s="28" t="str">
        <f aca="false">IF(I1332="","",I1332+K1332)</f>
        <v/>
      </c>
      <c r="M1332" s="10"/>
      <c r="N1332" s="80"/>
      <c r="O1332" s="80"/>
      <c r="P1332" s="59" t="str">
        <f aca="false">IF(E1332="","",IFERROR(INDEX(기본설정!$H$4:$H$14,MATCH(E1332,기본설정!$G$4:$G$14,0)),""))</f>
        <v/>
      </c>
    </row>
    <row r="1333" customFormat="false" ht="15" hidden="false" customHeight="false" outlineLevel="0" collapsed="false">
      <c r="A1333" s="73"/>
      <c r="B1333" s="10"/>
      <c r="C1333" s="80"/>
      <c r="D1333" s="80"/>
      <c r="E1333" s="81" t="str">
        <f aca="false">IF(D1333="","",IFERROR(INDEX(식자재단가!$B$4:$B$203,MATCH(D1333,식자재단가!$C$4:$C$203,0)),""))</f>
        <v/>
      </c>
      <c r="F1333" s="76"/>
      <c r="G1333" s="59" t="str">
        <f aca="false">IF(D1333="","",IFERROR(INDEX(식자재단가!$F$4:$F$203,MATCH(D1333,식자재단가!$C$4:$C$203,0)),""))</f>
        <v/>
      </c>
      <c r="H1333" s="50"/>
      <c r="I1333" s="82" t="str">
        <f aca="false">IF(OR(F1333="",H1333=""),"",F1333*H1333)</f>
        <v/>
      </c>
      <c r="J1333" s="83" t="str">
        <f aca="false">IF(D1333="","",IFERROR(INDEX(식자재단가!$M$4:$M$203,MATCH(D1333,식자재단가!$C$4:$C$203,0)),"과세"))</f>
        <v/>
      </c>
      <c r="K1333" s="28" t="str">
        <f aca="false">IF(I1333="","",IF(J1333="과세",ROUND(I1333*0.1,0),0))</f>
        <v/>
      </c>
      <c r="L1333" s="28" t="str">
        <f aca="false">IF(I1333="","",I1333+K1333)</f>
        <v/>
      </c>
      <c r="M1333" s="10"/>
      <c r="N1333" s="80"/>
      <c r="O1333" s="80"/>
      <c r="P1333" s="59" t="str">
        <f aca="false">IF(E1333="","",IFERROR(INDEX(기본설정!$H$4:$H$14,MATCH(E1333,기본설정!$G$4:$G$14,0)),""))</f>
        <v/>
      </c>
    </row>
    <row r="1334" customFormat="false" ht="15" hidden="false" customHeight="false" outlineLevel="0" collapsed="false">
      <c r="A1334" s="73"/>
      <c r="B1334" s="10"/>
      <c r="C1334" s="80"/>
      <c r="D1334" s="80"/>
      <c r="E1334" s="81" t="str">
        <f aca="false">IF(D1334="","",IFERROR(INDEX(식자재단가!$B$4:$B$203,MATCH(D1334,식자재단가!$C$4:$C$203,0)),""))</f>
        <v/>
      </c>
      <c r="F1334" s="76"/>
      <c r="G1334" s="59" t="str">
        <f aca="false">IF(D1334="","",IFERROR(INDEX(식자재단가!$F$4:$F$203,MATCH(D1334,식자재단가!$C$4:$C$203,0)),""))</f>
        <v/>
      </c>
      <c r="H1334" s="50"/>
      <c r="I1334" s="82" t="str">
        <f aca="false">IF(OR(F1334="",H1334=""),"",F1334*H1334)</f>
        <v/>
      </c>
      <c r="J1334" s="83" t="str">
        <f aca="false">IF(D1334="","",IFERROR(INDEX(식자재단가!$M$4:$M$203,MATCH(D1334,식자재단가!$C$4:$C$203,0)),"과세"))</f>
        <v/>
      </c>
      <c r="K1334" s="28" t="str">
        <f aca="false">IF(I1334="","",IF(J1334="과세",ROUND(I1334*0.1,0),0))</f>
        <v/>
      </c>
      <c r="L1334" s="28" t="str">
        <f aca="false">IF(I1334="","",I1334+K1334)</f>
        <v/>
      </c>
      <c r="M1334" s="10"/>
      <c r="N1334" s="80"/>
      <c r="O1334" s="80"/>
      <c r="P1334" s="59" t="str">
        <f aca="false">IF(E1334="","",IFERROR(INDEX(기본설정!$H$4:$H$14,MATCH(E1334,기본설정!$G$4:$G$14,0)),""))</f>
        <v/>
      </c>
    </row>
    <row r="1335" customFormat="false" ht="15" hidden="false" customHeight="false" outlineLevel="0" collapsed="false">
      <c r="A1335" s="73"/>
      <c r="B1335" s="10"/>
      <c r="C1335" s="80"/>
      <c r="D1335" s="80"/>
      <c r="E1335" s="81" t="str">
        <f aca="false">IF(D1335="","",IFERROR(INDEX(식자재단가!$B$4:$B$203,MATCH(D1335,식자재단가!$C$4:$C$203,0)),""))</f>
        <v/>
      </c>
      <c r="F1335" s="76"/>
      <c r="G1335" s="59" t="str">
        <f aca="false">IF(D1335="","",IFERROR(INDEX(식자재단가!$F$4:$F$203,MATCH(D1335,식자재단가!$C$4:$C$203,0)),""))</f>
        <v/>
      </c>
      <c r="H1335" s="50"/>
      <c r="I1335" s="82" t="str">
        <f aca="false">IF(OR(F1335="",H1335=""),"",F1335*H1335)</f>
        <v/>
      </c>
      <c r="J1335" s="83" t="str">
        <f aca="false">IF(D1335="","",IFERROR(INDEX(식자재단가!$M$4:$M$203,MATCH(D1335,식자재단가!$C$4:$C$203,0)),"과세"))</f>
        <v/>
      </c>
      <c r="K1335" s="28" t="str">
        <f aca="false">IF(I1335="","",IF(J1335="과세",ROUND(I1335*0.1,0),0))</f>
        <v/>
      </c>
      <c r="L1335" s="28" t="str">
        <f aca="false">IF(I1335="","",I1335+K1335)</f>
        <v/>
      </c>
      <c r="M1335" s="10"/>
      <c r="N1335" s="80"/>
      <c r="O1335" s="80"/>
      <c r="P1335" s="59" t="str">
        <f aca="false">IF(E1335="","",IFERROR(INDEX(기본설정!$H$4:$H$14,MATCH(E1335,기본설정!$G$4:$G$14,0)),""))</f>
        <v/>
      </c>
    </row>
    <row r="1336" customFormat="false" ht="15" hidden="false" customHeight="false" outlineLevel="0" collapsed="false">
      <c r="A1336" s="73"/>
      <c r="B1336" s="10"/>
      <c r="C1336" s="80"/>
      <c r="D1336" s="80"/>
      <c r="E1336" s="81" t="str">
        <f aca="false">IF(D1336="","",IFERROR(INDEX(식자재단가!$B$4:$B$203,MATCH(D1336,식자재단가!$C$4:$C$203,0)),""))</f>
        <v/>
      </c>
      <c r="F1336" s="76"/>
      <c r="G1336" s="59" t="str">
        <f aca="false">IF(D1336="","",IFERROR(INDEX(식자재단가!$F$4:$F$203,MATCH(D1336,식자재단가!$C$4:$C$203,0)),""))</f>
        <v/>
      </c>
      <c r="H1336" s="50"/>
      <c r="I1336" s="82" t="str">
        <f aca="false">IF(OR(F1336="",H1336=""),"",F1336*H1336)</f>
        <v/>
      </c>
      <c r="J1336" s="83" t="str">
        <f aca="false">IF(D1336="","",IFERROR(INDEX(식자재단가!$M$4:$M$203,MATCH(D1336,식자재단가!$C$4:$C$203,0)),"과세"))</f>
        <v/>
      </c>
      <c r="K1336" s="28" t="str">
        <f aca="false">IF(I1336="","",IF(J1336="과세",ROUND(I1336*0.1,0),0))</f>
        <v/>
      </c>
      <c r="L1336" s="28" t="str">
        <f aca="false">IF(I1336="","",I1336+K1336)</f>
        <v/>
      </c>
      <c r="M1336" s="10"/>
      <c r="N1336" s="80"/>
      <c r="O1336" s="80"/>
      <c r="P1336" s="59" t="str">
        <f aca="false">IF(E1336="","",IFERROR(INDEX(기본설정!$H$4:$H$14,MATCH(E1336,기본설정!$G$4:$G$14,0)),""))</f>
        <v/>
      </c>
    </row>
    <row r="1337" customFormat="false" ht="15" hidden="false" customHeight="false" outlineLevel="0" collapsed="false">
      <c r="A1337" s="73"/>
      <c r="B1337" s="10"/>
      <c r="C1337" s="80"/>
      <c r="D1337" s="80"/>
      <c r="E1337" s="81" t="str">
        <f aca="false">IF(D1337="","",IFERROR(INDEX(식자재단가!$B$4:$B$203,MATCH(D1337,식자재단가!$C$4:$C$203,0)),""))</f>
        <v/>
      </c>
      <c r="F1337" s="76"/>
      <c r="G1337" s="59" t="str">
        <f aca="false">IF(D1337="","",IFERROR(INDEX(식자재단가!$F$4:$F$203,MATCH(D1337,식자재단가!$C$4:$C$203,0)),""))</f>
        <v/>
      </c>
      <c r="H1337" s="50"/>
      <c r="I1337" s="82" t="str">
        <f aca="false">IF(OR(F1337="",H1337=""),"",F1337*H1337)</f>
        <v/>
      </c>
      <c r="J1337" s="83" t="str">
        <f aca="false">IF(D1337="","",IFERROR(INDEX(식자재단가!$M$4:$M$203,MATCH(D1337,식자재단가!$C$4:$C$203,0)),"과세"))</f>
        <v/>
      </c>
      <c r="K1337" s="28" t="str">
        <f aca="false">IF(I1337="","",IF(J1337="과세",ROUND(I1337*0.1,0),0))</f>
        <v/>
      </c>
      <c r="L1337" s="28" t="str">
        <f aca="false">IF(I1337="","",I1337+K1337)</f>
        <v/>
      </c>
      <c r="M1337" s="10"/>
      <c r="N1337" s="80"/>
      <c r="O1337" s="80"/>
      <c r="P1337" s="59" t="str">
        <f aca="false">IF(E1337="","",IFERROR(INDEX(기본설정!$H$4:$H$14,MATCH(E1337,기본설정!$G$4:$G$14,0)),""))</f>
        <v/>
      </c>
    </row>
    <row r="1338" customFormat="false" ht="15" hidden="false" customHeight="false" outlineLevel="0" collapsed="false">
      <c r="A1338" s="73"/>
      <c r="B1338" s="10"/>
      <c r="C1338" s="80"/>
      <c r="D1338" s="80"/>
      <c r="E1338" s="81" t="str">
        <f aca="false">IF(D1338="","",IFERROR(INDEX(식자재단가!$B$4:$B$203,MATCH(D1338,식자재단가!$C$4:$C$203,0)),""))</f>
        <v/>
      </c>
      <c r="F1338" s="76"/>
      <c r="G1338" s="59" t="str">
        <f aca="false">IF(D1338="","",IFERROR(INDEX(식자재단가!$F$4:$F$203,MATCH(D1338,식자재단가!$C$4:$C$203,0)),""))</f>
        <v/>
      </c>
      <c r="H1338" s="50"/>
      <c r="I1338" s="82" t="str">
        <f aca="false">IF(OR(F1338="",H1338=""),"",F1338*H1338)</f>
        <v/>
      </c>
      <c r="J1338" s="83" t="str">
        <f aca="false">IF(D1338="","",IFERROR(INDEX(식자재단가!$M$4:$M$203,MATCH(D1338,식자재단가!$C$4:$C$203,0)),"과세"))</f>
        <v/>
      </c>
      <c r="K1338" s="28" t="str">
        <f aca="false">IF(I1338="","",IF(J1338="과세",ROUND(I1338*0.1,0),0))</f>
        <v/>
      </c>
      <c r="L1338" s="28" t="str">
        <f aca="false">IF(I1338="","",I1338+K1338)</f>
        <v/>
      </c>
      <c r="M1338" s="10"/>
      <c r="N1338" s="80"/>
      <c r="O1338" s="80"/>
      <c r="P1338" s="59" t="str">
        <f aca="false">IF(E1338="","",IFERROR(INDEX(기본설정!$H$4:$H$14,MATCH(E1338,기본설정!$G$4:$G$14,0)),""))</f>
        <v/>
      </c>
    </row>
    <row r="1339" customFormat="false" ht="15" hidden="false" customHeight="false" outlineLevel="0" collapsed="false">
      <c r="A1339" s="73"/>
      <c r="B1339" s="10"/>
      <c r="C1339" s="80"/>
      <c r="D1339" s="80"/>
      <c r="E1339" s="81" t="str">
        <f aca="false">IF(D1339="","",IFERROR(INDEX(식자재단가!$B$4:$B$203,MATCH(D1339,식자재단가!$C$4:$C$203,0)),""))</f>
        <v/>
      </c>
      <c r="F1339" s="76"/>
      <c r="G1339" s="59" t="str">
        <f aca="false">IF(D1339="","",IFERROR(INDEX(식자재단가!$F$4:$F$203,MATCH(D1339,식자재단가!$C$4:$C$203,0)),""))</f>
        <v/>
      </c>
      <c r="H1339" s="50"/>
      <c r="I1339" s="82" t="str">
        <f aca="false">IF(OR(F1339="",H1339=""),"",F1339*H1339)</f>
        <v/>
      </c>
      <c r="J1339" s="83" t="str">
        <f aca="false">IF(D1339="","",IFERROR(INDEX(식자재단가!$M$4:$M$203,MATCH(D1339,식자재단가!$C$4:$C$203,0)),"과세"))</f>
        <v/>
      </c>
      <c r="K1339" s="28" t="str">
        <f aca="false">IF(I1339="","",IF(J1339="과세",ROUND(I1339*0.1,0),0))</f>
        <v/>
      </c>
      <c r="L1339" s="28" t="str">
        <f aca="false">IF(I1339="","",I1339+K1339)</f>
        <v/>
      </c>
      <c r="M1339" s="10"/>
      <c r="N1339" s="80"/>
      <c r="O1339" s="80"/>
      <c r="P1339" s="59" t="str">
        <f aca="false">IF(E1339="","",IFERROR(INDEX(기본설정!$H$4:$H$14,MATCH(E1339,기본설정!$G$4:$G$14,0)),""))</f>
        <v/>
      </c>
    </row>
    <row r="1340" customFormat="false" ht="15" hidden="false" customHeight="false" outlineLevel="0" collapsed="false">
      <c r="A1340" s="73"/>
      <c r="B1340" s="10"/>
      <c r="C1340" s="80"/>
      <c r="D1340" s="80"/>
      <c r="E1340" s="81" t="str">
        <f aca="false">IF(D1340="","",IFERROR(INDEX(식자재단가!$B$4:$B$203,MATCH(D1340,식자재단가!$C$4:$C$203,0)),""))</f>
        <v/>
      </c>
      <c r="F1340" s="76"/>
      <c r="G1340" s="59" t="str">
        <f aca="false">IF(D1340="","",IFERROR(INDEX(식자재단가!$F$4:$F$203,MATCH(D1340,식자재단가!$C$4:$C$203,0)),""))</f>
        <v/>
      </c>
      <c r="H1340" s="50"/>
      <c r="I1340" s="82" t="str">
        <f aca="false">IF(OR(F1340="",H1340=""),"",F1340*H1340)</f>
        <v/>
      </c>
      <c r="J1340" s="83" t="str">
        <f aca="false">IF(D1340="","",IFERROR(INDEX(식자재단가!$M$4:$M$203,MATCH(D1340,식자재단가!$C$4:$C$203,0)),"과세"))</f>
        <v/>
      </c>
      <c r="K1340" s="28" t="str">
        <f aca="false">IF(I1340="","",IF(J1340="과세",ROUND(I1340*0.1,0),0))</f>
        <v/>
      </c>
      <c r="L1340" s="28" t="str">
        <f aca="false">IF(I1340="","",I1340+K1340)</f>
        <v/>
      </c>
      <c r="M1340" s="10"/>
      <c r="N1340" s="80"/>
      <c r="O1340" s="80"/>
      <c r="P1340" s="59" t="str">
        <f aca="false">IF(E1340="","",IFERROR(INDEX(기본설정!$H$4:$H$14,MATCH(E1340,기본설정!$G$4:$G$14,0)),""))</f>
        <v/>
      </c>
    </row>
    <row r="1341" customFormat="false" ht="15" hidden="false" customHeight="false" outlineLevel="0" collapsed="false">
      <c r="A1341" s="73"/>
      <c r="B1341" s="10"/>
      <c r="C1341" s="80"/>
      <c r="D1341" s="80"/>
      <c r="E1341" s="81" t="str">
        <f aca="false">IF(D1341="","",IFERROR(INDEX(식자재단가!$B$4:$B$203,MATCH(D1341,식자재단가!$C$4:$C$203,0)),""))</f>
        <v/>
      </c>
      <c r="F1341" s="76"/>
      <c r="G1341" s="59" t="str">
        <f aca="false">IF(D1341="","",IFERROR(INDEX(식자재단가!$F$4:$F$203,MATCH(D1341,식자재단가!$C$4:$C$203,0)),""))</f>
        <v/>
      </c>
      <c r="H1341" s="50"/>
      <c r="I1341" s="82" t="str">
        <f aca="false">IF(OR(F1341="",H1341=""),"",F1341*H1341)</f>
        <v/>
      </c>
      <c r="J1341" s="83" t="str">
        <f aca="false">IF(D1341="","",IFERROR(INDEX(식자재단가!$M$4:$M$203,MATCH(D1341,식자재단가!$C$4:$C$203,0)),"과세"))</f>
        <v/>
      </c>
      <c r="K1341" s="28" t="str">
        <f aca="false">IF(I1341="","",IF(J1341="과세",ROUND(I1341*0.1,0),0))</f>
        <v/>
      </c>
      <c r="L1341" s="28" t="str">
        <f aca="false">IF(I1341="","",I1341+K1341)</f>
        <v/>
      </c>
      <c r="M1341" s="10"/>
      <c r="N1341" s="80"/>
      <c r="O1341" s="80"/>
      <c r="P1341" s="59" t="str">
        <f aca="false">IF(E1341="","",IFERROR(INDEX(기본설정!$H$4:$H$14,MATCH(E1341,기본설정!$G$4:$G$14,0)),""))</f>
        <v/>
      </c>
    </row>
    <row r="1342" customFormat="false" ht="15" hidden="false" customHeight="false" outlineLevel="0" collapsed="false">
      <c r="A1342" s="73"/>
      <c r="B1342" s="10"/>
      <c r="C1342" s="80"/>
      <c r="D1342" s="80"/>
      <c r="E1342" s="81" t="str">
        <f aca="false">IF(D1342="","",IFERROR(INDEX(식자재단가!$B$4:$B$203,MATCH(D1342,식자재단가!$C$4:$C$203,0)),""))</f>
        <v/>
      </c>
      <c r="F1342" s="76"/>
      <c r="G1342" s="59" t="str">
        <f aca="false">IF(D1342="","",IFERROR(INDEX(식자재단가!$F$4:$F$203,MATCH(D1342,식자재단가!$C$4:$C$203,0)),""))</f>
        <v/>
      </c>
      <c r="H1342" s="50"/>
      <c r="I1342" s="82" t="str">
        <f aca="false">IF(OR(F1342="",H1342=""),"",F1342*H1342)</f>
        <v/>
      </c>
      <c r="J1342" s="83" t="str">
        <f aca="false">IF(D1342="","",IFERROR(INDEX(식자재단가!$M$4:$M$203,MATCH(D1342,식자재단가!$C$4:$C$203,0)),"과세"))</f>
        <v/>
      </c>
      <c r="K1342" s="28" t="str">
        <f aca="false">IF(I1342="","",IF(J1342="과세",ROUND(I1342*0.1,0),0))</f>
        <v/>
      </c>
      <c r="L1342" s="28" t="str">
        <f aca="false">IF(I1342="","",I1342+K1342)</f>
        <v/>
      </c>
      <c r="M1342" s="10"/>
      <c r="N1342" s="80"/>
      <c r="O1342" s="80"/>
      <c r="P1342" s="59" t="str">
        <f aca="false">IF(E1342="","",IFERROR(INDEX(기본설정!$H$4:$H$14,MATCH(E1342,기본설정!$G$4:$G$14,0)),""))</f>
        <v/>
      </c>
    </row>
    <row r="1343" customFormat="false" ht="15" hidden="false" customHeight="false" outlineLevel="0" collapsed="false">
      <c r="A1343" s="73"/>
      <c r="B1343" s="10"/>
      <c r="C1343" s="80"/>
      <c r="D1343" s="80"/>
      <c r="E1343" s="81" t="str">
        <f aca="false">IF(D1343="","",IFERROR(INDEX(식자재단가!$B$4:$B$203,MATCH(D1343,식자재단가!$C$4:$C$203,0)),""))</f>
        <v/>
      </c>
      <c r="F1343" s="76"/>
      <c r="G1343" s="59" t="str">
        <f aca="false">IF(D1343="","",IFERROR(INDEX(식자재단가!$F$4:$F$203,MATCH(D1343,식자재단가!$C$4:$C$203,0)),""))</f>
        <v/>
      </c>
      <c r="H1343" s="50"/>
      <c r="I1343" s="82" t="str">
        <f aca="false">IF(OR(F1343="",H1343=""),"",F1343*H1343)</f>
        <v/>
      </c>
      <c r="J1343" s="83" t="str">
        <f aca="false">IF(D1343="","",IFERROR(INDEX(식자재단가!$M$4:$M$203,MATCH(D1343,식자재단가!$C$4:$C$203,0)),"과세"))</f>
        <v/>
      </c>
      <c r="K1343" s="28" t="str">
        <f aca="false">IF(I1343="","",IF(J1343="과세",ROUND(I1343*0.1,0),0))</f>
        <v/>
      </c>
      <c r="L1343" s="28" t="str">
        <f aca="false">IF(I1343="","",I1343+K1343)</f>
        <v/>
      </c>
      <c r="M1343" s="10"/>
      <c r="N1343" s="80"/>
      <c r="O1343" s="80"/>
      <c r="P1343" s="59" t="str">
        <f aca="false">IF(E1343="","",IFERROR(INDEX(기본설정!$H$4:$H$14,MATCH(E1343,기본설정!$G$4:$G$14,0)),""))</f>
        <v/>
      </c>
    </row>
    <row r="1344" customFormat="false" ht="15" hidden="false" customHeight="false" outlineLevel="0" collapsed="false">
      <c r="A1344" s="73"/>
      <c r="B1344" s="10"/>
      <c r="C1344" s="80"/>
      <c r="D1344" s="80"/>
      <c r="E1344" s="81" t="str">
        <f aca="false">IF(D1344="","",IFERROR(INDEX(식자재단가!$B$4:$B$203,MATCH(D1344,식자재단가!$C$4:$C$203,0)),""))</f>
        <v/>
      </c>
      <c r="F1344" s="76"/>
      <c r="G1344" s="59" t="str">
        <f aca="false">IF(D1344="","",IFERROR(INDEX(식자재단가!$F$4:$F$203,MATCH(D1344,식자재단가!$C$4:$C$203,0)),""))</f>
        <v/>
      </c>
      <c r="H1344" s="50"/>
      <c r="I1344" s="82" t="str">
        <f aca="false">IF(OR(F1344="",H1344=""),"",F1344*H1344)</f>
        <v/>
      </c>
      <c r="J1344" s="83" t="str">
        <f aca="false">IF(D1344="","",IFERROR(INDEX(식자재단가!$M$4:$M$203,MATCH(D1344,식자재단가!$C$4:$C$203,0)),"과세"))</f>
        <v/>
      </c>
      <c r="K1344" s="28" t="str">
        <f aca="false">IF(I1344="","",IF(J1344="과세",ROUND(I1344*0.1,0),0))</f>
        <v/>
      </c>
      <c r="L1344" s="28" t="str">
        <f aca="false">IF(I1344="","",I1344+K1344)</f>
        <v/>
      </c>
      <c r="M1344" s="10"/>
      <c r="N1344" s="80"/>
      <c r="O1344" s="80"/>
      <c r="P1344" s="59" t="str">
        <f aca="false">IF(E1344="","",IFERROR(INDEX(기본설정!$H$4:$H$14,MATCH(E1344,기본설정!$G$4:$G$14,0)),""))</f>
        <v/>
      </c>
    </row>
    <row r="1345" customFormat="false" ht="15" hidden="false" customHeight="false" outlineLevel="0" collapsed="false">
      <c r="A1345" s="73"/>
      <c r="B1345" s="10"/>
      <c r="C1345" s="80"/>
      <c r="D1345" s="80"/>
      <c r="E1345" s="81" t="str">
        <f aca="false">IF(D1345="","",IFERROR(INDEX(식자재단가!$B$4:$B$203,MATCH(D1345,식자재단가!$C$4:$C$203,0)),""))</f>
        <v/>
      </c>
      <c r="F1345" s="76"/>
      <c r="G1345" s="59" t="str">
        <f aca="false">IF(D1345="","",IFERROR(INDEX(식자재단가!$F$4:$F$203,MATCH(D1345,식자재단가!$C$4:$C$203,0)),""))</f>
        <v/>
      </c>
      <c r="H1345" s="50"/>
      <c r="I1345" s="82" t="str">
        <f aca="false">IF(OR(F1345="",H1345=""),"",F1345*H1345)</f>
        <v/>
      </c>
      <c r="J1345" s="83" t="str">
        <f aca="false">IF(D1345="","",IFERROR(INDEX(식자재단가!$M$4:$M$203,MATCH(D1345,식자재단가!$C$4:$C$203,0)),"과세"))</f>
        <v/>
      </c>
      <c r="K1345" s="28" t="str">
        <f aca="false">IF(I1345="","",IF(J1345="과세",ROUND(I1345*0.1,0),0))</f>
        <v/>
      </c>
      <c r="L1345" s="28" t="str">
        <f aca="false">IF(I1345="","",I1345+K1345)</f>
        <v/>
      </c>
      <c r="M1345" s="10"/>
      <c r="N1345" s="80"/>
      <c r="O1345" s="80"/>
      <c r="P1345" s="59" t="str">
        <f aca="false">IF(E1345="","",IFERROR(INDEX(기본설정!$H$4:$H$14,MATCH(E1345,기본설정!$G$4:$G$14,0)),""))</f>
        <v/>
      </c>
    </row>
    <row r="1346" customFormat="false" ht="15" hidden="false" customHeight="false" outlineLevel="0" collapsed="false">
      <c r="A1346" s="73"/>
      <c r="B1346" s="10"/>
      <c r="C1346" s="80"/>
      <c r="D1346" s="80"/>
      <c r="E1346" s="81" t="str">
        <f aca="false">IF(D1346="","",IFERROR(INDEX(식자재단가!$B$4:$B$203,MATCH(D1346,식자재단가!$C$4:$C$203,0)),""))</f>
        <v/>
      </c>
      <c r="F1346" s="76"/>
      <c r="G1346" s="59" t="str">
        <f aca="false">IF(D1346="","",IFERROR(INDEX(식자재단가!$F$4:$F$203,MATCH(D1346,식자재단가!$C$4:$C$203,0)),""))</f>
        <v/>
      </c>
      <c r="H1346" s="50"/>
      <c r="I1346" s="82" t="str">
        <f aca="false">IF(OR(F1346="",H1346=""),"",F1346*H1346)</f>
        <v/>
      </c>
      <c r="J1346" s="83" t="str">
        <f aca="false">IF(D1346="","",IFERROR(INDEX(식자재단가!$M$4:$M$203,MATCH(D1346,식자재단가!$C$4:$C$203,0)),"과세"))</f>
        <v/>
      </c>
      <c r="K1346" s="28" t="str">
        <f aca="false">IF(I1346="","",IF(J1346="과세",ROUND(I1346*0.1,0),0))</f>
        <v/>
      </c>
      <c r="L1346" s="28" t="str">
        <f aca="false">IF(I1346="","",I1346+K1346)</f>
        <v/>
      </c>
      <c r="M1346" s="10"/>
      <c r="N1346" s="80"/>
      <c r="O1346" s="80"/>
      <c r="P1346" s="59" t="str">
        <f aca="false">IF(E1346="","",IFERROR(INDEX(기본설정!$H$4:$H$14,MATCH(E1346,기본설정!$G$4:$G$14,0)),""))</f>
        <v/>
      </c>
    </row>
    <row r="1347" customFormat="false" ht="15" hidden="false" customHeight="false" outlineLevel="0" collapsed="false">
      <c r="A1347" s="73"/>
      <c r="B1347" s="10"/>
      <c r="C1347" s="80"/>
      <c r="D1347" s="80"/>
      <c r="E1347" s="81" t="str">
        <f aca="false">IF(D1347="","",IFERROR(INDEX(식자재단가!$B$4:$B$203,MATCH(D1347,식자재단가!$C$4:$C$203,0)),""))</f>
        <v/>
      </c>
      <c r="F1347" s="76"/>
      <c r="G1347" s="59" t="str">
        <f aca="false">IF(D1347="","",IFERROR(INDEX(식자재단가!$F$4:$F$203,MATCH(D1347,식자재단가!$C$4:$C$203,0)),""))</f>
        <v/>
      </c>
      <c r="H1347" s="50"/>
      <c r="I1347" s="82" t="str">
        <f aca="false">IF(OR(F1347="",H1347=""),"",F1347*H1347)</f>
        <v/>
      </c>
      <c r="J1347" s="83" t="str">
        <f aca="false">IF(D1347="","",IFERROR(INDEX(식자재단가!$M$4:$M$203,MATCH(D1347,식자재단가!$C$4:$C$203,0)),"과세"))</f>
        <v/>
      </c>
      <c r="K1347" s="28" t="str">
        <f aca="false">IF(I1347="","",IF(J1347="과세",ROUND(I1347*0.1,0),0))</f>
        <v/>
      </c>
      <c r="L1347" s="28" t="str">
        <f aca="false">IF(I1347="","",I1347+K1347)</f>
        <v/>
      </c>
      <c r="M1347" s="10"/>
      <c r="N1347" s="80"/>
      <c r="O1347" s="80"/>
      <c r="P1347" s="59" t="str">
        <f aca="false">IF(E1347="","",IFERROR(INDEX(기본설정!$H$4:$H$14,MATCH(E1347,기본설정!$G$4:$G$14,0)),""))</f>
        <v/>
      </c>
    </row>
    <row r="1348" customFormat="false" ht="15" hidden="false" customHeight="false" outlineLevel="0" collapsed="false">
      <c r="A1348" s="73"/>
      <c r="B1348" s="10"/>
      <c r="C1348" s="80"/>
      <c r="D1348" s="80"/>
      <c r="E1348" s="81" t="str">
        <f aca="false">IF(D1348="","",IFERROR(INDEX(식자재단가!$B$4:$B$203,MATCH(D1348,식자재단가!$C$4:$C$203,0)),""))</f>
        <v/>
      </c>
      <c r="F1348" s="76"/>
      <c r="G1348" s="59" t="str">
        <f aca="false">IF(D1348="","",IFERROR(INDEX(식자재단가!$F$4:$F$203,MATCH(D1348,식자재단가!$C$4:$C$203,0)),""))</f>
        <v/>
      </c>
      <c r="H1348" s="50"/>
      <c r="I1348" s="82" t="str">
        <f aca="false">IF(OR(F1348="",H1348=""),"",F1348*H1348)</f>
        <v/>
      </c>
      <c r="J1348" s="83" t="str">
        <f aca="false">IF(D1348="","",IFERROR(INDEX(식자재단가!$M$4:$M$203,MATCH(D1348,식자재단가!$C$4:$C$203,0)),"과세"))</f>
        <v/>
      </c>
      <c r="K1348" s="28" t="str">
        <f aca="false">IF(I1348="","",IF(J1348="과세",ROUND(I1348*0.1,0),0))</f>
        <v/>
      </c>
      <c r="L1348" s="28" t="str">
        <f aca="false">IF(I1348="","",I1348+K1348)</f>
        <v/>
      </c>
      <c r="M1348" s="10"/>
      <c r="N1348" s="80"/>
      <c r="O1348" s="80"/>
      <c r="P1348" s="59" t="str">
        <f aca="false">IF(E1348="","",IFERROR(INDEX(기본설정!$H$4:$H$14,MATCH(E1348,기본설정!$G$4:$G$14,0)),""))</f>
        <v/>
      </c>
    </row>
    <row r="1349" customFormat="false" ht="15" hidden="false" customHeight="false" outlineLevel="0" collapsed="false">
      <c r="A1349" s="73"/>
      <c r="B1349" s="10"/>
      <c r="C1349" s="80"/>
      <c r="D1349" s="80"/>
      <c r="E1349" s="81" t="str">
        <f aca="false">IF(D1349="","",IFERROR(INDEX(식자재단가!$B$4:$B$203,MATCH(D1349,식자재단가!$C$4:$C$203,0)),""))</f>
        <v/>
      </c>
      <c r="F1349" s="76"/>
      <c r="G1349" s="59" t="str">
        <f aca="false">IF(D1349="","",IFERROR(INDEX(식자재단가!$F$4:$F$203,MATCH(D1349,식자재단가!$C$4:$C$203,0)),""))</f>
        <v/>
      </c>
      <c r="H1349" s="50"/>
      <c r="I1349" s="82" t="str">
        <f aca="false">IF(OR(F1349="",H1349=""),"",F1349*H1349)</f>
        <v/>
      </c>
      <c r="J1349" s="83" t="str">
        <f aca="false">IF(D1349="","",IFERROR(INDEX(식자재단가!$M$4:$M$203,MATCH(D1349,식자재단가!$C$4:$C$203,0)),"과세"))</f>
        <v/>
      </c>
      <c r="K1349" s="28" t="str">
        <f aca="false">IF(I1349="","",IF(J1349="과세",ROUND(I1349*0.1,0),0))</f>
        <v/>
      </c>
      <c r="L1349" s="28" t="str">
        <f aca="false">IF(I1349="","",I1349+K1349)</f>
        <v/>
      </c>
      <c r="M1349" s="10"/>
      <c r="N1349" s="80"/>
      <c r="O1349" s="80"/>
      <c r="P1349" s="59" t="str">
        <f aca="false">IF(E1349="","",IFERROR(INDEX(기본설정!$H$4:$H$14,MATCH(E1349,기본설정!$G$4:$G$14,0)),""))</f>
        <v/>
      </c>
    </row>
    <row r="1350" customFormat="false" ht="15" hidden="false" customHeight="false" outlineLevel="0" collapsed="false">
      <c r="A1350" s="73"/>
      <c r="B1350" s="10"/>
      <c r="C1350" s="80"/>
      <c r="D1350" s="80"/>
      <c r="E1350" s="81" t="str">
        <f aca="false">IF(D1350="","",IFERROR(INDEX(식자재단가!$B$4:$B$203,MATCH(D1350,식자재단가!$C$4:$C$203,0)),""))</f>
        <v/>
      </c>
      <c r="F1350" s="76"/>
      <c r="G1350" s="59" t="str">
        <f aca="false">IF(D1350="","",IFERROR(INDEX(식자재단가!$F$4:$F$203,MATCH(D1350,식자재단가!$C$4:$C$203,0)),""))</f>
        <v/>
      </c>
      <c r="H1350" s="50"/>
      <c r="I1350" s="82" t="str">
        <f aca="false">IF(OR(F1350="",H1350=""),"",F1350*H1350)</f>
        <v/>
      </c>
      <c r="J1350" s="83" t="str">
        <f aca="false">IF(D1350="","",IFERROR(INDEX(식자재단가!$M$4:$M$203,MATCH(D1350,식자재단가!$C$4:$C$203,0)),"과세"))</f>
        <v/>
      </c>
      <c r="K1350" s="28" t="str">
        <f aca="false">IF(I1350="","",IF(J1350="과세",ROUND(I1350*0.1,0),0))</f>
        <v/>
      </c>
      <c r="L1350" s="28" t="str">
        <f aca="false">IF(I1350="","",I1350+K1350)</f>
        <v/>
      </c>
      <c r="M1350" s="10"/>
      <c r="N1350" s="80"/>
      <c r="O1350" s="80"/>
      <c r="P1350" s="59" t="str">
        <f aca="false">IF(E1350="","",IFERROR(INDEX(기본설정!$H$4:$H$14,MATCH(E1350,기본설정!$G$4:$G$14,0)),""))</f>
        <v/>
      </c>
    </row>
    <row r="1351" customFormat="false" ht="15" hidden="false" customHeight="false" outlineLevel="0" collapsed="false">
      <c r="A1351" s="73"/>
      <c r="B1351" s="10"/>
      <c r="C1351" s="80"/>
      <c r="D1351" s="80"/>
      <c r="E1351" s="81" t="str">
        <f aca="false">IF(D1351="","",IFERROR(INDEX(식자재단가!$B$4:$B$203,MATCH(D1351,식자재단가!$C$4:$C$203,0)),""))</f>
        <v/>
      </c>
      <c r="F1351" s="76"/>
      <c r="G1351" s="59" t="str">
        <f aca="false">IF(D1351="","",IFERROR(INDEX(식자재단가!$F$4:$F$203,MATCH(D1351,식자재단가!$C$4:$C$203,0)),""))</f>
        <v/>
      </c>
      <c r="H1351" s="50"/>
      <c r="I1351" s="82" t="str">
        <f aca="false">IF(OR(F1351="",H1351=""),"",F1351*H1351)</f>
        <v/>
      </c>
      <c r="J1351" s="83" t="str">
        <f aca="false">IF(D1351="","",IFERROR(INDEX(식자재단가!$M$4:$M$203,MATCH(D1351,식자재단가!$C$4:$C$203,0)),"과세"))</f>
        <v/>
      </c>
      <c r="K1351" s="28" t="str">
        <f aca="false">IF(I1351="","",IF(J1351="과세",ROUND(I1351*0.1,0),0))</f>
        <v/>
      </c>
      <c r="L1351" s="28" t="str">
        <f aca="false">IF(I1351="","",I1351+K1351)</f>
        <v/>
      </c>
      <c r="M1351" s="10"/>
      <c r="N1351" s="80"/>
      <c r="O1351" s="80"/>
      <c r="P1351" s="59" t="str">
        <f aca="false">IF(E1351="","",IFERROR(INDEX(기본설정!$H$4:$H$14,MATCH(E1351,기본설정!$G$4:$G$14,0)),""))</f>
        <v/>
      </c>
    </row>
    <row r="1352" customFormat="false" ht="15" hidden="false" customHeight="false" outlineLevel="0" collapsed="false">
      <c r="A1352" s="73"/>
      <c r="B1352" s="10"/>
      <c r="C1352" s="80"/>
      <c r="D1352" s="80"/>
      <c r="E1352" s="81" t="str">
        <f aca="false">IF(D1352="","",IFERROR(INDEX(식자재단가!$B$4:$B$203,MATCH(D1352,식자재단가!$C$4:$C$203,0)),""))</f>
        <v/>
      </c>
      <c r="F1352" s="76"/>
      <c r="G1352" s="59" t="str">
        <f aca="false">IF(D1352="","",IFERROR(INDEX(식자재단가!$F$4:$F$203,MATCH(D1352,식자재단가!$C$4:$C$203,0)),""))</f>
        <v/>
      </c>
      <c r="H1352" s="50"/>
      <c r="I1352" s="82" t="str">
        <f aca="false">IF(OR(F1352="",H1352=""),"",F1352*H1352)</f>
        <v/>
      </c>
      <c r="J1352" s="83" t="str">
        <f aca="false">IF(D1352="","",IFERROR(INDEX(식자재단가!$M$4:$M$203,MATCH(D1352,식자재단가!$C$4:$C$203,0)),"과세"))</f>
        <v/>
      </c>
      <c r="K1352" s="28" t="str">
        <f aca="false">IF(I1352="","",IF(J1352="과세",ROUND(I1352*0.1,0),0))</f>
        <v/>
      </c>
      <c r="L1352" s="28" t="str">
        <f aca="false">IF(I1352="","",I1352+K1352)</f>
        <v/>
      </c>
      <c r="M1352" s="10"/>
      <c r="N1352" s="80"/>
      <c r="O1352" s="80"/>
      <c r="P1352" s="59" t="str">
        <f aca="false">IF(E1352="","",IFERROR(INDEX(기본설정!$H$4:$H$14,MATCH(E1352,기본설정!$G$4:$G$14,0)),""))</f>
        <v/>
      </c>
    </row>
    <row r="1353" customFormat="false" ht="15" hidden="false" customHeight="false" outlineLevel="0" collapsed="false">
      <c r="A1353" s="73"/>
      <c r="B1353" s="10"/>
      <c r="C1353" s="80"/>
      <c r="D1353" s="80"/>
      <c r="E1353" s="81" t="str">
        <f aca="false">IF(D1353="","",IFERROR(INDEX(식자재단가!$B$4:$B$203,MATCH(D1353,식자재단가!$C$4:$C$203,0)),""))</f>
        <v/>
      </c>
      <c r="F1353" s="76"/>
      <c r="G1353" s="59" t="str">
        <f aca="false">IF(D1353="","",IFERROR(INDEX(식자재단가!$F$4:$F$203,MATCH(D1353,식자재단가!$C$4:$C$203,0)),""))</f>
        <v/>
      </c>
      <c r="H1353" s="50"/>
      <c r="I1353" s="82" t="str">
        <f aca="false">IF(OR(F1353="",H1353=""),"",F1353*H1353)</f>
        <v/>
      </c>
      <c r="J1353" s="83" t="str">
        <f aca="false">IF(D1353="","",IFERROR(INDEX(식자재단가!$M$4:$M$203,MATCH(D1353,식자재단가!$C$4:$C$203,0)),"과세"))</f>
        <v/>
      </c>
      <c r="K1353" s="28" t="str">
        <f aca="false">IF(I1353="","",IF(J1353="과세",ROUND(I1353*0.1,0),0))</f>
        <v/>
      </c>
      <c r="L1353" s="28" t="str">
        <f aca="false">IF(I1353="","",I1353+K1353)</f>
        <v/>
      </c>
      <c r="M1353" s="10"/>
      <c r="N1353" s="80"/>
      <c r="O1353" s="80"/>
      <c r="P1353" s="59" t="str">
        <f aca="false">IF(E1353="","",IFERROR(INDEX(기본설정!$H$4:$H$14,MATCH(E1353,기본설정!$G$4:$G$14,0)),""))</f>
        <v/>
      </c>
    </row>
    <row r="1354" customFormat="false" ht="15" hidden="false" customHeight="false" outlineLevel="0" collapsed="false">
      <c r="A1354" s="73"/>
      <c r="B1354" s="10"/>
      <c r="C1354" s="80"/>
      <c r="D1354" s="80"/>
      <c r="E1354" s="81" t="str">
        <f aca="false">IF(D1354="","",IFERROR(INDEX(식자재단가!$B$4:$B$203,MATCH(D1354,식자재단가!$C$4:$C$203,0)),""))</f>
        <v/>
      </c>
      <c r="F1354" s="76"/>
      <c r="G1354" s="59" t="str">
        <f aca="false">IF(D1354="","",IFERROR(INDEX(식자재단가!$F$4:$F$203,MATCH(D1354,식자재단가!$C$4:$C$203,0)),""))</f>
        <v/>
      </c>
      <c r="H1354" s="50"/>
      <c r="I1354" s="82" t="str">
        <f aca="false">IF(OR(F1354="",H1354=""),"",F1354*H1354)</f>
        <v/>
      </c>
      <c r="J1354" s="83" t="str">
        <f aca="false">IF(D1354="","",IFERROR(INDEX(식자재단가!$M$4:$M$203,MATCH(D1354,식자재단가!$C$4:$C$203,0)),"과세"))</f>
        <v/>
      </c>
      <c r="K1354" s="28" t="str">
        <f aca="false">IF(I1354="","",IF(J1354="과세",ROUND(I1354*0.1,0),0))</f>
        <v/>
      </c>
      <c r="L1354" s="28" t="str">
        <f aca="false">IF(I1354="","",I1354+K1354)</f>
        <v/>
      </c>
      <c r="M1354" s="10"/>
      <c r="N1354" s="80"/>
      <c r="O1354" s="80"/>
      <c r="P1354" s="59" t="str">
        <f aca="false">IF(E1354="","",IFERROR(INDEX(기본설정!$H$4:$H$14,MATCH(E1354,기본설정!$G$4:$G$14,0)),""))</f>
        <v/>
      </c>
    </row>
    <row r="1355" customFormat="false" ht="15" hidden="false" customHeight="false" outlineLevel="0" collapsed="false">
      <c r="A1355" s="73"/>
      <c r="B1355" s="10"/>
      <c r="C1355" s="80"/>
      <c r="D1355" s="80"/>
      <c r="E1355" s="81" t="str">
        <f aca="false">IF(D1355="","",IFERROR(INDEX(식자재단가!$B$4:$B$203,MATCH(D1355,식자재단가!$C$4:$C$203,0)),""))</f>
        <v/>
      </c>
      <c r="F1355" s="76"/>
      <c r="G1355" s="59" t="str">
        <f aca="false">IF(D1355="","",IFERROR(INDEX(식자재단가!$F$4:$F$203,MATCH(D1355,식자재단가!$C$4:$C$203,0)),""))</f>
        <v/>
      </c>
      <c r="H1355" s="50"/>
      <c r="I1355" s="82" t="str">
        <f aca="false">IF(OR(F1355="",H1355=""),"",F1355*H1355)</f>
        <v/>
      </c>
      <c r="J1355" s="83" t="str">
        <f aca="false">IF(D1355="","",IFERROR(INDEX(식자재단가!$M$4:$M$203,MATCH(D1355,식자재단가!$C$4:$C$203,0)),"과세"))</f>
        <v/>
      </c>
      <c r="K1355" s="28" t="str">
        <f aca="false">IF(I1355="","",IF(J1355="과세",ROUND(I1355*0.1,0),0))</f>
        <v/>
      </c>
      <c r="L1355" s="28" t="str">
        <f aca="false">IF(I1355="","",I1355+K1355)</f>
        <v/>
      </c>
      <c r="M1355" s="10"/>
      <c r="N1355" s="80"/>
      <c r="O1355" s="80"/>
      <c r="P1355" s="59" t="str">
        <f aca="false">IF(E1355="","",IFERROR(INDEX(기본설정!$H$4:$H$14,MATCH(E1355,기본설정!$G$4:$G$14,0)),""))</f>
        <v/>
      </c>
    </row>
    <row r="1356" customFormat="false" ht="15" hidden="false" customHeight="false" outlineLevel="0" collapsed="false">
      <c r="A1356" s="73"/>
      <c r="B1356" s="10"/>
      <c r="C1356" s="80"/>
      <c r="D1356" s="80"/>
      <c r="E1356" s="81" t="str">
        <f aca="false">IF(D1356="","",IFERROR(INDEX(식자재단가!$B$4:$B$203,MATCH(D1356,식자재단가!$C$4:$C$203,0)),""))</f>
        <v/>
      </c>
      <c r="F1356" s="76"/>
      <c r="G1356" s="59" t="str">
        <f aca="false">IF(D1356="","",IFERROR(INDEX(식자재단가!$F$4:$F$203,MATCH(D1356,식자재단가!$C$4:$C$203,0)),""))</f>
        <v/>
      </c>
      <c r="H1356" s="50"/>
      <c r="I1356" s="82" t="str">
        <f aca="false">IF(OR(F1356="",H1356=""),"",F1356*H1356)</f>
        <v/>
      </c>
      <c r="J1356" s="83" t="str">
        <f aca="false">IF(D1356="","",IFERROR(INDEX(식자재단가!$M$4:$M$203,MATCH(D1356,식자재단가!$C$4:$C$203,0)),"과세"))</f>
        <v/>
      </c>
      <c r="K1356" s="28" t="str">
        <f aca="false">IF(I1356="","",IF(J1356="과세",ROUND(I1356*0.1,0),0))</f>
        <v/>
      </c>
      <c r="L1356" s="28" t="str">
        <f aca="false">IF(I1356="","",I1356+K1356)</f>
        <v/>
      </c>
      <c r="M1356" s="10"/>
      <c r="N1356" s="80"/>
      <c r="O1356" s="80"/>
      <c r="P1356" s="59" t="str">
        <f aca="false">IF(E1356="","",IFERROR(INDEX(기본설정!$H$4:$H$14,MATCH(E1356,기본설정!$G$4:$G$14,0)),""))</f>
        <v/>
      </c>
    </row>
    <row r="1357" customFormat="false" ht="15" hidden="false" customHeight="false" outlineLevel="0" collapsed="false">
      <c r="A1357" s="73"/>
      <c r="B1357" s="10"/>
      <c r="C1357" s="80"/>
      <c r="D1357" s="80"/>
      <c r="E1357" s="81" t="str">
        <f aca="false">IF(D1357="","",IFERROR(INDEX(식자재단가!$B$4:$B$203,MATCH(D1357,식자재단가!$C$4:$C$203,0)),""))</f>
        <v/>
      </c>
      <c r="F1357" s="76"/>
      <c r="G1357" s="59" t="str">
        <f aca="false">IF(D1357="","",IFERROR(INDEX(식자재단가!$F$4:$F$203,MATCH(D1357,식자재단가!$C$4:$C$203,0)),""))</f>
        <v/>
      </c>
      <c r="H1357" s="50"/>
      <c r="I1357" s="82" t="str">
        <f aca="false">IF(OR(F1357="",H1357=""),"",F1357*H1357)</f>
        <v/>
      </c>
      <c r="J1357" s="83" t="str">
        <f aca="false">IF(D1357="","",IFERROR(INDEX(식자재단가!$M$4:$M$203,MATCH(D1357,식자재단가!$C$4:$C$203,0)),"과세"))</f>
        <v/>
      </c>
      <c r="K1357" s="28" t="str">
        <f aca="false">IF(I1357="","",IF(J1357="과세",ROUND(I1357*0.1,0),0))</f>
        <v/>
      </c>
      <c r="L1357" s="28" t="str">
        <f aca="false">IF(I1357="","",I1357+K1357)</f>
        <v/>
      </c>
      <c r="M1357" s="10"/>
      <c r="N1357" s="80"/>
      <c r="O1357" s="80"/>
      <c r="P1357" s="59" t="str">
        <f aca="false">IF(E1357="","",IFERROR(INDEX(기본설정!$H$4:$H$14,MATCH(E1357,기본설정!$G$4:$G$14,0)),""))</f>
        <v/>
      </c>
    </row>
    <row r="1358" customFormat="false" ht="15" hidden="false" customHeight="false" outlineLevel="0" collapsed="false">
      <c r="A1358" s="73"/>
      <c r="B1358" s="10"/>
      <c r="C1358" s="80"/>
      <c r="D1358" s="80"/>
      <c r="E1358" s="81" t="str">
        <f aca="false">IF(D1358="","",IFERROR(INDEX(식자재단가!$B$4:$B$203,MATCH(D1358,식자재단가!$C$4:$C$203,0)),""))</f>
        <v/>
      </c>
      <c r="F1358" s="76"/>
      <c r="G1358" s="59" t="str">
        <f aca="false">IF(D1358="","",IFERROR(INDEX(식자재단가!$F$4:$F$203,MATCH(D1358,식자재단가!$C$4:$C$203,0)),""))</f>
        <v/>
      </c>
      <c r="H1358" s="50"/>
      <c r="I1358" s="82" t="str">
        <f aca="false">IF(OR(F1358="",H1358=""),"",F1358*H1358)</f>
        <v/>
      </c>
      <c r="J1358" s="83" t="str">
        <f aca="false">IF(D1358="","",IFERROR(INDEX(식자재단가!$M$4:$M$203,MATCH(D1358,식자재단가!$C$4:$C$203,0)),"과세"))</f>
        <v/>
      </c>
      <c r="K1358" s="28" t="str">
        <f aca="false">IF(I1358="","",IF(J1358="과세",ROUND(I1358*0.1,0),0))</f>
        <v/>
      </c>
      <c r="L1358" s="28" t="str">
        <f aca="false">IF(I1358="","",I1358+K1358)</f>
        <v/>
      </c>
      <c r="M1358" s="10"/>
      <c r="N1358" s="80"/>
      <c r="O1358" s="80"/>
      <c r="P1358" s="59" t="str">
        <f aca="false">IF(E1358="","",IFERROR(INDEX(기본설정!$H$4:$H$14,MATCH(E1358,기본설정!$G$4:$G$14,0)),""))</f>
        <v/>
      </c>
    </row>
    <row r="1359" customFormat="false" ht="15" hidden="false" customHeight="false" outlineLevel="0" collapsed="false">
      <c r="A1359" s="73"/>
      <c r="B1359" s="10"/>
      <c r="C1359" s="80"/>
      <c r="D1359" s="80"/>
      <c r="E1359" s="81" t="str">
        <f aca="false">IF(D1359="","",IFERROR(INDEX(식자재단가!$B$4:$B$203,MATCH(D1359,식자재단가!$C$4:$C$203,0)),""))</f>
        <v/>
      </c>
      <c r="F1359" s="76"/>
      <c r="G1359" s="59" t="str">
        <f aca="false">IF(D1359="","",IFERROR(INDEX(식자재단가!$F$4:$F$203,MATCH(D1359,식자재단가!$C$4:$C$203,0)),""))</f>
        <v/>
      </c>
      <c r="H1359" s="50"/>
      <c r="I1359" s="82" t="str">
        <f aca="false">IF(OR(F1359="",H1359=""),"",F1359*H1359)</f>
        <v/>
      </c>
      <c r="J1359" s="83" t="str">
        <f aca="false">IF(D1359="","",IFERROR(INDEX(식자재단가!$M$4:$M$203,MATCH(D1359,식자재단가!$C$4:$C$203,0)),"과세"))</f>
        <v/>
      </c>
      <c r="K1359" s="28" t="str">
        <f aca="false">IF(I1359="","",IF(J1359="과세",ROUND(I1359*0.1,0),0))</f>
        <v/>
      </c>
      <c r="L1359" s="28" t="str">
        <f aca="false">IF(I1359="","",I1359+K1359)</f>
        <v/>
      </c>
      <c r="M1359" s="10"/>
      <c r="N1359" s="80"/>
      <c r="O1359" s="80"/>
      <c r="P1359" s="59" t="str">
        <f aca="false">IF(E1359="","",IFERROR(INDEX(기본설정!$H$4:$H$14,MATCH(E1359,기본설정!$G$4:$G$14,0)),""))</f>
        <v/>
      </c>
    </row>
    <row r="1360" customFormat="false" ht="15" hidden="false" customHeight="false" outlineLevel="0" collapsed="false">
      <c r="A1360" s="73"/>
      <c r="B1360" s="10"/>
      <c r="C1360" s="80"/>
      <c r="D1360" s="80"/>
      <c r="E1360" s="81" t="str">
        <f aca="false">IF(D1360="","",IFERROR(INDEX(식자재단가!$B$4:$B$203,MATCH(D1360,식자재단가!$C$4:$C$203,0)),""))</f>
        <v/>
      </c>
      <c r="F1360" s="76"/>
      <c r="G1360" s="59" t="str">
        <f aca="false">IF(D1360="","",IFERROR(INDEX(식자재단가!$F$4:$F$203,MATCH(D1360,식자재단가!$C$4:$C$203,0)),""))</f>
        <v/>
      </c>
      <c r="H1360" s="50"/>
      <c r="I1360" s="82" t="str">
        <f aca="false">IF(OR(F1360="",H1360=""),"",F1360*H1360)</f>
        <v/>
      </c>
      <c r="J1360" s="83" t="str">
        <f aca="false">IF(D1360="","",IFERROR(INDEX(식자재단가!$M$4:$M$203,MATCH(D1360,식자재단가!$C$4:$C$203,0)),"과세"))</f>
        <v/>
      </c>
      <c r="K1360" s="28" t="str">
        <f aca="false">IF(I1360="","",IF(J1360="과세",ROUND(I1360*0.1,0),0))</f>
        <v/>
      </c>
      <c r="L1360" s="28" t="str">
        <f aca="false">IF(I1360="","",I1360+K1360)</f>
        <v/>
      </c>
      <c r="M1360" s="10"/>
      <c r="N1360" s="80"/>
      <c r="O1360" s="80"/>
      <c r="P1360" s="59" t="str">
        <f aca="false">IF(E1360="","",IFERROR(INDEX(기본설정!$H$4:$H$14,MATCH(E1360,기본설정!$G$4:$G$14,0)),""))</f>
        <v/>
      </c>
    </row>
    <row r="1361" customFormat="false" ht="15" hidden="false" customHeight="false" outlineLevel="0" collapsed="false">
      <c r="A1361" s="73"/>
      <c r="B1361" s="10"/>
      <c r="C1361" s="80"/>
      <c r="D1361" s="80"/>
      <c r="E1361" s="81" t="str">
        <f aca="false">IF(D1361="","",IFERROR(INDEX(식자재단가!$B$4:$B$203,MATCH(D1361,식자재단가!$C$4:$C$203,0)),""))</f>
        <v/>
      </c>
      <c r="F1361" s="76"/>
      <c r="G1361" s="59" t="str">
        <f aca="false">IF(D1361="","",IFERROR(INDEX(식자재단가!$F$4:$F$203,MATCH(D1361,식자재단가!$C$4:$C$203,0)),""))</f>
        <v/>
      </c>
      <c r="H1361" s="50"/>
      <c r="I1361" s="82" t="str">
        <f aca="false">IF(OR(F1361="",H1361=""),"",F1361*H1361)</f>
        <v/>
      </c>
      <c r="J1361" s="83" t="str">
        <f aca="false">IF(D1361="","",IFERROR(INDEX(식자재단가!$M$4:$M$203,MATCH(D1361,식자재단가!$C$4:$C$203,0)),"과세"))</f>
        <v/>
      </c>
      <c r="K1361" s="28" t="str">
        <f aca="false">IF(I1361="","",IF(J1361="과세",ROUND(I1361*0.1,0),0))</f>
        <v/>
      </c>
      <c r="L1361" s="28" t="str">
        <f aca="false">IF(I1361="","",I1361+K1361)</f>
        <v/>
      </c>
      <c r="M1361" s="10"/>
      <c r="N1361" s="80"/>
      <c r="O1361" s="80"/>
      <c r="P1361" s="59" t="str">
        <f aca="false">IF(E1361="","",IFERROR(INDEX(기본설정!$H$4:$H$14,MATCH(E1361,기본설정!$G$4:$G$14,0)),""))</f>
        <v/>
      </c>
    </row>
    <row r="1362" customFormat="false" ht="15" hidden="false" customHeight="false" outlineLevel="0" collapsed="false">
      <c r="A1362" s="73"/>
      <c r="B1362" s="10"/>
      <c r="C1362" s="80"/>
      <c r="D1362" s="80"/>
      <c r="E1362" s="81" t="str">
        <f aca="false">IF(D1362="","",IFERROR(INDEX(식자재단가!$B$4:$B$203,MATCH(D1362,식자재단가!$C$4:$C$203,0)),""))</f>
        <v/>
      </c>
      <c r="F1362" s="76"/>
      <c r="G1362" s="59" t="str">
        <f aca="false">IF(D1362="","",IFERROR(INDEX(식자재단가!$F$4:$F$203,MATCH(D1362,식자재단가!$C$4:$C$203,0)),""))</f>
        <v/>
      </c>
      <c r="H1362" s="50"/>
      <c r="I1362" s="82" t="str">
        <f aca="false">IF(OR(F1362="",H1362=""),"",F1362*H1362)</f>
        <v/>
      </c>
      <c r="J1362" s="83" t="str">
        <f aca="false">IF(D1362="","",IFERROR(INDEX(식자재단가!$M$4:$M$203,MATCH(D1362,식자재단가!$C$4:$C$203,0)),"과세"))</f>
        <v/>
      </c>
      <c r="K1362" s="28" t="str">
        <f aca="false">IF(I1362="","",IF(J1362="과세",ROUND(I1362*0.1,0),0))</f>
        <v/>
      </c>
      <c r="L1362" s="28" t="str">
        <f aca="false">IF(I1362="","",I1362+K1362)</f>
        <v/>
      </c>
      <c r="M1362" s="10"/>
      <c r="N1362" s="80"/>
      <c r="O1362" s="80"/>
      <c r="P1362" s="59" t="str">
        <f aca="false">IF(E1362="","",IFERROR(INDEX(기본설정!$H$4:$H$14,MATCH(E1362,기본설정!$G$4:$G$14,0)),""))</f>
        <v/>
      </c>
    </row>
    <row r="1363" customFormat="false" ht="15" hidden="false" customHeight="false" outlineLevel="0" collapsed="false">
      <c r="A1363" s="73"/>
      <c r="B1363" s="10"/>
      <c r="C1363" s="80"/>
      <c r="D1363" s="80"/>
      <c r="E1363" s="81" t="str">
        <f aca="false">IF(D1363="","",IFERROR(INDEX(식자재단가!$B$4:$B$203,MATCH(D1363,식자재단가!$C$4:$C$203,0)),""))</f>
        <v/>
      </c>
      <c r="F1363" s="76"/>
      <c r="G1363" s="59" t="str">
        <f aca="false">IF(D1363="","",IFERROR(INDEX(식자재단가!$F$4:$F$203,MATCH(D1363,식자재단가!$C$4:$C$203,0)),""))</f>
        <v/>
      </c>
      <c r="H1363" s="50"/>
      <c r="I1363" s="82" t="str">
        <f aca="false">IF(OR(F1363="",H1363=""),"",F1363*H1363)</f>
        <v/>
      </c>
      <c r="J1363" s="83" t="str">
        <f aca="false">IF(D1363="","",IFERROR(INDEX(식자재단가!$M$4:$M$203,MATCH(D1363,식자재단가!$C$4:$C$203,0)),"과세"))</f>
        <v/>
      </c>
      <c r="K1363" s="28" t="str">
        <f aca="false">IF(I1363="","",IF(J1363="과세",ROUND(I1363*0.1,0),0))</f>
        <v/>
      </c>
      <c r="L1363" s="28" t="str">
        <f aca="false">IF(I1363="","",I1363+K1363)</f>
        <v/>
      </c>
      <c r="M1363" s="10"/>
      <c r="N1363" s="80"/>
      <c r="O1363" s="80"/>
      <c r="P1363" s="59" t="str">
        <f aca="false">IF(E1363="","",IFERROR(INDEX(기본설정!$H$4:$H$14,MATCH(E1363,기본설정!$G$4:$G$14,0)),""))</f>
        <v/>
      </c>
    </row>
    <row r="1364" customFormat="false" ht="15" hidden="false" customHeight="false" outlineLevel="0" collapsed="false">
      <c r="A1364" s="73"/>
      <c r="B1364" s="10"/>
      <c r="C1364" s="80"/>
      <c r="D1364" s="80"/>
      <c r="E1364" s="81" t="str">
        <f aca="false">IF(D1364="","",IFERROR(INDEX(식자재단가!$B$4:$B$203,MATCH(D1364,식자재단가!$C$4:$C$203,0)),""))</f>
        <v/>
      </c>
      <c r="F1364" s="76"/>
      <c r="G1364" s="59" t="str">
        <f aca="false">IF(D1364="","",IFERROR(INDEX(식자재단가!$F$4:$F$203,MATCH(D1364,식자재단가!$C$4:$C$203,0)),""))</f>
        <v/>
      </c>
      <c r="H1364" s="50"/>
      <c r="I1364" s="82" t="str">
        <f aca="false">IF(OR(F1364="",H1364=""),"",F1364*H1364)</f>
        <v/>
      </c>
      <c r="J1364" s="83" t="str">
        <f aca="false">IF(D1364="","",IFERROR(INDEX(식자재단가!$M$4:$M$203,MATCH(D1364,식자재단가!$C$4:$C$203,0)),"과세"))</f>
        <v/>
      </c>
      <c r="K1364" s="28" t="str">
        <f aca="false">IF(I1364="","",IF(J1364="과세",ROUND(I1364*0.1,0),0))</f>
        <v/>
      </c>
      <c r="L1364" s="28" t="str">
        <f aca="false">IF(I1364="","",I1364+K1364)</f>
        <v/>
      </c>
      <c r="M1364" s="10"/>
      <c r="N1364" s="80"/>
      <c r="O1364" s="80"/>
      <c r="P1364" s="59" t="str">
        <f aca="false">IF(E1364="","",IFERROR(INDEX(기본설정!$H$4:$H$14,MATCH(E1364,기본설정!$G$4:$G$14,0)),""))</f>
        <v/>
      </c>
    </row>
    <row r="1365" customFormat="false" ht="15" hidden="false" customHeight="false" outlineLevel="0" collapsed="false">
      <c r="A1365" s="73"/>
      <c r="B1365" s="10"/>
      <c r="C1365" s="80"/>
      <c r="D1365" s="80"/>
      <c r="E1365" s="81" t="str">
        <f aca="false">IF(D1365="","",IFERROR(INDEX(식자재단가!$B$4:$B$203,MATCH(D1365,식자재단가!$C$4:$C$203,0)),""))</f>
        <v/>
      </c>
      <c r="F1365" s="76"/>
      <c r="G1365" s="59" t="str">
        <f aca="false">IF(D1365="","",IFERROR(INDEX(식자재단가!$F$4:$F$203,MATCH(D1365,식자재단가!$C$4:$C$203,0)),""))</f>
        <v/>
      </c>
      <c r="H1365" s="50"/>
      <c r="I1365" s="82" t="str">
        <f aca="false">IF(OR(F1365="",H1365=""),"",F1365*H1365)</f>
        <v/>
      </c>
      <c r="J1365" s="83" t="str">
        <f aca="false">IF(D1365="","",IFERROR(INDEX(식자재단가!$M$4:$M$203,MATCH(D1365,식자재단가!$C$4:$C$203,0)),"과세"))</f>
        <v/>
      </c>
      <c r="K1365" s="28" t="str">
        <f aca="false">IF(I1365="","",IF(J1365="과세",ROUND(I1365*0.1,0),0))</f>
        <v/>
      </c>
      <c r="L1365" s="28" t="str">
        <f aca="false">IF(I1365="","",I1365+K1365)</f>
        <v/>
      </c>
      <c r="M1365" s="10"/>
      <c r="N1365" s="80"/>
      <c r="O1365" s="80"/>
      <c r="P1365" s="59" t="str">
        <f aca="false">IF(E1365="","",IFERROR(INDEX(기본설정!$H$4:$H$14,MATCH(E1365,기본설정!$G$4:$G$14,0)),""))</f>
        <v/>
      </c>
    </row>
    <row r="1366" customFormat="false" ht="15" hidden="false" customHeight="false" outlineLevel="0" collapsed="false">
      <c r="A1366" s="73"/>
      <c r="B1366" s="10"/>
      <c r="C1366" s="80"/>
      <c r="D1366" s="80"/>
      <c r="E1366" s="81" t="str">
        <f aca="false">IF(D1366="","",IFERROR(INDEX(식자재단가!$B$4:$B$203,MATCH(D1366,식자재단가!$C$4:$C$203,0)),""))</f>
        <v/>
      </c>
      <c r="F1366" s="76"/>
      <c r="G1366" s="59" t="str">
        <f aca="false">IF(D1366="","",IFERROR(INDEX(식자재단가!$F$4:$F$203,MATCH(D1366,식자재단가!$C$4:$C$203,0)),""))</f>
        <v/>
      </c>
      <c r="H1366" s="50"/>
      <c r="I1366" s="82" t="str">
        <f aca="false">IF(OR(F1366="",H1366=""),"",F1366*H1366)</f>
        <v/>
      </c>
      <c r="J1366" s="83" t="str">
        <f aca="false">IF(D1366="","",IFERROR(INDEX(식자재단가!$M$4:$M$203,MATCH(D1366,식자재단가!$C$4:$C$203,0)),"과세"))</f>
        <v/>
      </c>
      <c r="K1366" s="28" t="str">
        <f aca="false">IF(I1366="","",IF(J1366="과세",ROUND(I1366*0.1,0),0))</f>
        <v/>
      </c>
      <c r="L1366" s="28" t="str">
        <f aca="false">IF(I1366="","",I1366+K1366)</f>
        <v/>
      </c>
      <c r="M1366" s="10"/>
      <c r="N1366" s="80"/>
      <c r="O1366" s="80"/>
      <c r="P1366" s="59" t="str">
        <f aca="false">IF(E1366="","",IFERROR(INDEX(기본설정!$H$4:$H$14,MATCH(E1366,기본설정!$G$4:$G$14,0)),""))</f>
        <v/>
      </c>
    </row>
    <row r="1367" customFormat="false" ht="15" hidden="false" customHeight="false" outlineLevel="0" collapsed="false">
      <c r="A1367" s="73"/>
      <c r="B1367" s="10"/>
      <c r="C1367" s="80"/>
      <c r="D1367" s="80"/>
      <c r="E1367" s="81" t="str">
        <f aca="false">IF(D1367="","",IFERROR(INDEX(식자재단가!$B$4:$B$203,MATCH(D1367,식자재단가!$C$4:$C$203,0)),""))</f>
        <v/>
      </c>
      <c r="F1367" s="76"/>
      <c r="G1367" s="59" t="str">
        <f aca="false">IF(D1367="","",IFERROR(INDEX(식자재단가!$F$4:$F$203,MATCH(D1367,식자재단가!$C$4:$C$203,0)),""))</f>
        <v/>
      </c>
      <c r="H1367" s="50"/>
      <c r="I1367" s="82" t="str">
        <f aca="false">IF(OR(F1367="",H1367=""),"",F1367*H1367)</f>
        <v/>
      </c>
      <c r="J1367" s="83" t="str">
        <f aca="false">IF(D1367="","",IFERROR(INDEX(식자재단가!$M$4:$M$203,MATCH(D1367,식자재단가!$C$4:$C$203,0)),"과세"))</f>
        <v/>
      </c>
      <c r="K1367" s="28" t="str">
        <f aca="false">IF(I1367="","",IF(J1367="과세",ROUND(I1367*0.1,0),0))</f>
        <v/>
      </c>
      <c r="L1367" s="28" t="str">
        <f aca="false">IF(I1367="","",I1367+K1367)</f>
        <v/>
      </c>
      <c r="M1367" s="10"/>
      <c r="N1367" s="80"/>
      <c r="O1367" s="80"/>
      <c r="P1367" s="59" t="str">
        <f aca="false">IF(E1367="","",IFERROR(INDEX(기본설정!$H$4:$H$14,MATCH(E1367,기본설정!$G$4:$G$14,0)),""))</f>
        <v/>
      </c>
    </row>
    <row r="1368" customFormat="false" ht="15" hidden="false" customHeight="false" outlineLevel="0" collapsed="false">
      <c r="A1368" s="73"/>
      <c r="B1368" s="10"/>
      <c r="C1368" s="80"/>
      <c r="D1368" s="80"/>
      <c r="E1368" s="81" t="str">
        <f aca="false">IF(D1368="","",IFERROR(INDEX(식자재단가!$B$4:$B$203,MATCH(D1368,식자재단가!$C$4:$C$203,0)),""))</f>
        <v/>
      </c>
      <c r="F1368" s="76"/>
      <c r="G1368" s="59" t="str">
        <f aca="false">IF(D1368="","",IFERROR(INDEX(식자재단가!$F$4:$F$203,MATCH(D1368,식자재단가!$C$4:$C$203,0)),""))</f>
        <v/>
      </c>
      <c r="H1368" s="50"/>
      <c r="I1368" s="82" t="str">
        <f aca="false">IF(OR(F1368="",H1368=""),"",F1368*H1368)</f>
        <v/>
      </c>
      <c r="J1368" s="83" t="str">
        <f aca="false">IF(D1368="","",IFERROR(INDEX(식자재단가!$M$4:$M$203,MATCH(D1368,식자재단가!$C$4:$C$203,0)),"과세"))</f>
        <v/>
      </c>
      <c r="K1368" s="28" t="str">
        <f aca="false">IF(I1368="","",IF(J1368="과세",ROUND(I1368*0.1,0),0))</f>
        <v/>
      </c>
      <c r="L1368" s="28" t="str">
        <f aca="false">IF(I1368="","",I1368+K1368)</f>
        <v/>
      </c>
      <c r="M1368" s="10"/>
      <c r="N1368" s="80"/>
      <c r="O1368" s="80"/>
      <c r="P1368" s="59" t="str">
        <f aca="false">IF(E1368="","",IFERROR(INDEX(기본설정!$H$4:$H$14,MATCH(E1368,기본설정!$G$4:$G$14,0)),""))</f>
        <v/>
      </c>
    </row>
    <row r="1369" customFormat="false" ht="15" hidden="false" customHeight="false" outlineLevel="0" collapsed="false">
      <c r="A1369" s="73"/>
      <c r="B1369" s="10"/>
      <c r="C1369" s="80"/>
      <c r="D1369" s="80"/>
      <c r="E1369" s="81" t="str">
        <f aca="false">IF(D1369="","",IFERROR(INDEX(식자재단가!$B$4:$B$203,MATCH(D1369,식자재단가!$C$4:$C$203,0)),""))</f>
        <v/>
      </c>
      <c r="F1369" s="76"/>
      <c r="G1369" s="59" t="str">
        <f aca="false">IF(D1369="","",IFERROR(INDEX(식자재단가!$F$4:$F$203,MATCH(D1369,식자재단가!$C$4:$C$203,0)),""))</f>
        <v/>
      </c>
      <c r="H1369" s="50"/>
      <c r="I1369" s="82" t="str">
        <f aca="false">IF(OR(F1369="",H1369=""),"",F1369*H1369)</f>
        <v/>
      </c>
      <c r="J1369" s="83" t="str">
        <f aca="false">IF(D1369="","",IFERROR(INDEX(식자재단가!$M$4:$M$203,MATCH(D1369,식자재단가!$C$4:$C$203,0)),"과세"))</f>
        <v/>
      </c>
      <c r="K1369" s="28" t="str">
        <f aca="false">IF(I1369="","",IF(J1369="과세",ROUND(I1369*0.1,0),0))</f>
        <v/>
      </c>
      <c r="L1369" s="28" t="str">
        <f aca="false">IF(I1369="","",I1369+K1369)</f>
        <v/>
      </c>
      <c r="M1369" s="10"/>
      <c r="N1369" s="80"/>
      <c r="O1369" s="80"/>
      <c r="P1369" s="59" t="str">
        <f aca="false">IF(E1369="","",IFERROR(INDEX(기본설정!$H$4:$H$14,MATCH(E1369,기본설정!$G$4:$G$14,0)),""))</f>
        <v/>
      </c>
    </row>
    <row r="1370" customFormat="false" ht="15" hidden="false" customHeight="false" outlineLevel="0" collapsed="false">
      <c r="A1370" s="73"/>
      <c r="B1370" s="10"/>
      <c r="C1370" s="80"/>
      <c r="D1370" s="80"/>
      <c r="E1370" s="81" t="str">
        <f aca="false">IF(D1370="","",IFERROR(INDEX(식자재단가!$B$4:$B$203,MATCH(D1370,식자재단가!$C$4:$C$203,0)),""))</f>
        <v/>
      </c>
      <c r="F1370" s="76"/>
      <c r="G1370" s="59" t="str">
        <f aca="false">IF(D1370="","",IFERROR(INDEX(식자재단가!$F$4:$F$203,MATCH(D1370,식자재단가!$C$4:$C$203,0)),""))</f>
        <v/>
      </c>
      <c r="H1370" s="50"/>
      <c r="I1370" s="82" t="str">
        <f aca="false">IF(OR(F1370="",H1370=""),"",F1370*H1370)</f>
        <v/>
      </c>
      <c r="J1370" s="83" t="str">
        <f aca="false">IF(D1370="","",IFERROR(INDEX(식자재단가!$M$4:$M$203,MATCH(D1370,식자재단가!$C$4:$C$203,0)),"과세"))</f>
        <v/>
      </c>
      <c r="K1370" s="28" t="str">
        <f aca="false">IF(I1370="","",IF(J1370="과세",ROUND(I1370*0.1,0),0))</f>
        <v/>
      </c>
      <c r="L1370" s="28" t="str">
        <f aca="false">IF(I1370="","",I1370+K1370)</f>
        <v/>
      </c>
      <c r="M1370" s="10"/>
      <c r="N1370" s="80"/>
      <c r="O1370" s="80"/>
      <c r="P1370" s="59" t="str">
        <f aca="false">IF(E1370="","",IFERROR(INDEX(기본설정!$H$4:$H$14,MATCH(E1370,기본설정!$G$4:$G$14,0)),""))</f>
        <v/>
      </c>
    </row>
    <row r="1371" customFormat="false" ht="15" hidden="false" customHeight="false" outlineLevel="0" collapsed="false">
      <c r="A1371" s="73"/>
      <c r="B1371" s="10"/>
      <c r="C1371" s="80"/>
      <c r="D1371" s="80"/>
      <c r="E1371" s="81" t="str">
        <f aca="false">IF(D1371="","",IFERROR(INDEX(식자재단가!$B$4:$B$203,MATCH(D1371,식자재단가!$C$4:$C$203,0)),""))</f>
        <v/>
      </c>
      <c r="F1371" s="76"/>
      <c r="G1371" s="59" t="str">
        <f aca="false">IF(D1371="","",IFERROR(INDEX(식자재단가!$F$4:$F$203,MATCH(D1371,식자재단가!$C$4:$C$203,0)),""))</f>
        <v/>
      </c>
      <c r="H1371" s="50"/>
      <c r="I1371" s="82" t="str">
        <f aca="false">IF(OR(F1371="",H1371=""),"",F1371*H1371)</f>
        <v/>
      </c>
      <c r="J1371" s="83" t="str">
        <f aca="false">IF(D1371="","",IFERROR(INDEX(식자재단가!$M$4:$M$203,MATCH(D1371,식자재단가!$C$4:$C$203,0)),"과세"))</f>
        <v/>
      </c>
      <c r="K1371" s="28" t="str">
        <f aca="false">IF(I1371="","",IF(J1371="과세",ROUND(I1371*0.1,0),0))</f>
        <v/>
      </c>
      <c r="L1371" s="28" t="str">
        <f aca="false">IF(I1371="","",I1371+K1371)</f>
        <v/>
      </c>
      <c r="M1371" s="10"/>
      <c r="N1371" s="80"/>
      <c r="O1371" s="80"/>
      <c r="P1371" s="59" t="str">
        <f aca="false">IF(E1371="","",IFERROR(INDEX(기본설정!$H$4:$H$14,MATCH(E1371,기본설정!$G$4:$G$14,0)),""))</f>
        <v/>
      </c>
    </row>
    <row r="1372" customFormat="false" ht="15" hidden="false" customHeight="false" outlineLevel="0" collapsed="false">
      <c r="A1372" s="73"/>
      <c r="B1372" s="10"/>
      <c r="C1372" s="80"/>
      <c r="D1372" s="80"/>
      <c r="E1372" s="81" t="str">
        <f aca="false">IF(D1372="","",IFERROR(INDEX(식자재단가!$B$4:$B$203,MATCH(D1372,식자재단가!$C$4:$C$203,0)),""))</f>
        <v/>
      </c>
      <c r="F1372" s="76"/>
      <c r="G1372" s="59" t="str">
        <f aca="false">IF(D1372="","",IFERROR(INDEX(식자재단가!$F$4:$F$203,MATCH(D1372,식자재단가!$C$4:$C$203,0)),""))</f>
        <v/>
      </c>
      <c r="H1372" s="50"/>
      <c r="I1372" s="82" t="str">
        <f aca="false">IF(OR(F1372="",H1372=""),"",F1372*H1372)</f>
        <v/>
      </c>
      <c r="J1372" s="83" t="str">
        <f aca="false">IF(D1372="","",IFERROR(INDEX(식자재단가!$M$4:$M$203,MATCH(D1372,식자재단가!$C$4:$C$203,0)),"과세"))</f>
        <v/>
      </c>
      <c r="K1372" s="28" t="str">
        <f aca="false">IF(I1372="","",IF(J1372="과세",ROUND(I1372*0.1,0),0))</f>
        <v/>
      </c>
      <c r="L1372" s="28" t="str">
        <f aca="false">IF(I1372="","",I1372+K1372)</f>
        <v/>
      </c>
      <c r="M1372" s="10"/>
      <c r="N1372" s="80"/>
      <c r="O1372" s="80"/>
      <c r="P1372" s="59" t="str">
        <f aca="false">IF(E1372="","",IFERROR(INDEX(기본설정!$H$4:$H$14,MATCH(E1372,기본설정!$G$4:$G$14,0)),""))</f>
        <v/>
      </c>
    </row>
    <row r="1373" customFormat="false" ht="15" hidden="false" customHeight="false" outlineLevel="0" collapsed="false">
      <c r="A1373" s="73"/>
      <c r="B1373" s="10"/>
      <c r="C1373" s="80"/>
      <c r="D1373" s="80"/>
      <c r="E1373" s="81" t="str">
        <f aca="false">IF(D1373="","",IFERROR(INDEX(식자재단가!$B$4:$B$203,MATCH(D1373,식자재단가!$C$4:$C$203,0)),""))</f>
        <v/>
      </c>
      <c r="F1373" s="76"/>
      <c r="G1373" s="59" t="str">
        <f aca="false">IF(D1373="","",IFERROR(INDEX(식자재단가!$F$4:$F$203,MATCH(D1373,식자재단가!$C$4:$C$203,0)),""))</f>
        <v/>
      </c>
      <c r="H1373" s="50"/>
      <c r="I1373" s="82" t="str">
        <f aca="false">IF(OR(F1373="",H1373=""),"",F1373*H1373)</f>
        <v/>
      </c>
      <c r="J1373" s="83" t="str">
        <f aca="false">IF(D1373="","",IFERROR(INDEX(식자재단가!$M$4:$M$203,MATCH(D1373,식자재단가!$C$4:$C$203,0)),"과세"))</f>
        <v/>
      </c>
      <c r="K1373" s="28" t="str">
        <f aca="false">IF(I1373="","",IF(J1373="과세",ROUND(I1373*0.1,0),0))</f>
        <v/>
      </c>
      <c r="L1373" s="28" t="str">
        <f aca="false">IF(I1373="","",I1373+K1373)</f>
        <v/>
      </c>
      <c r="M1373" s="10"/>
      <c r="N1373" s="80"/>
      <c r="O1373" s="80"/>
      <c r="P1373" s="59" t="str">
        <f aca="false">IF(E1373="","",IFERROR(INDEX(기본설정!$H$4:$H$14,MATCH(E1373,기본설정!$G$4:$G$14,0)),""))</f>
        <v/>
      </c>
    </row>
    <row r="1374" customFormat="false" ht="15" hidden="false" customHeight="false" outlineLevel="0" collapsed="false">
      <c r="A1374" s="73"/>
      <c r="B1374" s="10"/>
      <c r="C1374" s="80"/>
      <c r="D1374" s="80"/>
      <c r="E1374" s="81" t="str">
        <f aca="false">IF(D1374="","",IFERROR(INDEX(식자재단가!$B$4:$B$203,MATCH(D1374,식자재단가!$C$4:$C$203,0)),""))</f>
        <v/>
      </c>
      <c r="F1374" s="76"/>
      <c r="G1374" s="59" t="str">
        <f aca="false">IF(D1374="","",IFERROR(INDEX(식자재단가!$F$4:$F$203,MATCH(D1374,식자재단가!$C$4:$C$203,0)),""))</f>
        <v/>
      </c>
      <c r="H1374" s="50"/>
      <c r="I1374" s="82" t="str">
        <f aca="false">IF(OR(F1374="",H1374=""),"",F1374*H1374)</f>
        <v/>
      </c>
      <c r="J1374" s="83" t="str">
        <f aca="false">IF(D1374="","",IFERROR(INDEX(식자재단가!$M$4:$M$203,MATCH(D1374,식자재단가!$C$4:$C$203,0)),"과세"))</f>
        <v/>
      </c>
      <c r="K1374" s="28" t="str">
        <f aca="false">IF(I1374="","",IF(J1374="과세",ROUND(I1374*0.1,0),0))</f>
        <v/>
      </c>
      <c r="L1374" s="28" t="str">
        <f aca="false">IF(I1374="","",I1374+K1374)</f>
        <v/>
      </c>
      <c r="M1374" s="10"/>
      <c r="N1374" s="80"/>
      <c r="O1374" s="80"/>
      <c r="P1374" s="59" t="str">
        <f aca="false">IF(E1374="","",IFERROR(INDEX(기본설정!$H$4:$H$14,MATCH(E1374,기본설정!$G$4:$G$14,0)),""))</f>
        <v/>
      </c>
    </row>
    <row r="1375" customFormat="false" ht="15" hidden="false" customHeight="false" outlineLevel="0" collapsed="false">
      <c r="A1375" s="73"/>
      <c r="B1375" s="10"/>
      <c r="C1375" s="80"/>
      <c r="D1375" s="80"/>
      <c r="E1375" s="81" t="str">
        <f aca="false">IF(D1375="","",IFERROR(INDEX(식자재단가!$B$4:$B$203,MATCH(D1375,식자재단가!$C$4:$C$203,0)),""))</f>
        <v/>
      </c>
      <c r="F1375" s="76"/>
      <c r="G1375" s="59" t="str">
        <f aca="false">IF(D1375="","",IFERROR(INDEX(식자재단가!$F$4:$F$203,MATCH(D1375,식자재단가!$C$4:$C$203,0)),""))</f>
        <v/>
      </c>
      <c r="H1375" s="50"/>
      <c r="I1375" s="82" t="str">
        <f aca="false">IF(OR(F1375="",H1375=""),"",F1375*H1375)</f>
        <v/>
      </c>
      <c r="J1375" s="83" t="str">
        <f aca="false">IF(D1375="","",IFERROR(INDEX(식자재단가!$M$4:$M$203,MATCH(D1375,식자재단가!$C$4:$C$203,0)),"과세"))</f>
        <v/>
      </c>
      <c r="K1375" s="28" t="str">
        <f aca="false">IF(I1375="","",IF(J1375="과세",ROUND(I1375*0.1,0),0))</f>
        <v/>
      </c>
      <c r="L1375" s="28" t="str">
        <f aca="false">IF(I1375="","",I1375+K1375)</f>
        <v/>
      </c>
      <c r="M1375" s="10"/>
      <c r="N1375" s="80"/>
      <c r="O1375" s="80"/>
      <c r="P1375" s="59" t="str">
        <f aca="false">IF(E1375="","",IFERROR(INDEX(기본설정!$H$4:$H$14,MATCH(E1375,기본설정!$G$4:$G$14,0)),""))</f>
        <v/>
      </c>
    </row>
    <row r="1376" customFormat="false" ht="15" hidden="false" customHeight="false" outlineLevel="0" collapsed="false">
      <c r="A1376" s="73"/>
      <c r="B1376" s="10"/>
      <c r="C1376" s="80"/>
      <c r="D1376" s="80"/>
      <c r="E1376" s="81" t="str">
        <f aca="false">IF(D1376="","",IFERROR(INDEX(식자재단가!$B$4:$B$203,MATCH(D1376,식자재단가!$C$4:$C$203,0)),""))</f>
        <v/>
      </c>
      <c r="F1376" s="76"/>
      <c r="G1376" s="59" t="str">
        <f aca="false">IF(D1376="","",IFERROR(INDEX(식자재단가!$F$4:$F$203,MATCH(D1376,식자재단가!$C$4:$C$203,0)),""))</f>
        <v/>
      </c>
      <c r="H1376" s="50"/>
      <c r="I1376" s="82" t="str">
        <f aca="false">IF(OR(F1376="",H1376=""),"",F1376*H1376)</f>
        <v/>
      </c>
      <c r="J1376" s="83" t="str">
        <f aca="false">IF(D1376="","",IFERROR(INDEX(식자재단가!$M$4:$M$203,MATCH(D1376,식자재단가!$C$4:$C$203,0)),"과세"))</f>
        <v/>
      </c>
      <c r="K1376" s="28" t="str">
        <f aca="false">IF(I1376="","",IF(J1376="과세",ROUND(I1376*0.1,0),0))</f>
        <v/>
      </c>
      <c r="L1376" s="28" t="str">
        <f aca="false">IF(I1376="","",I1376+K1376)</f>
        <v/>
      </c>
      <c r="M1376" s="10"/>
      <c r="N1376" s="80"/>
      <c r="O1376" s="80"/>
      <c r="P1376" s="59" t="str">
        <f aca="false">IF(E1376="","",IFERROR(INDEX(기본설정!$H$4:$H$14,MATCH(E1376,기본설정!$G$4:$G$14,0)),""))</f>
        <v/>
      </c>
    </row>
    <row r="1377" customFormat="false" ht="15" hidden="false" customHeight="false" outlineLevel="0" collapsed="false">
      <c r="A1377" s="73"/>
      <c r="B1377" s="10"/>
      <c r="C1377" s="80"/>
      <c r="D1377" s="80"/>
      <c r="E1377" s="81" t="str">
        <f aca="false">IF(D1377="","",IFERROR(INDEX(식자재단가!$B$4:$B$203,MATCH(D1377,식자재단가!$C$4:$C$203,0)),""))</f>
        <v/>
      </c>
      <c r="F1377" s="76"/>
      <c r="G1377" s="59" t="str">
        <f aca="false">IF(D1377="","",IFERROR(INDEX(식자재단가!$F$4:$F$203,MATCH(D1377,식자재단가!$C$4:$C$203,0)),""))</f>
        <v/>
      </c>
      <c r="H1377" s="50"/>
      <c r="I1377" s="82" t="str">
        <f aca="false">IF(OR(F1377="",H1377=""),"",F1377*H1377)</f>
        <v/>
      </c>
      <c r="J1377" s="83" t="str">
        <f aca="false">IF(D1377="","",IFERROR(INDEX(식자재단가!$M$4:$M$203,MATCH(D1377,식자재단가!$C$4:$C$203,0)),"과세"))</f>
        <v/>
      </c>
      <c r="K1377" s="28" t="str">
        <f aca="false">IF(I1377="","",IF(J1377="과세",ROUND(I1377*0.1,0),0))</f>
        <v/>
      </c>
      <c r="L1377" s="28" t="str">
        <f aca="false">IF(I1377="","",I1377+K1377)</f>
        <v/>
      </c>
      <c r="M1377" s="10"/>
      <c r="N1377" s="80"/>
      <c r="O1377" s="80"/>
      <c r="P1377" s="59" t="str">
        <f aca="false">IF(E1377="","",IFERROR(INDEX(기본설정!$H$4:$H$14,MATCH(E1377,기본설정!$G$4:$G$14,0)),""))</f>
        <v/>
      </c>
    </row>
    <row r="1378" customFormat="false" ht="15" hidden="false" customHeight="false" outlineLevel="0" collapsed="false">
      <c r="A1378" s="73"/>
      <c r="B1378" s="10"/>
      <c r="C1378" s="80"/>
      <c r="D1378" s="80"/>
      <c r="E1378" s="81" t="str">
        <f aca="false">IF(D1378="","",IFERROR(INDEX(식자재단가!$B$4:$B$203,MATCH(D1378,식자재단가!$C$4:$C$203,0)),""))</f>
        <v/>
      </c>
      <c r="F1378" s="76"/>
      <c r="G1378" s="59" t="str">
        <f aca="false">IF(D1378="","",IFERROR(INDEX(식자재단가!$F$4:$F$203,MATCH(D1378,식자재단가!$C$4:$C$203,0)),""))</f>
        <v/>
      </c>
      <c r="H1378" s="50"/>
      <c r="I1378" s="82" t="str">
        <f aca="false">IF(OR(F1378="",H1378=""),"",F1378*H1378)</f>
        <v/>
      </c>
      <c r="J1378" s="83" t="str">
        <f aca="false">IF(D1378="","",IFERROR(INDEX(식자재단가!$M$4:$M$203,MATCH(D1378,식자재단가!$C$4:$C$203,0)),"과세"))</f>
        <v/>
      </c>
      <c r="K1378" s="28" t="str">
        <f aca="false">IF(I1378="","",IF(J1378="과세",ROUND(I1378*0.1,0),0))</f>
        <v/>
      </c>
      <c r="L1378" s="28" t="str">
        <f aca="false">IF(I1378="","",I1378+K1378)</f>
        <v/>
      </c>
      <c r="M1378" s="10"/>
      <c r="N1378" s="80"/>
      <c r="O1378" s="80"/>
      <c r="P1378" s="59" t="str">
        <f aca="false">IF(E1378="","",IFERROR(INDEX(기본설정!$H$4:$H$14,MATCH(E1378,기본설정!$G$4:$G$14,0)),""))</f>
        <v/>
      </c>
    </row>
    <row r="1379" customFormat="false" ht="15" hidden="false" customHeight="false" outlineLevel="0" collapsed="false">
      <c r="A1379" s="73"/>
      <c r="B1379" s="10"/>
      <c r="C1379" s="80"/>
      <c r="D1379" s="80"/>
      <c r="E1379" s="81" t="str">
        <f aca="false">IF(D1379="","",IFERROR(INDEX(식자재단가!$B$4:$B$203,MATCH(D1379,식자재단가!$C$4:$C$203,0)),""))</f>
        <v/>
      </c>
      <c r="F1379" s="76"/>
      <c r="G1379" s="59" t="str">
        <f aca="false">IF(D1379="","",IFERROR(INDEX(식자재단가!$F$4:$F$203,MATCH(D1379,식자재단가!$C$4:$C$203,0)),""))</f>
        <v/>
      </c>
      <c r="H1379" s="50"/>
      <c r="I1379" s="82" t="str">
        <f aca="false">IF(OR(F1379="",H1379=""),"",F1379*H1379)</f>
        <v/>
      </c>
      <c r="J1379" s="83" t="str">
        <f aca="false">IF(D1379="","",IFERROR(INDEX(식자재단가!$M$4:$M$203,MATCH(D1379,식자재단가!$C$4:$C$203,0)),"과세"))</f>
        <v/>
      </c>
      <c r="K1379" s="28" t="str">
        <f aca="false">IF(I1379="","",IF(J1379="과세",ROUND(I1379*0.1,0),0))</f>
        <v/>
      </c>
      <c r="L1379" s="28" t="str">
        <f aca="false">IF(I1379="","",I1379+K1379)</f>
        <v/>
      </c>
      <c r="M1379" s="10"/>
      <c r="N1379" s="80"/>
      <c r="O1379" s="80"/>
      <c r="P1379" s="59" t="str">
        <f aca="false">IF(E1379="","",IFERROR(INDEX(기본설정!$H$4:$H$14,MATCH(E1379,기본설정!$G$4:$G$14,0)),""))</f>
        <v/>
      </c>
    </row>
    <row r="1380" customFormat="false" ht="15" hidden="false" customHeight="false" outlineLevel="0" collapsed="false">
      <c r="A1380" s="73"/>
      <c r="B1380" s="10"/>
      <c r="C1380" s="80"/>
      <c r="D1380" s="80"/>
      <c r="E1380" s="81" t="str">
        <f aca="false">IF(D1380="","",IFERROR(INDEX(식자재단가!$B$4:$B$203,MATCH(D1380,식자재단가!$C$4:$C$203,0)),""))</f>
        <v/>
      </c>
      <c r="F1380" s="76"/>
      <c r="G1380" s="59" t="str">
        <f aca="false">IF(D1380="","",IFERROR(INDEX(식자재단가!$F$4:$F$203,MATCH(D1380,식자재단가!$C$4:$C$203,0)),""))</f>
        <v/>
      </c>
      <c r="H1380" s="50"/>
      <c r="I1380" s="82" t="str">
        <f aca="false">IF(OR(F1380="",H1380=""),"",F1380*H1380)</f>
        <v/>
      </c>
      <c r="J1380" s="83" t="str">
        <f aca="false">IF(D1380="","",IFERROR(INDEX(식자재단가!$M$4:$M$203,MATCH(D1380,식자재단가!$C$4:$C$203,0)),"과세"))</f>
        <v/>
      </c>
      <c r="K1380" s="28" t="str">
        <f aca="false">IF(I1380="","",IF(J1380="과세",ROUND(I1380*0.1,0),0))</f>
        <v/>
      </c>
      <c r="L1380" s="28" t="str">
        <f aca="false">IF(I1380="","",I1380+K1380)</f>
        <v/>
      </c>
      <c r="M1380" s="10"/>
      <c r="N1380" s="80"/>
      <c r="O1380" s="80"/>
      <c r="P1380" s="59" t="str">
        <f aca="false">IF(E1380="","",IFERROR(INDEX(기본설정!$H$4:$H$14,MATCH(E1380,기본설정!$G$4:$G$14,0)),""))</f>
        <v/>
      </c>
    </row>
    <row r="1381" customFormat="false" ht="15" hidden="false" customHeight="false" outlineLevel="0" collapsed="false">
      <c r="A1381" s="73"/>
      <c r="B1381" s="10"/>
      <c r="C1381" s="80"/>
      <c r="D1381" s="80"/>
      <c r="E1381" s="81" t="str">
        <f aca="false">IF(D1381="","",IFERROR(INDEX(식자재단가!$B$4:$B$203,MATCH(D1381,식자재단가!$C$4:$C$203,0)),""))</f>
        <v/>
      </c>
      <c r="F1381" s="76"/>
      <c r="G1381" s="59" t="str">
        <f aca="false">IF(D1381="","",IFERROR(INDEX(식자재단가!$F$4:$F$203,MATCH(D1381,식자재단가!$C$4:$C$203,0)),""))</f>
        <v/>
      </c>
      <c r="H1381" s="50"/>
      <c r="I1381" s="82" t="str">
        <f aca="false">IF(OR(F1381="",H1381=""),"",F1381*H1381)</f>
        <v/>
      </c>
      <c r="J1381" s="83" t="str">
        <f aca="false">IF(D1381="","",IFERROR(INDEX(식자재단가!$M$4:$M$203,MATCH(D1381,식자재단가!$C$4:$C$203,0)),"과세"))</f>
        <v/>
      </c>
      <c r="K1381" s="28" t="str">
        <f aca="false">IF(I1381="","",IF(J1381="과세",ROUND(I1381*0.1,0),0))</f>
        <v/>
      </c>
      <c r="L1381" s="28" t="str">
        <f aca="false">IF(I1381="","",I1381+K1381)</f>
        <v/>
      </c>
      <c r="M1381" s="10"/>
      <c r="N1381" s="80"/>
      <c r="O1381" s="80"/>
      <c r="P1381" s="59" t="str">
        <f aca="false">IF(E1381="","",IFERROR(INDEX(기본설정!$H$4:$H$14,MATCH(E1381,기본설정!$G$4:$G$14,0)),""))</f>
        <v/>
      </c>
    </row>
    <row r="1382" customFormat="false" ht="15" hidden="false" customHeight="false" outlineLevel="0" collapsed="false">
      <c r="A1382" s="73"/>
      <c r="B1382" s="10"/>
      <c r="C1382" s="80"/>
      <c r="D1382" s="80"/>
      <c r="E1382" s="81" t="str">
        <f aca="false">IF(D1382="","",IFERROR(INDEX(식자재단가!$B$4:$B$203,MATCH(D1382,식자재단가!$C$4:$C$203,0)),""))</f>
        <v/>
      </c>
      <c r="F1382" s="76"/>
      <c r="G1382" s="59" t="str">
        <f aca="false">IF(D1382="","",IFERROR(INDEX(식자재단가!$F$4:$F$203,MATCH(D1382,식자재단가!$C$4:$C$203,0)),""))</f>
        <v/>
      </c>
      <c r="H1382" s="50"/>
      <c r="I1382" s="82" t="str">
        <f aca="false">IF(OR(F1382="",H1382=""),"",F1382*H1382)</f>
        <v/>
      </c>
      <c r="J1382" s="83" t="str">
        <f aca="false">IF(D1382="","",IFERROR(INDEX(식자재단가!$M$4:$M$203,MATCH(D1382,식자재단가!$C$4:$C$203,0)),"과세"))</f>
        <v/>
      </c>
      <c r="K1382" s="28" t="str">
        <f aca="false">IF(I1382="","",IF(J1382="과세",ROUND(I1382*0.1,0),0))</f>
        <v/>
      </c>
      <c r="L1382" s="28" t="str">
        <f aca="false">IF(I1382="","",I1382+K1382)</f>
        <v/>
      </c>
      <c r="M1382" s="10"/>
      <c r="N1382" s="80"/>
      <c r="O1382" s="80"/>
      <c r="P1382" s="59" t="str">
        <f aca="false">IF(E1382="","",IFERROR(INDEX(기본설정!$H$4:$H$14,MATCH(E1382,기본설정!$G$4:$G$14,0)),""))</f>
        <v/>
      </c>
    </row>
    <row r="1383" customFormat="false" ht="15" hidden="false" customHeight="false" outlineLevel="0" collapsed="false">
      <c r="A1383" s="73"/>
      <c r="B1383" s="10"/>
      <c r="C1383" s="80"/>
      <c r="D1383" s="80"/>
      <c r="E1383" s="81" t="str">
        <f aca="false">IF(D1383="","",IFERROR(INDEX(식자재단가!$B$4:$B$203,MATCH(D1383,식자재단가!$C$4:$C$203,0)),""))</f>
        <v/>
      </c>
      <c r="F1383" s="76"/>
      <c r="G1383" s="59" t="str">
        <f aca="false">IF(D1383="","",IFERROR(INDEX(식자재단가!$F$4:$F$203,MATCH(D1383,식자재단가!$C$4:$C$203,0)),""))</f>
        <v/>
      </c>
      <c r="H1383" s="50"/>
      <c r="I1383" s="82" t="str">
        <f aca="false">IF(OR(F1383="",H1383=""),"",F1383*H1383)</f>
        <v/>
      </c>
      <c r="J1383" s="83" t="str">
        <f aca="false">IF(D1383="","",IFERROR(INDEX(식자재단가!$M$4:$M$203,MATCH(D1383,식자재단가!$C$4:$C$203,0)),"과세"))</f>
        <v/>
      </c>
      <c r="K1383" s="28" t="str">
        <f aca="false">IF(I1383="","",IF(J1383="과세",ROUND(I1383*0.1,0),0))</f>
        <v/>
      </c>
      <c r="L1383" s="28" t="str">
        <f aca="false">IF(I1383="","",I1383+K1383)</f>
        <v/>
      </c>
      <c r="M1383" s="10"/>
      <c r="N1383" s="80"/>
      <c r="O1383" s="80"/>
      <c r="P1383" s="59" t="str">
        <f aca="false">IF(E1383="","",IFERROR(INDEX(기본설정!$H$4:$H$14,MATCH(E1383,기본설정!$G$4:$G$14,0)),""))</f>
        <v/>
      </c>
    </row>
    <row r="1384" customFormat="false" ht="15" hidden="false" customHeight="false" outlineLevel="0" collapsed="false">
      <c r="A1384" s="73"/>
      <c r="B1384" s="10"/>
      <c r="C1384" s="80"/>
      <c r="D1384" s="80"/>
      <c r="E1384" s="81" t="str">
        <f aca="false">IF(D1384="","",IFERROR(INDEX(식자재단가!$B$4:$B$203,MATCH(D1384,식자재단가!$C$4:$C$203,0)),""))</f>
        <v/>
      </c>
      <c r="F1384" s="76"/>
      <c r="G1384" s="59" t="str">
        <f aca="false">IF(D1384="","",IFERROR(INDEX(식자재단가!$F$4:$F$203,MATCH(D1384,식자재단가!$C$4:$C$203,0)),""))</f>
        <v/>
      </c>
      <c r="H1384" s="50"/>
      <c r="I1384" s="82" t="str">
        <f aca="false">IF(OR(F1384="",H1384=""),"",F1384*H1384)</f>
        <v/>
      </c>
      <c r="J1384" s="83" t="str">
        <f aca="false">IF(D1384="","",IFERROR(INDEX(식자재단가!$M$4:$M$203,MATCH(D1384,식자재단가!$C$4:$C$203,0)),"과세"))</f>
        <v/>
      </c>
      <c r="K1384" s="28" t="str">
        <f aca="false">IF(I1384="","",IF(J1384="과세",ROUND(I1384*0.1,0),0))</f>
        <v/>
      </c>
      <c r="L1384" s="28" t="str">
        <f aca="false">IF(I1384="","",I1384+K1384)</f>
        <v/>
      </c>
      <c r="M1384" s="10"/>
      <c r="N1384" s="80"/>
      <c r="O1384" s="80"/>
      <c r="P1384" s="59" t="str">
        <f aca="false">IF(E1384="","",IFERROR(INDEX(기본설정!$H$4:$H$14,MATCH(E1384,기본설정!$G$4:$G$14,0)),""))</f>
        <v/>
      </c>
    </row>
    <row r="1385" customFormat="false" ht="15" hidden="false" customHeight="false" outlineLevel="0" collapsed="false">
      <c r="A1385" s="73"/>
      <c r="B1385" s="10"/>
      <c r="C1385" s="80"/>
      <c r="D1385" s="80"/>
      <c r="E1385" s="81" t="str">
        <f aca="false">IF(D1385="","",IFERROR(INDEX(식자재단가!$B$4:$B$203,MATCH(D1385,식자재단가!$C$4:$C$203,0)),""))</f>
        <v/>
      </c>
      <c r="F1385" s="76"/>
      <c r="G1385" s="59" t="str">
        <f aca="false">IF(D1385="","",IFERROR(INDEX(식자재단가!$F$4:$F$203,MATCH(D1385,식자재단가!$C$4:$C$203,0)),""))</f>
        <v/>
      </c>
      <c r="H1385" s="50"/>
      <c r="I1385" s="82" t="str">
        <f aca="false">IF(OR(F1385="",H1385=""),"",F1385*H1385)</f>
        <v/>
      </c>
      <c r="J1385" s="83" t="str">
        <f aca="false">IF(D1385="","",IFERROR(INDEX(식자재단가!$M$4:$M$203,MATCH(D1385,식자재단가!$C$4:$C$203,0)),"과세"))</f>
        <v/>
      </c>
      <c r="K1385" s="28" t="str">
        <f aca="false">IF(I1385="","",IF(J1385="과세",ROUND(I1385*0.1,0),0))</f>
        <v/>
      </c>
      <c r="L1385" s="28" t="str">
        <f aca="false">IF(I1385="","",I1385+K1385)</f>
        <v/>
      </c>
      <c r="M1385" s="10"/>
      <c r="N1385" s="80"/>
      <c r="O1385" s="80"/>
      <c r="P1385" s="59" t="str">
        <f aca="false">IF(E1385="","",IFERROR(INDEX(기본설정!$H$4:$H$14,MATCH(E1385,기본설정!$G$4:$G$14,0)),""))</f>
        <v/>
      </c>
    </row>
    <row r="1386" customFormat="false" ht="15" hidden="false" customHeight="false" outlineLevel="0" collapsed="false">
      <c r="A1386" s="73"/>
      <c r="B1386" s="10"/>
      <c r="C1386" s="80"/>
      <c r="D1386" s="80"/>
      <c r="E1386" s="81" t="str">
        <f aca="false">IF(D1386="","",IFERROR(INDEX(식자재단가!$B$4:$B$203,MATCH(D1386,식자재단가!$C$4:$C$203,0)),""))</f>
        <v/>
      </c>
      <c r="F1386" s="76"/>
      <c r="G1386" s="59" t="str">
        <f aca="false">IF(D1386="","",IFERROR(INDEX(식자재단가!$F$4:$F$203,MATCH(D1386,식자재단가!$C$4:$C$203,0)),""))</f>
        <v/>
      </c>
      <c r="H1386" s="50"/>
      <c r="I1386" s="82" t="str">
        <f aca="false">IF(OR(F1386="",H1386=""),"",F1386*H1386)</f>
        <v/>
      </c>
      <c r="J1386" s="83" t="str">
        <f aca="false">IF(D1386="","",IFERROR(INDEX(식자재단가!$M$4:$M$203,MATCH(D1386,식자재단가!$C$4:$C$203,0)),"과세"))</f>
        <v/>
      </c>
      <c r="K1386" s="28" t="str">
        <f aca="false">IF(I1386="","",IF(J1386="과세",ROUND(I1386*0.1,0),0))</f>
        <v/>
      </c>
      <c r="L1386" s="28" t="str">
        <f aca="false">IF(I1386="","",I1386+K1386)</f>
        <v/>
      </c>
      <c r="M1386" s="10"/>
      <c r="N1386" s="80"/>
      <c r="O1386" s="80"/>
      <c r="P1386" s="59" t="str">
        <f aca="false">IF(E1386="","",IFERROR(INDEX(기본설정!$H$4:$H$14,MATCH(E1386,기본설정!$G$4:$G$14,0)),""))</f>
        <v/>
      </c>
    </row>
    <row r="1387" customFormat="false" ht="15" hidden="false" customHeight="false" outlineLevel="0" collapsed="false">
      <c r="A1387" s="73"/>
      <c r="B1387" s="10"/>
      <c r="C1387" s="80"/>
      <c r="D1387" s="80"/>
      <c r="E1387" s="81" t="str">
        <f aca="false">IF(D1387="","",IFERROR(INDEX(식자재단가!$B$4:$B$203,MATCH(D1387,식자재단가!$C$4:$C$203,0)),""))</f>
        <v/>
      </c>
      <c r="F1387" s="76"/>
      <c r="G1387" s="59" t="str">
        <f aca="false">IF(D1387="","",IFERROR(INDEX(식자재단가!$F$4:$F$203,MATCH(D1387,식자재단가!$C$4:$C$203,0)),""))</f>
        <v/>
      </c>
      <c r="H1387" s="50"/>
      <c r="I1387" s="82" t="str">
        <f aca="false">IF(OR(F1387="",H1387=""),"",F1387*H1387)</f>
        <v/>
      </c>
      <c r="J1387" s="83" t="str">
        <f aca="false">IF(D1387="","",IFERROR(INDEX(식자재단가!$M$4:$M$203,MATCH(D1387,식자재단가!$C$4:$C$203,0)),"과세"))</f>
        <v/>
      </c>
      <c r="K1387" s="28" t="str">
        <f aca="false">IF(I1387="","",IF(J1387="과세",ROUND(I1387*0.1,0),0))</f>
        <v/>
      </c>
      <c r="L1387" s="28" t="str">
        <f aca="false">IF(I1387="","",I1387+K1387)</f>
        <v/>
      </c>
      <c r="M1387" s="10"/>
      <c r="N1387" s="80"/>
      <c r="O1387" s="80"/>
      <c r="P1387" s="59" t="str">
        <f aca="false">IF(E1387="","",IFERROR(INDEX(기본설정!$H$4:$H$14,MATCH(E1387,기본설정!$G$4:$G$14,0)),""))</f>
        <v/>
      </c>
    </row>
    <row r="1388" customFormat="false" ht="15" hidden="false" customHeight="false" outlineLevel="0" collapsed="false">
      <c r="A1388" s="73"/>
      <c r="B1388" s="10"/>
      <c r="C1388" s="80"/>
      <c r="D1388" s="80"/>
      <c r="E1388" s="81" t="str">
        <f aca="false">IF(D1388="","",IFERROR(INDEX(식자재단가!$B$4:$B$203,MATCH(D1388,식자재단가!$C$4:$C$203,0)),""))</f>
        <v/>
      </c>
      <c r="F1388" s="76"/>
      <c r="G1388" s="59" t="str">
        <f aca="false">IF(D1388="","",IFERROR(INDEX(식자재단가!$F$4:$F$203,MATCH(D1388,식자재단가!$C$4:$C$203,0)),""))</f>
        <v/>
      </c>
      <c r="H1388" s="50"/>
      <c r="I1388" s="82" t="str">
        <f aca="false">IF(OR(F1388="",H1388=""),"",F1388*H1388)</f>
        <v/>
      </c>
      <c r="J1388" s="83" t="str">
        <f aca="false">IF(D1388="","",IFERROR(INDEX(식자재단가!$M$4:$M$203,MATCH(D1388,식자재단가!$C$4:$C$203,0)),"과세"))</f>
        <v/>
      </c>
      <c r="K1388" s="28" t="str">
        <f aca="false">IF(I1388="","",IF(J1388="과세",ROUND(I1388*0.1,0),0))</f>
        <v/>
      </c>
      <c r="L1388" s="28" t="str">
        <f aca="false">IF(I1388="","",I1388+K1388)</f>
        <v/>
      </c>
      <c r="M1388" s="10"/>
      <c r="N1388" s="80"/>
      <c r="O1388" s="80"/>
      <c r="P1388" s="59" t="str">
        <f aca="false">IF(E1388="","",IFERROR(INDEX(기본설정!$H$4:$H$14,MATCH(E1388,기본설정!$G$4:$G$14,0)),""))</f>
        <v/>
      </c>
    </row>
    <row r="1389" customFormat="false" ht="15" hidden="false" customHeight="false" outlineLevel="0" collapsed="false">
      <c r="A1389" s="73"/>
      <c r="B1389" s="10"/>
      <c r="C1389" s="80"/>
      <c r="D1389" s="80"/>
      <c r="E1389" s="81" t="str">
        <f aca="false">IF(D1389="","",IFERROR(INDEX(식자재단가!$B$4:$B$203,MATCH(D1389,식자재단가!$C$4:$C$203,0)),""))</f>
        <v/>
      </c>
      <c r="F1389" s="76"/>
      <c r="G1389" s="59" t="str">
        <f aca="false">IF(D1389="","",IFERROR(INDEX(식자재단가!$F$4:$F$203,MATCH(D1389,식자재단가!$C$4:$C$203,0)),""))</f>
        <v/>
      </c>
      <c r="H1389" s="50"/>
      <c r="I1389" s="82" t="str">
        <f aca="false">IF(OR(F1389="",H1389=""),"",F1389*H1389)</f>
        <v/>
      </c>
      <c r="J1389" s="83" t="str">
        <f aca="false">IF(D1389="","",IFERROR(INDEX(식자재단가!$M$4:$M$203,MATCH(D1389,식자재단가!$C$4:$C$203,0)),"과세"))</f>
        <v/>
      </c>
      <c r="K1389" s="28" t="str">
        <f aca="false">IF(I1389="","",IF(J1389="과세",ROUND(I1389*0.1,0),0))</f>
        <v/>
      </c>
      <c r="L1389" s="28" t="str">
        <f aca="false">IF(I1389="","",I1389+K1389)</f>
        <v/>
      </c>
      <c r="M1389" s="10"/>
      <c r="N1389" s="80"/>
      <c r="O1389" s="80"/>
      <c r="P1389" s="59" t="str">
        <f aca="false">IF(E1389="","",IFERROR(INDEX(기본설정!$H$4:$H$14,MATCH(E1389,기본설정!$G$4:$G$14,0)),""))</f>
        <v/>
      </c>
    </row>
    <row r="1390" customFormat="false" ht="15" hidden="false" customHeight="false" outlineLevel="0" collapsed="false">
      <c r="A1390" s="73"/>
      <c r="B1390" s="10"/>
      <c r="C1390" s="80"/>
      <c r="D1390" s="80"/>
      <c r="E1390" s="81" t="str">
        <f aca="false">IF(D1390="","",IFERROR(INDEX(식자재단가!$B$4:$B$203,MATCH(D1390,식자재단가!$C$4:$C$203,0)),""))</f>
        <v/>
      </c>
      <c r="F1390" s="76"/>
      <c r="G1390" s="59" t="str">
        <f aca="false">IF(D1390="","",IFERROR(INDEX(식자재단가!$F$4:$F$203,MATCH(D1390,식자재단가!$C$4:$C$203,0)),""))</f>
        <v/>
      </c>
      <c r="H1390" s="50"/>
      <c r="I1390" s="82" t="str">
        <f aca="false">IF(OR(F1390="",H1390=""),"",F1390*H1390)</f>
        <v/>
      </c>
      <c r="J1390" s="83" t="str">
        <f aca="false">IF(D1390="","",IFERROR(INDEX(식자재단가!$M$4:$M$203,MATCH(D1390,식자재단가!$C$4:$C$203,0)),"과세"))</f>
        <v/>
      </c>
      <c r="K1390" s="28" t="str">
        <f aca="false">IF(I1390="","",IF(J1390="과세",ROUND(I1390*0.1,0),0))</f>
        <v/>
      </c>
      <c r="L1390" s="28" t="str">
        <f aca="false">IF(I1390="","",I1390+K1390)</f>
        <v/>
      </c>
      <c r="M1390" s="10"/>
      <c r="N1390" s="80"/>
      <c r="O1390" s="80"/>
      <c r="P1390" s="59" t="str">
        <f aca="false">IF(E1390="","",IFERROR(INDEX(기본설정!$H$4:$H$14,MATCH(E1390,기본설정!$G$4:$G$14,0)),""))</f>
        <v/>
      </c>
    </row>
    <row r="1391" customFormat="false" ht="15" hidden="false" customHeight="false" outlineLevel="0" collapsed="false">
      <c r="A1391" s="73"/>
      <c r="B1391" s="10"/>
      <c r="C1391" s="80"/>
      <c r="D1391" s="80"/>
      <c r="E1391" s="81" t="str">
        <f aca="false">IF(D1391="","",IFERROR(INDEX(식자재단가!$B$4:$B$203,MATCH(D1391,식자재단가!$C$4:$C$203,0)),""))</f>
        <v/>
      </c>
      <c r="F1391" s="76"/>
      <c r="G1391" s="59" t="str">
        <f aca="false">IF(D1391="","",IFERROR(INDEX(식자재단가!$F$4:$F$203,MATCH(D1391,식자재단가!$C$4:$C$203,0)),""))</f>
        <v/>
      </c>
      <c r="H1391" s="50"/>
      <c r="I1391" s="82" t="str">
        <f aca="false">IF(OR(F1391="",H1391=""),"",F1391*H1391)</f>
        <v/>
      </c>
      <c r="J1391" s="83" t="str">
        <f aca="false">IF(D1391="","",IFERROR(INDEX(식자재단가!$M$4:$M$203,MATCH(D1391,식자재단가!$C$4:$C$203,0)),"과세"))</f>
        <v/>
      </c>
      <c r="K1391" s="28" t="str">
        <f aca="false">IF(I1391="","",IF(J1391="과세",ROUND(I1391*0.1,0),0))</f>
        <v/>
      </c>
      <c r="L1391" s="28" t="str">
        <f aca="false">IF(I1391="","",I1391+K1391)</f>
        <v/>
      </c>
      <c r="M1391" s="10"/>
      <c r="N1391" s="80"/>
      <c r="O1391" s="80"/>
      <c r="P1391" s="59" t="str">
        <f aca="false">IF(E1391="","",IFERROR(INDEX(기본설정!$H$4:$H$14,MATCH(E1391,기본설정!$G$4:$G$14,0)),""))</f>
        <v/>
      </c>
    </row>
    <row r="1392" customFormat="false" ht="15" hidden="false" customHeight="false" outlineLevel="0" collapsed="false">
      <c r="A1392" s="73"/>
      <c r="B1392" s="10"/>
      <c r="C1392" s="80"/>
      <c r="D1392" s="80"/>
      <c r="E1392" s="81" t="str">
        <f aca="false">IF(D1392="","",IFERROR(INDEX(식자재단가!$B$4:$B$203,MATCH(D1392,식자재단가!$C$4:$C$203,0)),""))</f>
        <v/>
      </c>
      <c r="F1392" s="76"/>
      <c r="G1392" s="59" t="str">
        <f aca="false">IF(D1392="","",IFERROR(INDEX(식자재단가!$F$4:$F$203,MATCH(D1392,식자재단가!$C$4:$C$203,0)),""))</f>
        <v/>
      </c>
      <c r="H1392" s="50"/>
      <c r="I1392" s="82" t="str">
        <f aca="false">IF(OR(F1392="",H1392=""),"",F1392*H1392)</f>
        <v/>
      </c>
      <c r="J1392" s="83" t="str">
        <f aca="false">IF(D1392="","",IFERROR(INDEX(식자재단가!$M$4:$M$203,MATCH(D1392,식자재단가!$C$4:$C$203,0)),"과세"))</f>
        <v/>
      </c>
      <c r="K1392" s="28" t="str">
        <f aca="false">IF(I1392="","",IF(J1392="과세",ROUND(I1392*0.1,0),0))</f>
        <v/>
      </c>
      <c r="L1392" s="28" t="str">
        <f aca="false">IF(I1392="","",I1392+K1392)</f>
        <v/>
      </c>
      <c r="M1392" s="10"/>
      <c r="N1392" s="80"/>
      <c r="O1392" s="80"/>
      <c r="P1392" s="59" t="str">
        <f aca="false">IF(E1392="","",IFERROR(INDEX(기본설정!$H$4:$H$14,MATCH(E1392,기본설정!$G$4:$G$14,0)),""))</f>
        <v/>
      </c>
    </row>
    <row r="1393" customFormat="false" ht="15" hidden="false" customHeight="false" outlineLevel="0" collapsed="false">
      <c r="A1393" s="73"/>
      <c r="B1393" s="10"/>
      <c r="C1393" s="80"/>
      <c r="D1393" s="80"/>
      <c r="E1393" s="81" t="str">
        <f aca="false">IF(D1393="","",IFERROR(INDEX(식자재단가!$B$4:$B$203,MATCH(D1393,식자재단가!$C$4:$C$203,0)),""))</f>
        <v/>
      </c>
      <c r="F1393" s="76"/>
      <c r="G1393" s="59" t="str">
        <f aca="false">IF(D1393="","",IFERROR(INDEX(식자재단가!$F$4:$F$203,MATCH(D1393,식자재단가!$C$4:$C$203,0)),""))</f>
        <v/>
      </c>
      <c r="H1393" s="50"/>
      <c r="I1393" s="82" t="str">
        <f aca="false">IF(OR(F1393="",H1393=""),"",F1393*H1393)</f>
        <v/>
      </c>
      <c r="J1393" s="83" t="str">
        <f aca="false">IF(D1393="","",IFERROR(INDEX(식자재단가!$M$4:$M$203,MATCH(D1393,식자재단가!$C$4:$C$203,0)),"과세"))</f>
        <v/>
      </c>
      <c r="K1393" s="28" t="str">
        <f aca="false">IF(I1393="","",IF(J1393="과세",ROUND(I1393*0.1,0),0))</f>
        <v/>
      </c>
      <c r="L1393" s="28" t="str">
        <f aca="false">IF(I1393="","",I1393+K1393)</f>
        <v/>
      </c>
      <c r="M1393" s="10"/>
      <c r="N1393" s="80"/>
      <c r="O1393" s="80"/>
      <c r="P1393" s="59" t="str">
        <f aca="false">IF(E1393="","",IFERROR(INDEX(기본설정!$H$4:$H$14,MATCH(E1393,기본설정!$G$4:$G$14,0)),""))</f>
        <v/>
      </c>
    </row>
    <row r="1394" customFormat="false" ht="15" hidden="false" customHeight="false" outlineLevel="0" collapsed="false">
      <c r="A1394" s="73"/>
      <c r="B1394" s="10"/>
      <c r="C1394" s="80"/>
      <c r="D1394" s="80"/>
      <c r="E1394" s="81" t="str">
        <f aca="false">IF(D1394="","",IFERROR(INDEX(식자재단가!$B$4:$B$203,MATCH(D1394,식자재단가!$C$4:$C$203,0)),""))</f>
        <v/>
      </c>
      <c r="F1394" s="76"/>
      <c r="G1394" s="59" t="str">
        <f aca="false">IF(D1394="","",IFERROR(INDEX(식자재단가!$F$4:$F$203,MATCH(D1394,식자재단가!$C$4:$C$203,0)),""))</f>
        <v/>
      </c>
      <c r="H1394" s="50"/>
      <c r="I1394" s="82" t="str">
        <f aca="false">IF(OR(F1394="",H1394=""),"",F1394*H1394)</f>
        <v/>
      </c>
      <c r="J1394" s="83" t="str">
        <f aca="false">IF(D1394="","",IFERROR(INDEX(식자재단가!$M$4:$M$203,MATCH(D1394,식자재단가!$C$4:$C$203,0)),"과세"))</f>
        <v/>
      </c>
      <c r="K1394" s="28" t="str">
        <f aca="false">IF(I1394="","",IF(J1394="과세",ROUND(I1394*0.1,0),0))</f>
        <v/>
      </c>
      <c r="L1394" s="28" t="str">
        <f aca="false">IF(I1394="","",I1394+K1394)</f>
        <v/>
      </c>
      <c r="M1394" s="10"/>
      <c r="N1394" s="80"/>
      <c r="O1394" s="80"/>
      <c r="P1394" s="59" t="str">
        <f aca="false">IF(E1394="","",IFERROR(INDEX(기본설정!$H$4:$H$14,MATCH(E1394,기본설정!$G$4:$G$14,0)),""))</f>
        <v/>
      </c>
    </row>
    <row r="1395" customFormat="false" ht="15" hidden="false" customHeight="false" outlineLevel="0" collapsed="false">
      <c r="A1395" s="73"/>
      <c r="B1395" s="10"/>
      <c r="C1395" s="80"/>
      <c r="D1395" s="80"/>
      <c r="E1395" s="81" t="str">
        <f aca="false">IF(D1395="","",IFERROR(INDEX(식자재단가!$B$4:$B$203,MATCH(D1395,식자재단가!$C$4:$C$203,0)),""))</f>
        <v/>
      </c>
      <c r="F1395" s="76"/>
      <c r="G1395" s="59" t="str">
        <f aca="false">IF(D1395="","",IFERROR(INDEX(식자재단가!$F$4:$F$203,MATCH(D1395,식자재단가!$C$4:$C$203,0)),""))</f>
        <v/>
      </c>
      <c r="H1395" s="50"/>
      <c r="I1395" s="82" t="str">
        <f aca="false">IF(OR(F1395="",H1395=""),"",F1395*H1395)</f>
        <v/>
      </c>
      <c r="J1395" s="83" t="str">
        <f aca="false">IF(D1395="","",IFERROR(INDEX(식자재단가!$M$4:$M$203,MATCH(D1395,식자재단가!$C$4:$C$203,0)),"과세"))</f>
        <v/>
      </c>
      <c r="K1395" s="28" t="str">
        <f aca="false">IF(I1395="","",IF(J1395="과세",ROUND(I1395*0.1,0),0))</f>
        <v/>
      </c>
      <c r="L1395" s="28" t="str">
        <f aca="false">IF(I1395="","",I1395+K1395)</f>
        <v/>
      </c>
      <c r="M1395" s="10"/>
      <c r="N1395" s="80"/>
      <c r="O1395" s="80"/>
      <c r="P1395" s="59" t="str">
        <f aca="false">IF(E1395="","",IFERROR(INDEX(기본설정!$H$4:$H$14,MATCH(E1395,기본설정!$G$4:$G$14,0)),""))</f>
        <v/>
      </c>
    </row>
    <row r="1396" customFormat="false" ht="15" hidden="false" customHeight="false" outlineLevel="0" collapsed="false">
      <c r="A1396" s="73"/>
      <c r="B1396" s="10"/>
      <c r="C1396" s="80"/>
      <c r="D1396" s="80"/>
      <c r="E1396" s="81" t="str">
        <f aca="false">IF(D1396="","",IFERROR(INDEX(식자재단가!$B$4:$B$203,MATCH(D1396,식자재단가!$C$4:$C$203,0)),""))</f>
        <v/>
      </c>
      <c r="F1396" s="76"/>
      <c r="G1396" s="59" t="str">
        <f aca="false">IF(D1396="","",IFERROR(INDEX(식자재단가!$F$4:$F$203,MATCH(D1396,식자재단가!$C$4:$C$203,0)),""))</f>
        <v/>
      </c>
      <c r="H1396" s="50"/>
      <c r="I1396" s="82" t="str">
        <f aca="false">IF(OR(F1396="",H1396=""),"",F1396*H1396)</f>
        <v/>
      </c>
      <c r="J1396" s="83" t="str">
        <f aca="false">IF(D1396="","",IFERROR(INDEX(식자재단가!$M$4:$M$203,MATCH(D1396,식자재단가!$C$4:$C$203,0)),"과세"))</f>
        <v/>
      </c>
      <c r="K1396" s="28" t="str">
        <f aca="false">IF(I1396="","",IF(J1396="과세",ROUND(I1396*0.1,0),0))</f>
        <v/>
      </c>
      <c r="L1396" s="28" t="str">
        <f aca="false">IF(I1396="","",I1396+K1396)</f>
        <v/>
      </c>
      <c r="M1396" s="10"/>
      <c r="N1396" s="80"/>
      <c r="O1396" s="80"/>
      <c r="P1396" s="59" t="str">
        <f aca="false">IF(E1396="","",IFERROR(INDEX(기본설정!$H$4:$H$14,MATCH(E1396,기본설정!$G$4:$G$14,0)),""))</f>
        <v/>
      </c>
    </row>
    <row r="1397" customFormat="false" ht="15" hidden="false" customHeight="false" outlineLevel="0" collapsed="false">
      <c r="A1397" s="73"/>
      <c r="B1397" s="10"/>
      <c r="C1397" s="80"/>
      <c r="D1397" s="80"/>
      <c r="E1397" s="81" t="str">
        <f aca="false">IF(D1397="","",IFERROR(INDEX(식자재단가!$B$4:$B$203,MATCH(D1397,식자재단가!$C$4:$C$203,0)),""))</f>
        <v/>
      </c>
      <c r="F1397" s="76"/>
      <c r="G1397" s="59" t="str">
        <f aca="false">IF(D1397="","",IFERROR(INDEX(식자재단가!$F$4:$F$203,MATCH(D1397,식자재단가!$C$4:$C$203,0)),""))</f>
        <v/>
      </c>
      <c r="H1397" s="50"/>
      <c r="I1397" s="82" t="str">
        <f aca="false">IF(OR(F1397="",H1397=""),"",F1397*H1397)</f>
        <v/>
      </c>
      <c r="J1397" s="83" t="str">
        <f aca="false">IF(D1397="","",IFERROR(INDEX(식자재단가!$M$4:$M$203,MATCH(D1397,식자재단가!$C$4:$C$203,0)),"과세"))</f>
        <v/>
      </c>
      <c r="K1397" s="28" t="str">
        <f aca="false">IF(I1397="","",IF(J1397="과세",ROUND(I1397*0.1,0),0))</f>
        <v/>
      </c>
      <c r="L1397" s="28" t="str">
        <f aca="false">IF(I1397="","",I1397+K1397)</f>
        <v/>
      </c>
      <c r="M1397" s="10"/>
      <c r="N1397" s="80"/>
      <c r="O1397" s="80"/>
      <c r="P1397" s="59" t="str">
        <f aca="false">IF(E1397="","",IFERROR(INDEX(기본설정!$H$4:$H$14,MATCH(E1397,기본설정!$G$4:$G$14,0)),""))</f>
        <v/>
      </c>
    </row>
    <row r="1398" customFormat="false" ht="15" hidden="false" customHeight="false" outlineLevel="0" collapsed="false">
      <c r="A1398" s="73"/>
      <c r="B1398" s="10"/>
      <c r="C1398" s="80"/>
      <c r="D1398" s="80"/>
      <c r="E1398" s="81" t="str">
        <f aca="false">IF(D1398="","",IFERROR(INDEX(식자재단가!$B$4:$B$203,MATCH(D1398,식자재단가!$C$4:$C$203,0)),""))</f>
        <v/>
      </c>
      <c r="F1398" s="76"/>
      <c r="G1398" s="59" t="str">
        <f aca="false">IF(D1398="","",IFERROR(INDEX(식자재단가!$F$4:$F$203,MATCH(D1398,식자재단가!$C$4:$C$203,0)),""))</f>
        <v/>
      </c>
      <c r="H1398" s="50"/>
      <c r="I1398" s="82" t="str">
        <f aca="false">IF(OR(F1398="",H1398=""),"",F1398*H1398)</f>
        <v/>
      </c>
      <c r="J1398" s="83" t="str">
        <f aca="false">IF(D1398="","",IFERROR(INDEX(식자재단가!$M$4:$M$203,MATCH(D1398,식자재단가!$C$4:$C$203,0)),"과세"))</f>
        <v/>
      </c>
      <c r="K1398" s="28" t="str">
        <f aca="false">IF(I1398="","",IF(J1398="과세",ROUND(I1398*0.1,0),0))</f>
        <v/>
      </c>
      <c r="L1398" s="28" t="str">
        <f aca="false">IF(I1398="","",I1398+K1398)</f>
        <v/>
      </c>
      <c r="M1398" s="10"/>
      <c r="N1398" s="80"/>
      <c r="O1398" s="80"/>
      <c r="P1398" s="59" t="str">
        <f aca="false">IF(E1398="","",IFERROR(INDEX(기본설정!$H$4:$H$14,MATCH(E1398,기본설정!$G$4:$G$14,0)),""))</f>
        <v/>
      </c>
    </row>
    <row r="1399" customFormat="false" ht="15" hidden="false" customHeight="false" outlineLevel="0" collapsed="false">
      <c r="A1399" s="73"/>
      <c r="B1399" s="10"/>
      <c r="C1399" s="80"/>
      <c r="D1399" s="80"/>
      <c r="E1399" s="81" t="str">
        <f aca="false">IF(D1399="","",IFERROR(INDEX(식자재단가!$B$4:$B$203,MATCH(D1399,식자재단가!$C$4:$C$203,0)),""))</f>
        <v/>
      </c>
      <c r="F1399" s="76"/>
      <c r="G1399" s="59" t="str">
        <f aca="false">IF(D1399="","",IFERROR(INDEX(식자재단가!$F$4:$F$203,MATCH(D1399,식자재단가!$C$4:$C$203,0)),""))</f>
        <v/>
      </c>
      <c r="H1399" s="50"/>
      <c r="I1399" s="82" t="str">
        <f aca="false">IF(OR(F1399="",H1399=""),"",F1399*H1399)</f>
        <v/>
      </c>
      <c r="J1399" s="83" t="str">
        <f aca="false">IF(D1399="","",IFERROR(INDEX(식자재단가!$M$4:$M$203,MATCH(D1399,식자재단가!$C$4:$C$203,0)),"과세"))</f>
        <v/>
      </c>
      <c r="K1399" s="28" t="str">
        <f aca="false">IF(I1399="","",IF(J1399="과세",ROUND(I1399*0.1,0),0))</f>
        <v/>
      </c>
      <c r="L1399" s="28" t="str">
        <f aca="false">IF(I1399="","",I1399+K1399)</f>
        <v/>
      </c>
      <c r="M1399" s="10"/>
      <c r="N1399" s="80"/>
      <c r="O1399" s="80"/>
      <c r="P1399" s="59" t="str">
        <f aca="false">IF(E1399="","",IFERROR(INDEX(기본설정!$H$4:$H$14,MATCH(E1399,기본설정!$G$4:$G$14,0)),""))</f>
        <v/>
      </c>
    </row>
    <row r="1400" customFormat="false" ht="15" hidden="false" customHeight="false" outlineLevel="0" collapsed="false">
      <c r="A1400" s="73"/>
      <c r="B1400" s="10"/>
      <c r="C1400" s="80"/>
      <c r="D1400" s="80"/>
      <c r="E1400" s="81" t="str">
        <f aca="false">IF(D1400="","",IFERROR(INDEX(식자재단가!$B$4:$B$203,MATCH(D1400,식자재단가!$C$4:$C$203,0)),""))</f>
        <v/>
      </c>
      <c r="F1400" s="76"/>
      <c r="G1400" s="59" t="str">
        <f aca="false">IF(D1400="","",IFERROR(INDEX(식자재단가!$F$4:$F$203,MATCH(D1400,식자재단가!$C$4:$C$203,0)),""))</f>
        <v/>
      </c>
      <c r="H1400" s="50"/>
      <c r="I1400" s="82" t="str">
        <f aca="false">IF(OR(F1400="",H1400=""),"",F1400*H1400)</f>
        <v/>
      </c>
      <c r="J1400" s="83" t="str">
        <f aca="false">IF(D1400="","",IFERROR(INDEX(식자재단가!$M$4:$M$203,MATCH(D1400,식자재단가!$C$4:$C$203,0)),"과세"))</f>
        <v/>
      </c>
      <c r="K1400" s="28" t="str">
        <f aca="false">IF(I1400="","",IF(J1400="과세",ROUND(I1400*0.1,0),0))</f>
        <v/>
      </c>
      <c r="L1400" s="28" t="str">
        <f aca="false">IF(I1400="","",I1400+K1400)</f>
        <v/>
      </c>
      <c r="M1400" s="10"/>
      <c r="N1400" s="80"/>
      <c r="O1400" s="80"/>
      <c r="P1400" s="59" t="str">
        <f aca="false">IF(E1400="","",IFERROR(INDEX(기본설정!$H$4:$H$14,MATCH(E1400,기본설정!$G$4:$G$14,0)),""))</f>
        <v/>
      </c>
    </row>
    <row r="1401" customFormat="false" ht="15" hidden="false" customHeight="false" outlineLevel="0" collapsed="false">
      <c r="A1401" s="73"/>
      <c r="B1401" s="10"/>
      <c r="C1401" s="80"/>
      <c r="D1401" s="80"/>
      <c r="E1401" s="81" t="str">
        <f aca="false">IF(D1401="","",IFERROR(INDEX(식자재단가!$B$4:$B$203,MATCH(D1401,식자재단가!$C$4:$C$203,0)),""))</f>
        <v/>
      </c>
      <c r="F1401" s="76"/>
      <c r="G1401" s="59" t="str">
        <f aca="false">IF(D1401="","",IFERROR(INDEX(식자재단가!$F$4:$F$203,MATCH(D1401,식자재단가!$C$4:$C$203,0)),""))</f>
        <v/>
      </c>
      <c r="H1401" s="50"/>
      <c r="I1401" s="82" t="str">
        <f aca="false">IF(OR(F1401="",H1401=""),"",F1401*H1401)</f>
        <v/>
      </c>
      <c r="J1401" s="83" t="str">
        <f aca="false">IF(D1401="","",IFERROR(INDEX(식자재단가!$M$4:$M$203,MATCH(D1401,식자재단가!$C$4:$C$203,0)),"과세"))</f>
        <v/>
      </c>
      <c r="K1401" s="28" t="str">
        <f aca="false">IF(I1401="","",IF(J1401="과세",ROUND(I1401*0.1,0),0))</f>
        <v/>
      </c>
      <c r="L1401" s="28" t="str">
        <f aca="false">IF(I1401="","",I1401+K1401)</f>
        <v/>
      </c>
      <c r="M1401" s="10"/>
      <c r="N1401" s="80"/>
      <c r="O1401" s="80"/>
      <c r="P1401" s="59" t="str">
        <f aca="false">IF(E1401="","",IFERROR(INDEX(기본설정!$H$4:$H$14,MATCH(E1401,기본설정!$G$4:$G$14,0)),""))</f>
        <v/>
      </c>
    </row>
    <row r="1402" customFormat="false" ht="15" hidden="false" customHeight="false" outlineLevel="0" collapsed="false">
      <c r="A1402" s="73"/>
      <c r="B1402" s="10"/>
      <c r="C1402" s="80"/>
      <c r="D1402" s="80"/>
      <c r="E1402" s="81" t="str">
        <f aca="false">IF(D1402="","",IFERROR(INDEX(식자재단가!$B$4:$B$203,MATCH(D1402,식자재단가!$C$4:$C$203,0)),""))</f>
        <v/>
      </c>
      <c r="F1402" s="76"/>
      <c r="G1402" s="59" t="str">
        <f aca="false">IF(D1402="","",IFERROR(INDEX(식자재단가!$F$4:$F$203,MATCH(D1402,식자재단가!$C$4:$C$203,0)),""))</f>
        <v/>
      </c>
      <c r="H1402" s="50"/>
      <c r="I1402" s="82" t="str">
        <f aca="false">IF(OR(F1402="",H1402=""),"",F1402*H1402)</f>
        <v/>
      </c>
      <c r="J1402" s="83" t="str">
        <f aca="false">IF(D1402="","",IFERROR(INDEX(식자재단가!$M$4:$M$203,MATCH(D1402,식자재단가!$C$4:$C$203,0)),"과세"))</f>
        <v/>
      </c>
      <c r="K1402" s="28" t="str">
        <f aca="false">IF(I1402="","",IF(J1402="과세",ROUND(I1402*0.1,0),0))</f>
        <v/>
      </c>
      <c r="L1402" s="28" t="str">
        <f aca="false">IF(I1402="","",I1402+K1402)</f>
        <v/>
      </c>
      <c r="M1402" s="10"/>
      <c r="N1402" s="80"/>
      <c r="O1402" s="80"/>
      <c r="P1402" s="59" t="str">
        <f aca="false">IF(E1402="","",IFERROR(INDEX(기본설정!$H$4:$H$14,MATCH(E1402,기본설정!$G$4:$G$14,0)),""))</f>
        <v/>
      </c>
    </row>
    <row r="1403" customFormat="false" ht="15" hidden="false" customHeight="false" outlineLevel="0" collapsed="false">
      <c r="A1403" s="73"/>
      <c r="B1403" s="10"/>
      <c r="C1403" s="80"/>
      <c r="D1403" s="80"/>
      <c r="E1403" s="81" t="str">
        <f aca="false">IF(D1403="","",IFERROR(INDEX(식자재단가!$B$4:$B$203,MATCH(D1403,식자재단가!$C$4:$C$203,0)),""))</f>
        <v/>
      </c>
      <c r="F1403" s="76"/>
      <c r="G1403" s="59" t="str">
        <f aca="false">IF(D1403="","",IFERROR(INDEX(식자재단가!$F$4:$F$203,MATCH(D1403,식자재단가!$C$4:$C$203,0)),""))</f>
        <v/>
      </c>
      <c r="H1403" s="50"/>
      <c r="I1403" s="82" t="str">
        <f aca="false">IF(OR(F1403="",H1403=""),"",F1403*H1403)</f>
        <v/>
      </c>
      <c r="J1403" s="83" t="str">
        <f aca="false">IF(D1403="","",IFERROR(INDEX(식자재단가!$M$4:$M$203,MATCH(D1403,식자재단가!$C$4:$C$203,0)),"과세"))</f>
        <v/>
      </c>
      <c r="K1403" s="28" t="str">
        <f aca="false">IF(I1403="","",IF(J1403="과세",ROUND(I1403*0.1,0),0))</f>
        <v/>
      </c>
      <c r="L1403" s="28" t="str">
        <f aca="false">IF(I1403="","",I1403+K1403)</f>
        <v/>
      </c>
      <c r="M1403" s="10"/>
      <c r="N1403" s="80"/>
      <c r="O1403" s="80"/>
      <c r="P1403" s="59" t="str">
        <f aca="false">IF(E1403="","",IFERROR(INDEX(기본설정!$H$4:$H$14,MATCH(E1403,기본설정!$G$4:$G$14,0)),""))</f>
        <v/>
      </c>
    </row>
    <row r="1404" customFormat="false" ht="15" hidden="false" customHeight="false" outlineLevel="0" collapsed="false">
      <c r="A1404" s="73"/>
      <c r="B1404" s="10"/>
      <c r="C1404" s="80"/>
      <c r="D1404" s="80"/>
      <c r="E1404" s="81" t="str">
        <f aca="false">IF(D1404="","",IFERROR(INDEX(식자재단가!$B$4:$B$203,MATCH(D1404,식자재단가!$C$4:$C$203,0)),""))</f>
        <v/>
      </c>
      <c r="F1404" s="76"/>
      <c r="G1404" s="59" t="str">
        <f aca="false">IF(D1404="","",IFERROR(INDEX(식자재단가!$F$4:$F$203,MATCH(D1404,식자재단가!$C$4:$C$203,0)),""))</f>
        <v/>
      </c>
      <c r="H1404" s="50"/>
      <c r="I1404" s="82" t="str">
        <f aca="false">IF(OR(F1404="",H1404=""),"",F1404*H1404)</f>
        <v/>
      </c>
      <c r="J1404" s="83" t="str">
        <f aca="false">IF(D1404="","",IFERROR(INDEX(식자재단가!$M$4:$M$203,MATCH(D1404,식자재단가!$C$4:$C$203,0)),"과세"))</f>
        <v/>
      </c>
      <c r="K1404" s="28" t="str">
        <f aca="false">IF(I1404="","",IF(J1404="과세",ROUND(I1404*0.1,0),0))</f>
        <v/>
      </c>
      <c r="L1404" s="28" t="str">
        <f aca="false">IF(I1404="","",I1404+K1404)</f>
        <v/>
      </c>
      <c r="M1404" s="10"/>
      <c r="N1404" s="80"/>
      <c r="O1404" s="80"/>
      <c r="P1404" s="59" t="str">
        <f aca="false">IF(E1404="","",IFERROR(INDEX(기본설정!$H$4:$H$14,MATCH(E1404,기본설정!$G$4:$G$14,0)),""))</f>
        <v/>
      </c>
    </row>
    <row r="1405" customFormat="false" ht="15" hidden="false" customHeight="false" outlineLevel="0" collapsed="false">
      <c r="A1405" s="73"/>
      <c r="B1405" s="10"/>
      <c r="C1405" s="80"/>
      <c r="D1405" s="80"/>
      <c r="E1405" s="81" t="str">
        <f aca="false">IF(D1405="","",IFERROR(INDEX(식자재단가!$B$4:$B$203,MATCH(D1405,식자재단가!$C$4:$C$203,0)),""))</f>
        <v/>
      </c>
      <c r="F1405" s="76"/>
      <c r="G1405" s="59" t="str">
        <f aca="false">IF(D1405="","",IFERROR(INDEX(식자재단가!$F$4:$F$203,MATCH(D1405,식자재단가!$C$4:$C$203,0)),""))</f>
        <v/>
      </c>
      <c r="H1405" s="50"/>
      <c r="I1405" s="82" t="str">
        <f aca="false">IF(OR(F1405="",H1405=""),"",F1405*H1405)</f>
        <v/>
      </c>
      <c r="J1405" s="83" t="str">
        <f aca="false">IF(D1405="","",IFERROR(INDEX(식자재단가!$M$4:$M$203,MATCH(D1405,식자재단가!$C$4:$C$203,0)),"과세"))</f>
        <v/>
      </c>
      <c r="K1405" s="28" t="str">
        <f aca="false">IF(I1405="","",IF(J1405="과세",ROUND(I1405*0.1,0),0))</f>
        <v/>
      </c>
      <c r="L1405" s="28" t="str">
        <f aca="false">IF(I1405="","",I1405+K1405)</f>
        <v/>
      </c>
      <c r="M1405" s="10"/>
      <c r="N1405" s="80"/>
      <c r="O1405" s="80"/>
      <c r="P1405" s="59" t="str">
        <f aca="false">IF(E1405="","",IFERROR(INDEX(기본설정!$H$4:$H$14,MATCH(E1405,기본설정!$G$4:$G$14,0)),""))</f>
        <v/>
      </c>
    </row>
    <row r="1406" customFormat="false" ht="15" hidden="false" customHeight="false" outlineLevel="0" collapsed="false">
      <c r="A1406" s="73"/>
      <c r="B1406" s="10"/>
      <c r="C1406" s="80"/>
      <c r="D1406" s="80"/>
      <c r="E1406" s="81" t="str">
        <f aca="false">IF(D1406="","",IFERROR(INDEX(식자재단가!$B$4:$B$203,MATCH(D1406,식자재단가!$C$4:$C$203,0)),""))</f>
        <v/>
      </c>
      <c r="F1406" s="76"/>
      <c r="G1406" s="59" t="str">
        <f aca="false">IF(D1406="","",IFERROR(INDEX(식자재단가!$F$4:$F$203,MATCH(D1406,식자재단가!$C$4:$C$203,0)),""))</f>
        <v/>
      </c>
      <c r="H1406" s="50"/>
      <c r="I1406" s="82" t="str">
        <f aca="false">IF(OR(F1406="",H1406=""),"",F1406*H1406)</f>
        <v/>
      </c>
      <c r="J1406" s="83" t="str">
        <f aca="false">IF(D1406="","",IFERROR(INDEX(식자재단가!$M$4:$M$203,MATCH(D1406,식자재단가!$C$4:$C$203,0)),"과세"))</f>
        <v/>
      </c>
      <c r="K1406" s="28" t="str">
        <f aca="false">IF(I1406="","",IF(J1406="과세",ROUND(I1406*0.1,0),0))</f>
        <v/>
      </c>
      <c r="L1406" s="28" t="str">
        <f aca="false">IF(I1406="","",I1406+K1406)</f>
        <v/>
      </c>
      <c r="M1406" s="10"/>
      <c r="N1406" s="80"/>
      <c r="O1406" s="80"/>
      <c r="P1406" s="59" t="str">
        <f aca="false">IF(E1406="","",IFERROR(INDEX(기본설정!$H$4:$H$14,MATCH(E1406,기본설정!$G$4:$G$14,0)),""))</f>
        <v/>
      </c>
    </row>
    <row r="1407" customFormat="false" ht="15" hidden="false" customHeight="false" outlineLevel="0" collapsed="false">
      <c r="A1407" s="73"/>
      <c r="B1407" s="10"/>
      <c r="C1407" s="80"/>
      <c r="D1407" s="80"/>
      <c r="E1407" s="81" t="str">
        <f aca="false">IF(D1407="","",IFERROR(INDEX(식자재단가!$B$4:$B$203,MATCH(D1407,식자재단가!$C$4:$C$203,0)),""))</f>
        <v/>
      </c>
      <c r="F1407" s="76"/>
      <c r="G1407" s="59" t="str">
        <f aca="false">IF(D1407="","",IFERROR(INDEX(식자재단가!$F$4:$F$203,MATCH(D1407,식자재단가!$C$4:$C$203,0)),""))</f>
        <v/>
      </c>
      <c r="H1407" s="50"/>
      <c r="I1407" s="82" t="str">
        <f aca="false">IF(OR(F1407="",H1407=""),"",F1407*H1407)</f>
        <v/>
      </c>
      <c r="J1407" s="83" t="str">
        <f aca="false">IF(D1407="","",IFERROR(INDEX(식자재단가!$M$4:$M$203,MATCH(D1407,식자재단가!$C$4:$C$203,0)),"과세"))</f>
        <v/>
      </c>
      <c r="K1407" s="28" t="str">
        <f aca="false">IF(I1407="","",IF(J1407="과세",ROUND(I1407*0.1,0),0))</f>
        <v/>
      </c>
      <c r="L1407" s="28" t="str">
        <f aca="false">IF(I1407="","",I1407+K1407)</f>
        <v/>
      </c>
      <c r="M1407" s="10"/>
      <c r="N1407" s="80"/>
      <c r="O1407" s="80"/>
      <c r="P1407" s="59" t="str">
        <f aca="false">IF(E1407="","",IFERROR(INDEX(기본설정!$H$4:$H$14,MATCH(E1407,기본설정!$G$4:$G$14,0)),""))</f>
        <v/>
      </c>
    </row>
    <row r="1408" customFormat="false" ht="15" hidden="false" customHeight="false" outlineLevel="0" collapsed="false">
      <c r="A1408" s="73"/>
      <c r="B1408" s="10"/>
      <c r="C1408" s="80"/>
      <c r="D1408" s="80"/>
      <c r="E1408" s="81" t="str">
        <f aca="false">IF(D1408="","",IFERROR(INDEX(식자재단가!$B$4:$B$203,MATCH(D1408,식자재단가!$C$4:$C$203,0)),""))</f>
        <v/>
      </c>
      <c r="F1408" s="76"/>
      <c r="G1408" s="59" t="str">
        <f aca="false">IF(D1408="","",IFERROR(INDEX(식자재단가!$F$4:$F$203,MATCH(D1408,식자재단가!$C$4:$C$203,0)),""))</f>
        <v/>
      </c>
      <c r="H1408" s="50"/>
      <c r="I1408" s="82" t="str">
        <f aca="false">IF(OR(F1408="",H1408=""),"",F1408*H1408)</f>
        <v/>
      </c>
      <c r="J1408" s="83" t="str">
        <f aca="false">IF(D1408="","",IFERROR(INDEX(식자재단가!$M$4:$M$203,MATCH(D1408,식자재단가!$C$4:$C$203,0)),"과세"))</f>
        <v/>
      </c>
      <c r="K1408" s="28" t="str">
        <f aca="false">IF(I1408="","",IF(J1408="과세",ROUND(I1408*0.1,0),0))</f>
        <v/>
      </c>
      <c r="L1408" s="28" t="str">
        <f aca="false">IF(I1408="","",I1408+K1408)</f>
        <v/>
      </c>
      <c r="M1408" s="10"/>
      <c r="N1408" s="80"/>
      <c r="O1408" s="80"/>
      <c r="P1408" s="59" t="str">
        <f aca="false">IF(E1408="","",IFERROR(INDEX(기본설정!$H$4:$H$14,MATCH(E1408,기본설정!$G$4:$G$14,0)),""))</f>
        <v/>
      </c>
    </row>
    <row r="1409" customFormat="false" ht="15" hidden="false" customHeight="false" outlineLevel="0" collapsed="false">
      <c r="A1409" s="73"/>
      <c r="B1409" s="10"/>
      <c r="C1409" s="80"/>
      <c r="D1409" s="80"/>
      <c r="E1409" s="81" t="str">
        <f aca="false">IF(D1409="","",IFERROR(INDEX(식자재단가!$B$4:$B$203,MATCH(D1409,식자재단가!$C$4:$C$203,0)),""))</f>
        <v/>
      </c>
      <c r="F1409" s="76"/>
      <c r="G1409" s="59" t="str">
        <f aca="false">IF(D1409="","",IFERROR(INDEX(식자재단가!$F$4:$F$203,MATCH(D1409,식자재단가!$C$4:$C$203,0)),""))</f>
        <v/>
      </c>
      <c r="H1409" s="50"/>
      <c r="I1409" s="82" t="str">
        <f aca="false">IF(OR(F1409="",H1409=""),"",F1409*H1409)</f>
        <v/>
      </c>
      <c r="J1409" s="83" t="str">
        <f aca="false">IF(D1409="","",IFERROR(INDEX(식자재단가!$M$4:$M$203,MATCH(D1409,식자재단가!$C$4:$C$203,0)),"과세"))</f>
        <v/>
      </c>
      <c r="K1409" s="28" t="str">
        <f aca="false">IF(I1409="","",IF(J1409="과세",ROUND(I1409*0.1,0),0))</f>
        <v/>
      </c>
      <c r="L1409" s="28" t="str">
        <f aca="false">IF(I1409="","",I1409+K1409)</f>
        <v/>
      </c>
      <c r="M1409" s="10"/>
      <c r="N1409" s="80"/>
      <c r="O1409" s="80"/>
      <c r="P1409" s="59" t="str">
        <f aca="false">IF(E1409="","",IFERROR(INDEX(기본설정!$H$4:$H$14,MATCH(E1409,기본설정!$G$4:$G$14,0)),""))</f>
        <v/>
      </c>
    </row>
    <row r="1410" customFormat="false" ht="15" hidden="false" customHeight="false" outlineLevel="0" collapsed="false">
      <c r="A1410" s="73"/>
      <c r="B1410" s="10"/>
      <c r="C1410" s="80"/>
      <c r="D1410" s="80"/>
      <c r="E1410" s="81" t="str">
        <f aca="false">IF(D1410="","",IFERROR(INDEX(식자재단가!$B$4:$B$203,MATCH(D1410,식자재단가!$C$4:$C$203,0)),""))</f>
        <v/>
      </c>
      <c r="F1410" s="76"/>
      <c r="G1410" s="59" t="str">
        <f aca="false">IF(D1410="","",IFERROR(INDEX(식자재단가!$F$4:$F$203,MATCH(D1410,식자재단가!$C$4:$C$203,0)),""))</f>
        <v/>
      </c>
      <c r="H1410" s="50"/>
      <c r="I1410" s="82" t="str">
        <f aca="false">IF(OR(F1410="",H1410=""),"",F1410*H1410)</f>
        <v/>
      </c>
      <c r="J1410" s="83" t="str">
        <f aca="false">IF(D1410="","",IFERROR(INDEX(식자재단가!$M$4:$M$203,MATCH(D1410,식자재단가!$C$4:$C$203,0)),"과세"))</f>
        <v/>
      </c>
      <c r="K1410" s="28" t="str">
        <f aca="false">IF(I1410="","",IF(J1410="과세",ROUND(I1410*0.1,0),0))</f>
        <v/>
      </c>
      <c r="L1410" s="28" t="str">
        <f aca="false">IF(I1410="","",I1410+K1410)</f>
        <v/>
      </c>
      <c r="M1410" s="10"/>
      <c r="N1410" s="80"/>
      <c r="O1410" s="80"/>
      <c r="P1410" s="59" t="str">
        <f aca="false">IF(E1410="","",IFERROR(INDEX(기본설정!$H$4:$H$14,MATCH(E1410,기본설정!$G$4:$G$14,0)),""))</f>
        <v/>
      </c>
    </row>
    <row r="1411" customFormat="false" ht="15" hidden="false" customHeight="false" outlineLevel="0" collapsed="false">
      <c r="A1411" s="73"/>
      <c r="B1411" s="10"/>
      <c r="C1411" s="80"/>
      <c r="D1411" s="80"/>
      <c r="E1411" s="81" t="str">
        <f aca="false">IF(D1411="","",IFERROR(INDEX(식자재단가!$B$4:$B$203,MATCH(D1411,식자재단가!$C$4:$C$203,0)),""))</f>
        <v/>
      </c>
      <c r="F1411" s="76"/>
      <c r="G1411" s="59" t="str">
        <f aca="false">IF(D1411="","",IFERROR(INDEX(식자재단가!$F$4:$F$203,MATCH(D1411,식자재단가!$C$4:$C$203,0)),""))</f>
        <v/>
      </c>
      <c r="H1411" s="50"/>
      <c r="I1411" s="82" t="str">
        <f aca="false">IF(OR(F1411="",H1411=""),"",F1411*H1411)</f>
        <v/>
      </c>
      <c r="J1411" s="83" t="str">
        <f aca="false">IF(D1411="","",IFERROR(INDEX(식자재단가!$M$4:$M$203,MATCH(D1411,식자재단가!$C$4:$C$203,0)),"과세"))</f>
        <v/>
      </c>
      <c r="K1411" s="28" t="str">
        <f aca="false">IF(I1411="","",IF(J1411="과세",ROUND(I1411*0.1,0),0))</f>
        <v/>
      </c>
      <c r="L1411" s="28" t="str">
        <f aca="false">IF(I1411="","",I1411+K1411)</f>
        <v/>
      </c>
      <c r="M1411" s="10"/>
      <c r="N1411" s="80"/>
      <c r="O1411" s="80"/>
      <c r="P1411" s="59" t="str">
        <f aca="false">IF(E1411="","",IFERROR(INDEX(기본설정!$H$4:$H$14,MATCH(E1411,기본설정!$G$4:$G$14,0)),""))</f>
        <v/>
      </c>
    </row>
    <row r="1412" customFormat="false" ht="15" hidden="false" customHeight="false" outlineLevel="0" collapsed="false">
      <c r="A1412" s="73"/>
      <c r="B1412" s="10"/>
      <c r="C1412" s="80"/>
      <c r="D1412" s="80"/>
      <c r="E1412" s="81" t="str">
        <f aca="false">IF(D1412="","",IFERROR(INDEX(식자재단가!$B$4:$B$203,MATCH(D1412,식자재단가!$C$4:$C$203,0)),""))</f>
        <v/>
      </c>
      <c r="F1412" s="76"/>
      <c r="G1412" s="59" t="str">
        <f aca="false">IF(D1412="","",IFERROR(INDEX(식자재단가!$F$4:$F$203,MATCH(D1412,식자재단가!$C$4:$C$203,0)),""))</f>
        <v/>
      </c>
      <c r="H1412" s="50"/>
      <c r="I1412" s="82" t="str">
        <f aca="false">IF(OR(F1412="",H1412=""),"",F1412*H1412)</f>
        <v/>
      </c>
      <c r="J1412" s="83" t="str">
        <f aca="false">IF(D1412="","",IFERROR(INDEX(식자재단가!$M$4:$M$203,MATCH(D1412,식자재단가!$C$4:$C$203,0)),"과세"))</f>
        <v/>
      </c>
      <c r="K1412" s="28" t="str">
        <f aca="false">IF(I1412="","",IF(J1412="과세",ROUND(I1412*0.1,0),0))</f>
        <v/>
      </c>
      <c r="L1412" s="28" t="str">
        <f aca="false">IF(I1412="","",I1412+K1412)</f>
        <v/>
      </c>
      <c r="M1412" s="10"/>
      <c r="N1412" s="80"/>
      <c r="O1412" s="80"/>
      <c r="P1412" s="59" t="str">
        <f aca="false">IF(E1412="","",IFERROR(INDEX(기본설정!$H$4:$H$14,MATCH(E1412,기본설정!$G$4:$G$14,0)),""))</f>
        <v/>
      </c>
    </row>
    <row r="1413" customFormat="false" ht="15" hidden="false" customHeight="false" outlineLevel="0" collapsed="false">
      <c r="A1413" s="73"/>
      <c r="B1413" s="10"/>
      <c r="C1413" s="80"/>
      <c r="D1413" s="80"/>
      <c r="E1413" s="81" t="str">
        <f aca="false">IF(D1413="","",IFERROR(INDEX(식자재단가!$B$4:$B$203,MATCH(D1413,식자재단가!$C$4:$C$203,0)),""))</f>
        <v/>
      </c>
      <c r="F1413" s="76"/>
      <c r="G1413" s="59" t="str">
        <f aca="false">IF(D1413="","",IFERROR(INDEX(식자재단가!$F$4:$F$203,MATCH(D1413,식자재단가!$C$4:$C$203,0)),""))</f>
        <v/>
      </c>
      <c r="H1413" s="50"/>
      <c r="I1413" s="82" t="str">
        <f aca="false">IF(OR(F1413="",H1413=""),"",F1413*H1413)</f>
        <v/>
      </c>
      <c r="J1413" s="83" t="str">
        <f aca="false">IF(D1413="","",IFERROR(INDEX(식자재단가!$M$4:$M$203,MATCH(D1413,식자재단가!$C$4:$C$203,0)),"과세"))</f>
        <v/>
      </c>
      <c r="K1413" s="28" t="str">
        <f aca="false">IF(I1413="","",IF(J1413="과세",ROUND(I1413*0.1,0),0))</f>
        <v/>
      </c>
      <c r="L1413" s="28" t="str">
        <f aca="false">IF(I1413="","",I1413+K1413)</f>
        <v/>
      </c>
      <c r="M1413" s="10"/>
      <c r="N1413" s="80"/>
      <c r="O1413" s="80"/>
      <c r="P1413" s="59" t="str">
        <f aca="false">IF(E1413="","",IFERROR(INDEX(기본설정!$H$4:$H$14,MATCH(E1413,기본설정!$G$4:$G$14,0)),""))</f>
        <v/>
      </c>
    </row>
    <row r="1414" customFormat="false" ht="15" hidden="false" customHeight="false" outlineLevel="0" collapsed="false">
      <c r="A1414" s="73"/>
      <c r="B1414" s="10"/>
      <c r="C1414" s="80"/>
      <c r="D1414" s="80"/>
      <c r="E1414" s="81" t="str">
        <f aca="false">IF(D1414="","",IFERROR(INDEX(식자재단가!$B$4:$B$203,MATCH(D1414,식자재단가!$C$4:$C$203,0)),""))</f>
        <v/>
      </c>
      <c r="F1414" s="76"/>
      <c r="G1414" s="59" t="str">
        <f aca="false">IF(D1414="","",IFERROR(INDEX(식자재단가!$F$4:$F$203,MATCH(D1414,식자재단가!$C$4:$C$203,0)),""))</f>
        <v/>
      </c>
      <c r="H1414" s="50"/>
      <c r="I1414" s="82" t="str">
        <f aca="false">IF(OR(F1414="",H1414=""),"",F1414*H1414)</f>
        <v/>
      </c>
      <c r="J1414" s="83" t="str">
        <f aca="false">IF(D1414="","",IFERROR(INDEX(식자재단가!$M$4:$M$203,MATCH(D1414,식자재단가!$C$4:$C$203,0)),"과세"))</f>
        <v/>
      </c>
      <c r="K1414" s="28" t="str">
        <f aca="false">IF(I1414="","",IF(J1414="과세",ROUND(I1414*0.1,0),0))</f>
        <v/>
      </c>
      <c r="L1414" s="28" t="str">
        <f aca="false">IF(I1414="","",I1414+K1414)</f>
        <v/>
      </c>
      <c r="M1414" s="10"/>
      <c r="N1414" s="80"/>
      <c r="O1414" s="80"/>
      <c r="P1414" s="59" t="str">
        <f aca="false">IF(E1414="","",IFERROR(INDEX(기본설정!$H$4:$H$14,MATCH(E1414,기본설정!$G$4:$G$14,0)),""))</f>
        <v/>
      </c>
    </row>
    <row r="1415" customFormat="false" ht="15" hidden="false" customHeight="false" outlineLevel="0" collapsed="false">
      <c r="A1415" s="73"/>
      <c r="B1415" s="10"/>
      <c r="C1415" s="80"/>
      <c r="D1415" s="80"/>
      <c r="E1415" s="81" t="str">
        <f aca="false">IF(D1415="","",IFERROR(INDEX(식자재단가!$B$4:$B$203,MATCH(D1415,식자재단가!$C$4:$C$203,0)),""))</f>
        <v/>
      </c>
      <c r="F1415" s="76"/>
      <c r="G1415" s="59" t="str">
        <f aca="false">IF(D1415="","",IFERROR(INDEX(식자재단가!$F$4:$F$203,MATCH(D1415,식자재단가!$C$4:$C$203,0)),""))</f>
        <v/>
      </c>
      <c r="H1415" s="50"/>
      <c r="I1415" s="82" t="str">
        <f aca="false">IF(OR(F1415="",H1415=""),"",F1415*H1415)</f>
        <v/>
      </c>
      <c r="J1415" s="83" t="str">
        <f aca="false">IF(D1415="","",IFERROR(INDEX(식자재단가!$M$4:$M$203,MATCH(D1415,식자재단가!$C$4:$C$203,0)),"과세"))</f>
        <v/>
      </c>
      <c r="K1415" s="28" t="str">
        <f aca="false">IF(I1415="","",IF(J1415="과세",ROUND(I1415*0.1,0),0))</f>
        <v/>
      </c>
      <c r="L1415" s="28" t="str">
        <f aca="false">IF(I1415="","",I1415+K1415)</f>
        <v/>
      </c>
      <c r="M1415" s="10"/>
      <c r="N1415" s="80"/>
      <c r="O1415" s="80"/>
      <c r="P1415" s="59" t="str">
        <f aca="false">IF(E1415="","",IFERROR(INDEX(기본설정!$H$4:$H$14,MATCH(E1415,기본설정!$G$4:$G$14,0)),""))</f>
        <v/>
      </c>
    </row>
    <row r="1416" customFormat="false" ht="15" hidden="false" customHeight="false" outlineLevel="0" collapsed="false">
      <c r="A1416" s="73"/>
      <c r="B1416" s="10"/>
      <c r="C1416" s="80"/>
      <c r="D1416" s="80"/>
      <c r="E1416" s="81" t="str">
        <f aca="false">IF(D1416="","",IFERROR(INDEX(식자재단가!$B$4:$B$203,MATCH(D1416,식자재단가!$C$4:$C$203,0)),""))</f>
        <v/>
      </c>
      <c r="F1416" s="76"/>
      <c r="G1416" s="59" t="str">
        <f aca="false">IF(D1416="","",IFERROR(INDEX(식자재단가!$F$4:$F$203,MATCH(D1416,식자재단가!$C$4:$C$203,0)),""))</f>
        <v/>
      </c>
      <c r="H1416" s="50"/>
      <c r="I1416" s="82" t="str">
        <f aca="false">IF(OR(F1416="",H1416=""),"",F1416*H1416)</f>
        <v/>
      </c>
      <c r="J1416" s="83" t="str">
        <f aca="false">IF(D1416="","",IFERROR(INDEX(식자재단가!$M$4:$M$203,MATCH(D1416,식자재단가!$C$4:$C$203,0)),"과세"))</f>
        <v/>
      </c>
      <c r="K1416" s="28" t="str">
        <f aca="false">IF(I1416="","",IF(J1416="과세",ROUND(I1416*0.1,0),0))</f>
        <v/>
      </c>
      <c r="L1416" s="28" t="str">
        <f aca="false">IF(I1416="","",I1416+K1416)</f>
        <v/>
      </c>
      <c r="M1416" s="10"/>
      <c r="N1416" s="80"/>
      <c r="O1416" s="80"/>
      <c r="P1416" s="59" t="str">
        <f aca="false">IF(E1416="","",IFERROR(INDEX(기본설정!$H$4:$H$14,MATCH(E1416,기본설정!$G$4:$G$14,0)),""))</f>
        <v/>
      </c>
    </row>
    <row r="1417" customFormat="false" ht="15" hidden="false" customHeight="false" outlineLevel="0" collapsed="false">
      <c r="A1417" s="73"/>
      <c r="B1417" s="10"/>
      <c r="C1417" s="80"/>
      <c r="D1417" s="80"/>
      <c r="E1417" s="81" t="str">
        <f aca="false">IF(D1417="","",IFERROR(INDEX(식자재단가!$B$4:$B$203,MATCH(D1417,식자재단가!$C$4:$C$203,0)),""))</f>
        <v/>
      </c>
      <c r="F1417" s="76"/>
      <c r="G1417" s="59" t="str">
        <f aca="false">IF(D1417="","",IFERROR(INDEX(식자재단가!$F$4:$F$203,MATCH(D1417,식자재단가!$C$4:$C$203,0)),""))</f>
        <v/>
      </c>
      <c r="H1417" s="50"/>
      <c r="I1417" s="82" t="str">
        <f aca="false">IF(OR(F1417="",H1417=""),"",F1417*H1417)</f>
        <v/>
      </c>
      <c r="J1417" s="83" t="str">
        <f aca="false">IF(D1417="","",IFERROR(INDEX(식자재단가!$M$4:$M$203,MATCH(D1417,식자재단가!$C$4:$C$203,0)),"과세"))</f>
        <v/>
      </c>
      <c r="K1417" s="28" t="str">
        <f aca="false">IF(I1417="","",IF(J1417="과세",ROUND(I1417*0.1,0),0))</f>
        <v/>
      </c>
      <c r="L1417" s="28" t="str">
        <f aca="false">IF(I1417="","",I1417+K1417)</f>
        <v/>
      </c>
      <c r="M1417" s="10"/>
      <c r="N1417" s="80"/>
      <c r="O1417" s="80"/>
      <c r="P1417" s="59" t="str">
        <f aca="false">IF(E1417="","",IFERROR(INDEX(기본설정!$H$4:$H$14,MATCH(E1417,기본설정!$G$4:$G$14,0)),""))</f>
        <v/>
      </c>
    </row>
    <row r="1418" customFormat="false" ht="15" hidden="false" customHeight="false" outlineLevel="0" collapsed="false">
      <c r="A1418" s="73"/>
      <c r="B1418" s="10"/>
      <c r="C1418" s="80"/>
      <c r="D1418" s="80"/>
      <c r="E1418" s="81" t="str">
        <f aca="false">IF(D1418="","",IFERROR(INDEX(식자재단가!$B$4:$B$203,MATCH(D1418,식자재단가!$C$4:$C$203,0)),""))</f>
        <v/>
      </c>
      <c r="F1418" s="76"/>
      <c r="G1418" s="59" t="str">
        <f aca="false">IF(D1418="","",IFERROR(INDEX(식자재단가!$F$4:$F$203,MATCH(D1418,식자재단가!$C$4:$C$203,0)),""))</f>
        <v/>
      </c>
      <c r="H1418" s="50"/>
      <c r="I1418" s="82" t="str">
        <f aca="false">IF(OR(F1418="",H1418=""),"",F1418*H1418)</f>
        <v/>
      </c>
      <c r="J1418" s="83" t="str">
        <f aca="false">IF(D1418="","",IFERROR(INDEX(식자재단가!$M$4:$M$203,MATCH(D1418,식자재단가!$C$4:$C$203,0)),"과세"))</f>
        <v/>
      </c>
      <c r="K1418" s="28" t="str">
        <f aca="false">IF(I1418="","",IF(J1418="과세",ROUND(I1418*0.1,0),0))</f>
        <v/>
      </c>
      <c r="L1418" s="28" t="str">
        <f aca="false">IF(I1418="","",I1418+K1418)</f>
        <v/>
      </c>
      <c r="M1418" s="10"/>
      <c r="N1418" s="80"/>
      <c r="O1418" s="80"/>
      <c r="P1418" s="59" t="str">
        <f aca="false">IF(E1418="","",IFERROR(INDEX(기본설정!$H$4:$H$14,MATCH(E1418,기본설정!$G$4:$G$14,0)),""))</f>
        <v/>
      </c>
    </row>
    <row r="1419" customFormat="false" ht="15" hidden="false" customHeight="false" outlineLevel="0" collapsed="false">
      <c r="A1419" s="73"/>
      <c r="B1419" s="10"/>
      <c r="C1419" s="80"/>
      <c r="D1419" s="80"/>
      <c r="E1419" s="81" t="str">
        <f aca="false">IF(D1419="","",IFERROR(INDEX(식자재단가!$B$4:$B$203,MATCH(D1419,식자재단가!$C$4:$C$203,0)),""))</f>
        <v/>
      </c>
      <c r="F1419" s="76"/>
      <c r="G1419" s="59" t="str">
        <f aca="false">IF(D1419="","",IFERROR(INDEX(식자재단가!$F$4:$F$203,MATCH(D1419,식자재단가!$C$4:$C$203,0)),""))</f>
        <v/>
      </c>
      <c r="H1419" s="50"/>
      <c r="I1419" s="82" t="str">
        <f aca="false">IF(OR(F1419="",H1419=""),"",F1419*H1419)</f>
        <v/>
      </c>
      <c r="J1419" s="83" t="str">
        <f aca="false">IF(D1419="","",IFERROR(INDEX(식자재단가!$M$4:$M$203,MATCH(D1419,식자재단가!$C$4:$C$203,0)),"과세"))</f>
        <v/>
      </c>
      <c r="K1419" s="28" t="str">
        <f aca="false">IF(I1419="","",IF(J1419="과세",ROUND(I1419*0.1,0),0))</f>
        <v/>
      </c>
      <c r="L1419" s="28" t="str">
        <f aca="false">IF(I1419="","",I1419+K1419)</f>
        <v/>
      </c>
      <c r="M1419" s="10"/>
      <c r="N1419" s="80"/>
      <c r="O1419" s="80"/>
      <c r="P1419" s="59" t="str">
        <f aca="false">IF(E1419="","",IFERROR(INDEX(기본설정!$H$4:$H$14,MATCH(E1419,기본설정!$G$4:$G$14,0)),""))</f>
        <v/>
      </c>
    </row>
    <row r="1420" customFormat="false" ht="15" hidden="false" customHeight="false" outlineLevel="0" collapsed="false">
      <c r="A1420" s="73"/>
      <c r="B1420" s="10"/>
      <c r="C1420" s="80"/>
      <c r="D1420" s="80"/>
      <c r="E1420" s="81" t="str">
        <f aca="false">IF(D1420="","",IFERROR(INDEX(식자재단가!$B$4:$B$203,MATCH(D1420,식자재단가!$C$4:$C$203,0)),""))</f>
        <v/>
      </c>
      <c r="F1420" s="76"/>
      <c r="G1420" s="59" t="str">
        <f aca="false">IF(D1420="","",IFERROR(INDEX(식자재단가!$F$4:$F$203,MATCH(D1420,식자재단가!$C$4:$C$203,0)),""))</f>
        <v/>
      </c>
      <c r="H1420" s="50"/>
      <c r="I1420" s="82" t="str">
        <f aca="false">IF(OR(F1420="",H1420=""),"",F1420*H1420)</f>
        <v/>
      </c>
      <c r="J1420" s="83" t="str">
        <f aca="false">IF(D1420="","",IFERROR(INDEX(식자재단가!$M$4:$M$203,MATCH(D1420,식자재단가!$C$4:$C$203,0)),"과세"))</f>
        <v/>
      </c>
      <c r="K1420" s="28" t="str">
        <f aca="false">IF(I1420="","",IF(J1420="과세",ROUND(I1420*0.1,0),0))</f>
        <v/>
      </c>
      <c r="L1420" s="28" t="str">
        <f aca="false">IF(I1420="","",I1420+K1420)</f>
        <v/>
      </c>
      <c r="M1420" s="10"/>
      <c r="N1420" s="80"/>
      <c r="O1420" s="80"/>
      <c r="P1420" s="59" t="str">
        <f aca="false">IF(E1420="","",IFERROR(INDEX(기본설정!$H$4:$H$14,MATCH(E1420,기본설정!$G$4:$G$14,0)),""))</f>
        <v/>
      </c>
    </row>
    <row r="1421" customFormat="false" ht="15" hidden="false" customHeight="false" outlineLevel="0" collapsed="false">
      <c r="A1421" s="73"/>
      <c r="B1421" s="10"/>
      <c r="C1421" s="80"/>
      <c r="D1421" s="80"/>
      <c r="E1421" s="81" t="str">
        <f aca="false">IF(D1421="","",IFERROR(INDEX(식자재단가!$B$4:$B$203,MATCH(D1421,식자재단가!$C$4:$C$203,0)),""))</f>
        <v/>
      </c>
      <c r="F1421" s="76"/>
      <c r="G1421" s="59" t="str">
        <f aca="false">IF(D1421="","",IFERROR(INDEX(식자재단가!$F$4:$F$203,MATCH(D1421,식자재단가!$C$4:$C$203,0)),""))</f>
        <v/>
      </c>
      <c r="H1421" s="50"/>
      <c r="I1421" s="82" t="str">
        <f aca="false">IF(OR(F1421="",H1421=""),"",F1421*H1421)</f>
        <v/>
      </c>
      <c r="J1421" s="83" t="str">
        <f aca="false">IF(D1421="","",IFERROR(INDEX(식자재단가!$M$4:$M$203,MATCH(D1421,식자재단가!$C$4:$C$203,0)),"과세"))</f>
        <v/>
      </c>
      <c r="K1421" s="28" t="str">
        <f aca="false">IF(I1421="","",IF(J1421="과세",ROUND(I1421*0.1,0),0))</f>
        <v/>
      </c>
      <c r="L1421" s="28" t="str">
        <f aca="false">IF(I1421="","",I1421+K1421)</f>
        <v/>
      </c>
      <c r="M1421" s="10"/>
      <c r="N1421" s="80"/>
      <c r="O1421" s="80"/>
      <c r="P1421" s="59" t="str">
        <f aca="false">IF(E1421="","",IFERROR(INDEX(기본설정!$H$4:$H$14,MATCH(E1421,기본설정!$G$4:$G$14,0)),""))</f>
        <v/>
      </c>
    </row>
    <row r="1422" customFormat="false" ht="15" hidden="false" customHeight="false" outlineLevel="0" collapsed="false">
      <c r="A1422" s="73"/>
      <c r="B1422" s="10"/>
      <c r="C1422" s="80"/>
      <c r="D1422" s="80"/>
      <c r="E1422" s="81" t="str">
        <f aca="false">IF(D1422="","",IFERROR(INDEX(식자재단가!$B$4:$B$203,MATCH(D1422,식자재단가!$C$4:$C$203,0)),""))</f>
        <v/>
      </c>
      <c r="F1422" s="76"/>
      <c r="G1422" s="59" t="str">
        <f aca="false">IF(D1422="","",IFERROR(INDEX(식자재단가!$F$4:$F$203,MATCH(D1422,식자재단가!$C$4:$C$203,0)),""))</f>
        <v/>
      </c>
      <c r="H1422" s="50"/>
      <c r="I1422" s="82" t="str">
        <f aca="false">IF(OR(F1422="",H1422=""),"",F1422*H1422)</f>
        <v/>
      </c>
      <c r="J1422" s="83" t="str">
        <f aca="false">IF(D1422="","",IFERROR(INDEX(식자재단가!$M$4:$M$203,MATCH(D1422,식자재단가!$C$4:$C$203,0)),"과세"))</f>
        <v/>
      </c>
      <c r="K1422" s="28" t="str">
        <f aca="false">IF(I1422="","",IF(J1422="과세",ROUND(I1422*0.1,0),0))</f>
        <v/>
      </c>
      <c r="L1422" s="28" t="str">
        <f aca="false">IF(I1422="","",I1422+K1422)</f>
        <v/>
      </c>
      <c r="M1422" s="10"/>
      <c r="N1422" s="80"/>
      <c r="O1422" s="80"/>
      <c r="P1422" s="59" t="str">
        <f aca="false">IF(E1422="","",IFERROR(INDEX(기본설정!$H$4:$H$14,MATCH(E1422,기본설정!$G$4:$G$14,0)),""))</f>
        <v/>
      </c>
    </row>
    <row r="1423" customFormat="false" ht="15" hidden="false" customHeight="false" outlineLevel="0" collapsed="false">
      <c r="A1423" s="73"/>
      <c r="B1423" s="10"/>
      <c r="C1423" s="80"/>
      <c r="D1423" s="80"/>
      <c r="E1423" s="81" t="str">
        <f aca="false">IF(D1423="","",IFERROR(INDEX(식자재단가!$B$4:$B$203,MATCH(D1423,식자재단가!$C$4:$C$203,0)),""))</f>
        <v/>
      </c>
      <c r="F1423" s="76"/>
      <c r="G1423" s="59" t="str">
        <f aca="false">IF(D1423="","",IFERROR(INDEX(식자재단가!$F$4:$F$203,MATCH(D1423,식자재단가!$C$4:$C$203,0)),""))</f>
        <v/>
      </c>
      <c r="H1423" s="50"/>
      <c r="I1423" s="82" t="str">
        <f aca="false">IF(OR(F1423="",H1423=""),"",F1423*H1423)</f>
        <v/>
      </c>
      <c r="J1423" s="83" t="str">
        <f aca="false">IF(D1423="","",IFERROR(INDEX(식자재단가!$M$4:$M$203,MATCH(D1423,식자재단가!$C$4:$C$203,0)),"과세"))</f>
        <v/>
      </c>
      <c r="K1423" s="28" t="str">
        <f aca="false">IF(I1423="","",IF(J1423="과세",ROUND(I1423*0.1,0),0))</f>
        <v/>
      </c>
      <c r="L1423" s="28" t="str">
        <f aca="false">IF(I1423="","",I1423+K1423)</f>
        <v/>
      </c>
      <c r="M1423" s="10"/>
      <c r="N1423" s="80"/>
      <c r="O1423" s="80"/>
      <c r="P1423" s="59" t="str">
        <f aca="false">IF(E1423="","",IFERROR(INDEX(기본설정!$H$4:$H$14,MATCH(E1423,기본설정!$G$4:$G$14,0)),""))</f>
        <v/>
      </c>
    </row>
    <row r="1424" customFormat="false" ht="15" hidden="false" customHeight="false" outlineLevel="0" collapsed="false">
      <c r="A1424" s="73"/>
      <c r="B1424" s="10"/>
      <c r="C1424" s="80"/>
      <c r="D1424" s="80"/>
      <c r="E1424" s="81" t="str">
        <f aca="false">IF(D1424="","",IFERROR(INDEX(식자재단가!$B$4:$B$203,MATCH(D1424,식자재단가!$C$4:$C$203,0)),""))</f>
        <v/>
      </c>
      <c r="F1424" s="76"/>
      <c r="G1424" s="59" t="str">
        <f aca="false">IF(D1424="","",IFERROR(INDEX(식자재단가!$F$4:$F$203,MATCH(D1424,식자재단가!$C$4:$C$203,0)),""))</f>
        <v/>
      </c>
      <c r="H1424" s="50"/>
      <c r="I1424" s="82" t="str">
        <f aca="false">IF(OR(F1424="",H1424=""),"",F1424*H1424)</f>
        <v/>
      </c>
      <c r="J1424" s="83" t="str">
        <f aca="false">IF(D1424="","",IFERROR(INDEX(식자재단가!$M$4:$M$203,MATCH(D1424,식자재단가!$C$4:$C$203,0)),"과세"))</f>
        <v/>
      </c>
      <c r="K1424" s="28" t="str">
        <f aca="false">IF(I1424="","",IF(J1424="과세",ROUND(I1424*0.1,0),0))</f>
        <v/>
      </c>
      <c r="L1424" s="28" t="str">
        <f aca="false">IF(I1424="","",I1424+K1424)</f>
        <v/>
      </c>
      <c r="M1424" s="10"/>
      <c r="N1424" s="80"/>
      <c r="O1424" s="80"/>
      <c r="P1424" s="59" t="str">
        <f aca="false">IF(E1424="","",IFERROR(INDEX(기본설정!$H$4:$H$14,MATCH(E1424,기본설정!$G$4:$G$14,0)),""))</f>
        <v/>
      </c>
    </row>
    <row r="1425" customFormat="false" ht="15" hidden="false" customHeight="false" outlineLevel="0" collapsed="false">
      <c r="A1425" s="73"/>
      <c r="B1425" s="10"/>
      <c r="C1425" s="80"/>
      <c r="D1425" s="80"/>
      <c r="E1425" s="81" t="str">
        <f aca="false">IF(D1425="","",IFERROR(INDEX(식자재단가!$B$4:$B$203,MATCH(D1425,식자재단가!$C$4:$C$203,0)),""))</f>
        <v/>
      </c>
      <c r="F1425" s="76"/>
      <c r="G1425" s="59" t="str">
        <f aca="false">IF(D1425="","",IFERROR(INDEX(식자재단가!$F$4:$F$203,MATCH(D1425,식자재단가!$C$4:$C$203,0)),""))</f>
        <v/>
      </c>
      <c r="H1425" s="50"/>
      <c r="I1425" s="82" t="str">
        <f aca="false">IF(OR(F1425="",H1425=""),"",F1425*H1425)</f>
        <v/>
      </c>
      <c r="J1425" s="83" t="str">
        <f aca="false">IF(D1425="","",IFERROR(INDEX(식자재단가!$M$4:$M$203,MATCH(D1425,식자재단가!$C$4:$C$203,0)),"과세"))</f>
        <v/>
      </c>
      <c r="K1425" s="28" t="str">
        <f aca="false">IF(I1425="","",IF(J1425="과세",ROUND(I1425*0.1,0),0))</f>
        <v/>
      </c>
      <c r="L1425" s="28" t="str">
        <f aca="false">IF(I1425="","",I1425+K1425)</f>
        <v/>
      </c>
      <c r="M1425" s="10"/>
      <c r="N1425" s="80"/>
      <c r="O1425" s="80"/>
      <c r="P1425" s="59" t="str">
        <f aca="false">IF(E1425="","",IFERROR(INDEX(기본설정!$H$4:$H$14,MATCH(E1425,기본설정!$G$4:$G$14,0)),""))</f>
        <v/>
      </c>
    </row>
    <row r="1426" customFormat="false" ht="15" hidden="false" customHeight="false" outlineLevel="0" collapsed="false">
      <c r="A1426" s="73"/>
      <c r="B1426" s="10"/>
      <c r="C1426" s="80"/>
      <c r="D1426" s="80"/>
      <c r="E1426" s="81" t="str">
        <f aca="false">IF(D1426="","",IFERROR(INDEX(식자재단가!$B$4:$B$203,MATCH(D1426,식자재단가!$C$4:$C$203,0)),""))</f>
        <v/>
      </c>
      <c r="F1426" s="76"/>
      <c r="G1426" s="59" t="str">
        <f aca="false">IF(D1426="","",IFERROR(INDEX(식자재단가!$F$4:$F$203,MATCH(D1426,식자재단가!$C$4:$C$203,0)),""))</f>
        <v/>
      </c>
      <c r="H1426" s="50"/>
      <c r="I1426" s="82" t="str">
        <f aca="false">IF(OR(F1426="",H1426=""),"",F1426*H1426)</f>
        <v/>
      </c>
      <c r="J1426" s="83" t="str">
        <f aca="false">IF(D1426="","",IFERROR(INDEX(식자재단가!$M$4:$M$203,MATCH(D1426,식자재단가!$C$4:$C$203,0)),"과세"))</f>
        <v/>
      </c>
      <c r="K1426" s="28" t="str">
        <f aca="false">IF(I1426="","",IF(J1426="과세",ROUND(I1426*0.1,0),0))</f>
        <v/>
      </c>
      <c r="L1426" s="28" t="str">
        <f aca="false">IF(I1426="","",I1426+K1426)</f>
        <v/>
      </c>
      <c r="M1426" s="10"/>
      <c r="N1426" s="80"/>
      <c r="O1426" s="80"/>
      <c r="P1426" s="59" t="str">
        <f aca="false">IF(E1426="","",IFERROR(INDEX(기본설정!$H$4:$H$14,MATCH(E1426,기본설정!$G$4:$G$14,0)),""))</f>
        <v/>
      </c>
    </row>
    <row r="1427" customFormat="false" ht="15" hidden="false" customHeight="false" outlineLevel="0" collapsed="false">
      <c r="A1427" s="73"/>
      <c r="B1427" s="10"/>
      <c r="C1427" s="80"/>
      <c r="D1427" s="80"/>
      <c r="E1427" s="81" t="str">
        <f aca="false">IF(D1427="","",IFERROR(INDEX(식자재단가!$B$4:$B$203,MATCH(D1427,식자재단가!$C$4:$C$203,0)),""))</f>
        <v/>
      </c>
      <c r="F1427" s="76"/>
      <c r="G1427" s="59" t="str">
        <f aca="false">IF(D1427="","",IFERROR(INDEX(식자재단가!$F$4:$F$203,MATCH(D1427,식자재단가!$C$4:$C$203,0)),""))</f>
        <v/>
      </c>
      <c r="H1427" s="50"/>
      <c r="I1427" s="82" t="str">
        <f aca="false">IF(OR(F1427="",H1427=""),"",F1427*H1427)</f>
        <v/>
      </c>
      <c r="J1427" s="83" t="str">
        <f aca="false">IF(D1427="","",IFERROR(INDEX(식자재단가!$M$4:$M$203,MATCH(D1427,식자재단가!$C$4:$C$203,0)),"과세"))</f>
        <v/>
      </c>
      <c r="K1427" s="28" t="str">
        <f aca="false">IF(I1427="","",IF(J1427="과세",ROUND(I1427*0.1,0),0))</f>
        <v/>
      </c>
      <c r="L1427" s="28" t="str">
        <f aca="false">IF(I1427="","",I1427+K1427)</f>
        <v/>
      </c>
      <c r="M1427" s="10"/>
      <c r="N1427" s="80"/>
      <c r="O1427" s="80"/>
      <c r="P1427" s="59" t="str">
        <f aca="false">IF(E1427="","",IFERROR(INDEX(기본설정!$H$4:$H$14,MATCH(E1427,기본설정!$G$4:$G$14,0)),""))</f>
        <v/>
      </c>
    </row>
    <row r="1428" customFormat="false" ht="15" hidden="false" customHeight="false" outlineLevel="0" collapsed="false">
      <c r="A1428" s="73"/>
      <c r="B1428" s="10"/>
      <c r="C1428" s="80"/>
      <c r="D1428" s="80"/>
      <c r="E1428" s="81" t="str">
        <f aca="false">IF(D1428="","",IFERROR(INDEX(식자재단가!$B$4:$B$203,MATCH(D1428,식자재단가!$C$4:$C$203,0)),""))</f>
        <v/>
      </c>
      <c r="F1428" s="76"/>
      <c r="G1428" s="59" t="str">
        <f aca="false">IF(D1428="","",IFERROR(INDEX(식자재단가!$F$4:$F$203,MATCH(D1428,식자재단가!$C$4:$C$203,0)),""))</f>
        <v/>
      </c>
      <c r="H1428" s="50"/>
      <c r="I1428" s="82" t="str">
        <f aca="false">IF(OR(F1428="",H1428=""),"",F1428*H1428)</f>
        <v/>
      </c>
      <c r="J1428" s="83" t="str">
        <f aca="false">IF(D1428="","",IFERROR(INDEX(식자재단가!$M$4:$M$203,MATCH(D1428,식자재단가!$C$4:$C$203,0)),"과세"))</f>
        <v/>
      </c>
      <c r="K1428" s="28" t="str">
        <f aca="false">IF(I1428="","",IF(J1428="과세",ROUND(I1428*0.1,0),0))</f>
        <v/>
      </c>
      <c r="L1428" s="28" t="str">
        <f aca="false">IF(I1428="","",I1428+K1428)</f>
        <v/>
      </c>
      <c r="M1428" s="10"/>
      <c r="N1428" s="80"/>
      <c r="O1428" s="80"/>
      <c r="P1428" s="59" t="str">
        <f aca="false">IF(E1428="","",IFERROR(INDEX(기본설정!$H$4:$H$14,MATCH(E1428,기본설정!$G$4:$G$14,0)),""))</f>
        <v/>
      </c>
    </row>
    <row r="1429" customFormat="false" ht="15" hidden="false" customHeight="false" outlineLevel="0" collapsed="false">
      <c r="A1429" s="73"/>
      <c r="B1429" s="10"/>
      <c r="C1429" s="80"/>
      <c r="D1429" s="80"/>
      <c r="E1429" s="81" t="str">
        <f aca="false">IF(D1429="","",IFERROR(INDEX(식자재단가!$B$4:$B$203,MATCH(D1429,식자재단가!$C$4:$C$203,0)),""))</f>
        <v/>
      </c>
      <c r="F1429" s="76"/>
      <c r="G1429" s="59" t="str">
        <f aca="false">IF(D1429="","",IFERROR(INDEX(식자재단가!$F$4:$F$203,MATCH(D1429,식자재단가!$C$4:$C$203,0)),""))</f>
        <v/>
      </c>
      <c r="H1429" s="50"/>
      <c r="I1429" s="82" t="str">
        <f aca="false">IF(OR(F1429="",H1429=""),"",F1429*H1429)</f>
        <v/>
      </c>
      <c r="J1429" s="83" t="str">
        <f aca="false">IF(D1429="","",IFERROR(INDEX(식자재단가!$M$4:$M$203,MATCH(D1429,식자재단가!$C$4:$C$203,0)),"과세"))</f>
        <v/>
      </c>
      <c r="K1429" s="28" t="str">
        <f aca="false">IF(I1429="","",IF(J1429="과세",ROUND(I1429*0.1,0),0))</f>
        <v/>
      </c>
      <c r="L1429" s="28" t="str">
        <f aca="false">IF(I1429="","",I1429+K1429)</f>
        <v/>
      </c>
      <c r="M1429" s="10"/>
      <c r="N1429" s="80"/>
      <c r="O1429" s="80"/>
      <c r="P1429" s="59" t="str">
        <f aca="false">IF(E1429="","",IFERROR(INDEX(기본설정!$H$4:$H$14,MATCH(E1429,기본설정!$G$4:$G$14,0)),""))</f>
        <v/>
      </c>
    </row>
    <row r="1430" customFormat="false" ht="15" hidden="false" customHeight="false" outlineLevel="0" collapsed="false">
      <c r="A1430" s="73"/>
      <c r="B1430" s="10"/>
      <c r="C1430" s="80"/>
      <c r="D1430" s="80"/>
      <c r="E1430" s="81" t="str">
        <f aca="false">IF(D1430="","",IFERROR(INDEX(식자재단가!$B$4:$B$203,MATCH(D1430,식자재단가!$C$4:$C$203,0)),""))</f>
        <v/>
      </c>
      <c r="F1430" s="76"/>
      <c r="G1430" s="59" t="str">
        <f aca="false">IF(D1430="","",IFERROR(INDEX(식자재단가!$F$4:$F$203,MATCH(D1430,식자재단가!$C$4:$C$203,0)),""))</f>
        <v/>
      </c>
      <c r="H1430" s="50"/>
      <c r="I1430" s="82" t="str">
        <f aca="false">IF(OR(F1430="",H1430=""),"",F1430*H1430)</f>
        <v/>
      </c>
      <c r="J1430" s="83" t="str">
        <f aca="false">IF(D1430="","",IFERROR(INDEX(식자재단가!$M$4:$M$203,MATCH(D1430,식자재단가!$C$4:$C$203,0)),"과세"))</f>
        <v/>
      </c>
      <c r="K1430" s="28" t="str">
        <f aca="false">IF(I1430="","",IF(J1430="과세",ROUND(I1430*0.1,0),0))</f>
        <v/>
      </c>
      <c r="L1430" s="28" t="str">
        <f aca="false">IF(I1430="","",I1430+K1430)</f>
        <v/>
      </c>
      <c r="M1430" s="10"/>
      <c r="N1430" s="80"/>
      <c r="O1430" s="80"/>
      <c r="P1430" s="59" t="str">
        <f aca="false">IF(E1430="","",IFERROR(INDEX(기본설정!$H$4:$H$14,MATCH(E1430,기본설정!$G$4:$G$14,0)),""))</f>
        <v/>
      </c>
    </row>
    <row r="1431" customFormat="false" ht="15" hidden="false" customHeight="false" outlineLevel="0" collapsed="false">
      <c r="A1431" s="73"/>
      <c r="B1431" s="10"/>
      <c r="C1431" s="80"/>
      <c r="D1431" s="80"/>
      <c r="E1431" s="81" t="str">
        <f aca="false">IF(D1431="","",IFERROR(INDEX(식자재단가!$B$4:$B$203,MATCH(D1431,식자재단가!$C$4:$C$203,0)),""))</f>
        <v/>
      </c>
      <c r="F1431" s="76"/>
      <c r="G1431" s="59" t="str">
        <f aca="false">IF(D1431="","",IFERROR(INDEX(식자재단가!$F$4:$F$203,MATCH(D1431,식자재단가!$C$4:$C$203,0)),""))</f>
        <v/>
      </c>
      <c r="H1431" s="50"/>
      <c r="I1431" s="82" t="str">
        <f aca="false">IF(OR(F1431="",H1431=""),"",F1431*H1431)</f>
        <v/>
      </c>
      <c r="J1431" s="83" t="str">
        <f aca="false">IF(D1431="","",IFERROR(INDEX(식자재단가!$M$4:$M$203,MATCH(D1431,식자재단가!$C$4:$C$203,0)),"과세"))</f>
        <v/>
      </c>
      <c r="K1431" s="28" t="str">
        <f aca="false">IF(I1431="","",IF(J1431="과세",ROUND(I1431*0.1,0),0))</f>
        <v/>
      </c>
      <c r="L1431" s="28" t="str">
        <f aca="false">IF(I1431="","",I1431+K1431)</f>
        <v/>
      </c>
      <c r="M1431" s="10"/>
      <c r="N1431" s="80"/>
      <c r="O1431" s="80"/>
      <c r="P1431" s="59" t="str">
        <f aca="false">IF(E1431="","",IFERROR(INDEX(기본설정!$H$4:$H$14,MATCH(E1431,기본설정!$G$4:$G$14,0)),""))</f>
        <v/>
      </c>
    </row>
    <row r="1432" customFormat="false" ht="15" hidden="false" customHeight="false" outlineLevel="0" collapsed="false">
      <c r="A1432" s="73"/>
      <c r="B1432" s="10"/>
      <c r="C1432" s="80"/>
      <c r="D1432" s="80"/>
      <c r="E1432" s="81" t="str">
        <f aca="false">IF(D1432="","",IFERROR(INDEX(식자재단가!$B$4:$B$203,MATCH(D1432,식자재단가!$C$4:$C$203,0)),""))</f>
        <v/>
      </c>
      <c r="F1432" s="76"/>
      <c r="G1432" s="59" t="str">
        <f aca="false">IF(D1432="","",IFERROR(INDEX(식자재단가!$F$4:$F$203,MATCH(D1432,식자재단가!$C$4:$C$203,0)),""))</f>
        <v/>
      </c>
      <c r="H1432" s="50"/>
      <c r="I1432" s="82" t="str">
        <f aca="false">IF(OR(F1432="",H1432=""),"",F1432*H1432)</f>
        <v/>
      </c>
      <c r="J1432" s="83" t="str">
        <f aca="false">IF(D1432="","",IFERROR(INDEX(식자재단가!$M$4:$M$203,MATCH(D1432,식자재단가!$C$4:$C$203,0)),"과세"))</f>
        <v/>
      </c>
      <c r="K1432" s="28" t="str">
        <f aca="false">IF(I1432="","",IF(J1432="과세",ROUND(I1432*0.1,0),0))</f>
        <v/>
      </c>
      <c r="L1432" s="28" t="str">
        <f aca="false">IF(I1432="","",I1432+K1432)</f>
        <v/>
      </c>
      <c r="M1432" s="10"/>
      <c r="N1432" s="80"/>
      <c r="O1432" s="80"/>
      <c r="P1432" s="59" t="str">
        <f aca="false">IF(E1432="","",IFERROR(INDEX(기본설정!$H$4:$H$14,MATCH(E1432,기본설정!$G$4:$G$14,0)),""))</f>
        <v/>
      </c>
    </row>
    <row r="1433" customFormat="false" ht="15" hidden="false" customHeight="false" outlineLevel="0" collapsed="false">
      <c r="A1433" s="73"/>
      <c r="B1433" s="10"/>
      <c r="C1433" s="80"/>
      <c r="D1433" s="80"/>
      <c r="E1433" s="81" t="str">
        <f aca="false">IF(D1433="","",IFERROR(INDEX(식자재단가!$B$4:$B$203,MATCH(D1433,식자재단가!$C$4:$C$203,0)),""))</f>
        <v/>
      </c>
      <c r="F1433" s="76"/>
      <c r="G1433" s="59" t="str">
        <f aca="false">IF(D1433="","",IFERROR(INDEX(식자재단가!$F$4:$F$203,MATCH(D1433,식자재단가!$C$4:$C$203,0)),""))</f>
        <v/>
      </c>
      <c r="H1433" s="50"/>
      <c r="I1433" s="82" t="str">
        <f aca="false">IF(OR(F1433="",H1433=""),"",F1433*H1433)</f>
        <v/>
      </c>
      <c r="J1433" s="83" t="str">
        <f aca="false">IF(D1433="","",IFERROR(INDEX(식자재단가!$M$4:$M$203,MATCH(D1433,식자재단가!$C$4:$C$203,0)),"과세"))</f>
        <v/>
      </c>
      <c r="K1433" s="28" t="str">
        <f aca="false">IF(I1433="","",IF(J1433="과세",ROUND(I1433*0.1,0),0))</f>
        <v/>
      </c>
      <c r="L1433" s="28" t="str">
        <f aca="false">IF(I1433="","",I1433+K1433)</f>
        <v/>
      </c>
      <c r="M1433" s="10"/>
      <c r="N1433" s="80"/>
      <c r="O1433" s="80"/>
      <c r="P1433" s="59" t="str">
        <f aca="false">IF(E1433="","",IFERROR(INDEX(기본설정!$H$4:$H$14,MATCH(E1433,기본설정!$G$4:$G$14,0)),""))</f>
        <v/>
      </c>
    </row>
    <row r="1434" customFormat="false" ht="15" hidden="false" customHeight="false" outlineLevel="0" collapsed="false">
      <c r="A1434" s="73"/>
      <c r="B1434" s="10"/>
      <c r="C1434" s="80"/>
      <c r="D1434" s="80"/>
      <c r="E1434" s="81" t="str">
        <f aca="false">IF(D1434="","",IFERROR(INDEX(식자재단가!$B$4:$B$203,MATCH(D1434,식자재단가!$C$4:$C$203,0)),""))</f>
        <v/>
      </c>
      <c r="F1434" s="76"/>
      <c r="G1434" s="59" t="str">
        <f aca="false">IF(D1434="","",IFERROR(INDEX(식자재단가!$F$4:$F$203,MATCH(D1434,식자재단가!$C$4:$C$203,0)),""))</f>
        <v/>
      </c>
      <c r="H1434" s="50"/>
      <c r="I1434" s="82" t="str">
        <f aca="false">IF(OR(F1434="",H1434=""),"",F1434*H1434)</f>
        <v/>
      </c>
      <c r="J1434" s="83" t="str">
        <f aca="false">IF(D1434="","",IFERROR(INDEX(식자재단가!$M$4:$M$203,MATCH(D1434,식자재단가!$C$4:$C$203,0)),"과세"))</f>
        <v/>
      </c>
      <c r="K1434" s="28" t="str">
        <f aca="false">IF(I1434="","",IF(J1434="과세",ROUND(I1434*0.1,0),0))</f>
        <v/>
      </c>
      <c r="L1434" s="28" t="str">
        <f aca="false">IF(I1434="","",I1434+K1434)</f>
        <v/>
      </c>
      <c r="M1434" s="10"/>
      <c r="N1434" s="80"/>
      <c r="O1434" s="80"/>
      <c r="P1434" s="59" t="str">
        <f aca="false">IF(E1434="","",IFERROR(INDEX(기본설정!$H$4:$H$14,MATCH(E1434,기본설정!$G$4:$G$14,0)),""))</f>
        <v/>
      </c>
    </row>
    <row r="1435" customFormat="false" ht="15" hidden="false" customHeight="false" outlineLevel="0" collapsed="false">
      <c r="A1435" s="73"/>
      <c r="B1435" s="10"/>
      <c r="C1435" s="80"/>
      <c r="D1435" s="80"/>
      <c r="E1435" s="81" t="str">
        <f aca="false">IF(D1435="","",IFERROR(INDEX(식자재단가!$B$4:$B$203,MATCH(D1435,식자재단가!$C$4:$C$203,0)),""))</f>
        <v/>
      </c>
      <c r="F1435" s="76"/>
      <c r="G1435" s="59" t="str">
        <f aca="false">IF(D1435="","",IFERROR(INDEX(식자재단가!$F$4:$F$203,MATCH(D1435,식자재단가!$C$4:$C$203,0)),""))</f>
        <v/>
      </c>
      <c r="H1435" s="50"/>
      <c r="I1435" s="82" t="str">
        <f aca="false">IF(OR(F1435="",H1435=""),"",F1435*H1435)</f>
        <v/>
      </c>
      <c r="J1435" s="83" t="str">
        <f aca="false">IF(D1435="","",IFERROR(INDEX(식자재단가!$M$4:$M$203,MATCH(D1435,식자재단가!$C$4:$C$203,0)),"과세"))</f>
        <v/>
      </c>
      <c r="K1435" s="28" t="str">
        <f aca="false">IF(I1435="","",IF(J1435="과세",ROUND(I1435*0.1,0),0))</f>
        <v/>
      </c>
      <c r="L1435" s="28" t="str">
        <f aca="false">IF(I1435="","",I1435+K1435)</f>
        <v/>
      </c>
      <c r="M1435" s="10"/>
      <c r="N1435" s="80"/>
      <c r="O1435" s="80"/>
      <c r="P1435" s="59" t="str">
        <f aca="false">IF(E1435="","",IFERROR(INDEX(기본설정!$H$4:$H$14,MATCH(E1435,기본설정!$G$4:$G$14,0)),""))</f>
        <v/>
      </c>
    </row>
    <row r="1436" customFormat="false" ht="15" hidden="false" customHeight="false" outlineLevel="0" collapsed="false">
      <c r="A1436" s="73"/>
      <c r="B1436" s="10"/>
      <c r="C1436" s="80"/>
      <c r="D1436" s="80"/>
      <c r="E1436" s="81" t="str">
        <f aca="false">IF(D1436="","",IFERROR(INDEX(식자재단가!$B$4:$B$203,MATCH(D1436,식자재단가!$C$4:$C$203,0)),""))</f>
        <v/>
      </c>
      <c r="F1436" s="76"/>
      <c r="G1436" s="59" t="str">
        <f aca="false">IF(D1436="","",IFERROR(INDEX(식자재단가!$F$4:$F$203,MATCH(D1436,식자재단가!$C$4:$C$203,0)),""))</f>
        <v/>
      </c>
      <c r="H1436" s="50"/>
      <c r="I1436" s="82" t="str">
        <f aca="false">IF(OR(F1436="",H1436=""),"",F1436*H1436)</f>
        <v/>
      </c>
      <c r="J1436" s="83" t="str">
        <f aca="false">IF(D1436="","",IFERROR(INDEX(식자재단가!$M$4:$M$203,MATCH(D1436,식자재단가!$C$4:$C$203,0)),"과세"))</f>
        <v/>
      </c>
      <c r="K1436" s="28" t="str">
        <f aca="false">IF(I1436="","",IF(J1436="과세",ROUND(I1436*0.1,0),0))</f>
        <v/>
      </c>
      <c r="L1436" s="28" t="str">
        <f aca="false">IF(I1436="","",I1436+K1436)</f>
        <v/>
      </c>
      <c r="M1436" s="10"/>
      <c r="N1436" s="80"/>
      <c r="O1436" s="80"/>
      <c r="P1436" s="59" t="str">
        <f aca="false">IF(E1436="","",IFERROR(INDEX(기본설정!$H$4:$H$14,MATCH(E1436,기본설정!$G$4:$G$14,0)),""))</f>
        <v/>
      </c>
    </row>
    <row r="1437" customFormat="false" ht="15" hidden="false" customHeight="false" outlineLevel="0" collapsed="false">
      <c r="A1437" s="73"/>
      <c r="B1437" s="10"/>
      <c r="C1437" s="80"/>
      <c r="D1437" s="80"/>
      <c r="E1437" s="81" t="str">
        <f aca="false">IF(D1437="","",IFERROR(INDEX(식자재단가!$B$4:$B$203,MATCH(D1437,식자재단가!$C$4:$C$203,0)),""))</f>
        <v/>
      </c>
      <c r="F1437" s="76"/>
      <c r="G1437" s="59" t="str">
        <f aca="false">IF(D1437="","",IFERROR(INDEX(식자재단가!$F$4:$F$203,MATCH(D1437,식자재단가!$C$4:$C$203,0)),""))</f>
        <v/>
      </c>
      <c r="H1437" s="50"/>
      <c r="I1437" s="82" t="str">
        <f aca="false">IF(OR(F1437="",H1437=""),"",F1437*H1437)</f>
        <v/>
      </c>
      <c r="J1437" s="83" t="str">
        <f aca="false">IF(D1437="","",IFERROR(INDEX(식자재단가!$M$4:$M$203,MATCH(D1437,식자재단가!$C$4:$C$203,0)),"과세"))</f>
        <v/>
      </c>
      <c r="K1437" s="28" t="str">
        <f aca="false">IF(I1437="","",IF(J1437="과세",ROUND(I1437*0.1,0),0))</f>
        <v/>
      </c>
      <c r="L1437" s="28" t="str">
        <f aca="false">IF(I1437="","",I1437+K1437)</f>
        <v/>
      </c>
      <c r="M1437" s="10"/>
      <c r="N1437" s="80"/>
      <c r="O1437" s="80"/>
      <c r="P1437" s="59" t="str">
        <f aca="false">IF(E1437="","",IFERROR(INDEX(기본설정!$H$4:$H$14,MATCH(E1437,기본설정!$G$4:$G$14,0)),""))</f>
        <v/>
      </c>
    </row>
    <row r="1438" customFormat="false" ht="15" hidden="false" customHeight="false" outlineLevel="0" collapsed="false">
      <c r="A1438" s="73"/>
      <c r="B1438" s="10"/>
      <c r="C1438" s="80"/>
      <c r="D1438" s="80"/>
      <c r="E1438" s="81" t="str">
        <f aca="false">IF(D1438="","",IFERROR(INDEX(식자재단가!$B$4:$B$203,MATCH(D1438,식자재단가!$C$4:$C$203,0)),""))</f>
        <v/>
      </c>
      <c r="F1438" s="76"/>
      <c r="G1438" s="59" t="str">
        <f aca="false">IF(D1438="","",IFERROR(INDEX(식자재단가!$F$4:$F$203,MATCH(D1438,식자재단가!$C$4:$C$203,0)),""))</f>
        <v/>
      </c>
      <c r="H1438" s="50"/>
      <c r="I1438" s="82" t="str">
        <f aca="false">IF(OR(F1438="",H1438=""),"",F1438*H1438)</f>
        <v/>
      </c>
      <c r="J1438" s="83" t="str">
        <f aca="false">IF(D1438="","",IFERROR(INDEX(식자재단가!$M$4:$M$203,MATCH(D1438,식자재단가!$C$4:$C$203,0)),"과세"))</f>
        <v/>
      </c>
      <c r="K1438" s="28" t="str">
        <f aca="false">IF(I1438="","",IF(J1438="과세",ROUND(I1438*0.1,0),0))</f>
        <v/>
      </c>
      <c r="L1438" s="28" t="str">
        <f aca="false">IF(I1438="","",I1438+K1438)</f>
        <v/>
      </c>
      <c r="M1438" s="10"/>
      <c r="N1438" s="80"/>
      <c r="O1438" s="80"/>
      <c r="P1438" s="59" t="str">
        <f aca="false">IF(E1438="","",IFERROR(INDEX(기본설정!$H$4:$H$14,MATCH(E1438,기본설정!$G$4:$G$14,0)),""))</f>
        <v/>
      </c>
    </row>
    <row r="1439" customFormat="false" ht="15" hidden="false" customHeight="false" outlineLevel="0" collapsed="false">
      <c r="A1439" s="73"/>
      <c r="B1439" s="10"/>
      <c r="C1439" s="80"/>
      <c r="D1439" s="80"/>
      <c r="E1439" s="81" t="str">
        <f aca="false">IF(D1439="","",IFERROR(INDEX(식자재단가!$B$4:$B$203,MATCH(D1439,식자재단가!$C$4:$C$203,0)),""))</f>
        <v/>
      </c>
      <c r="F1439" s="76"/>
      <c r="G1439" s="59" t="str">
        <f aca="false">IF(D1439="","",IFERROR(INDEX(식자재단가!$F$4:$F$203,MATCH(D1439,식자재단가!$C$4:$C$203,0)),""))</f>
        <v/>
      </c>
      <c r="H1439" s="50"/>
      <c r="I1439" s="82" t="str">
        <f aca="false">IF(OR(F1439="",H1439=""),"",F1439*H1439)</f>
        <v/>
      </c>
      <c r="J1439" s="83" t="str">
        <f aca="false">IF(D1439="","",IFERROR(INDEX(식자재단가!$M$4:$M$203,MATCH(D1439,식자재단가!$C$4:$C$203,0)),"과세"))</f>
        <v/>
      </c>
      <c r="K1439" s="28" t="str">
        <f aca="false">IF(I1439="","",IF(J1439="과세",ROUND(I1439*0.1,0),0))</f>
        <v/>
      </c>
      <c r="L1439" s="28" t="str">
        <f aca="false">IF(I1439="","",I1439+K1439)</f>
        <v/>
      </c>
      <c r="M1439" s="10"/>
      <c r="N1439" s="80"/>
      <c r="O1439" s="80"/>
      <c r="P1439" s="59" t="str">
        <f aca="false">IF(E1439="","",IFERROR(INDEX(기본설정!$H$4:$H$14,MATCH(E1439,기본설정!$G$4:$G$14,0)),""))</f>
        <v/>
      </c>
    </row>
    <row r="1440" customFormat="false" ht="15" hidden="false" customHeight="false" outlineLevel="0" collapsed="false">
      <c r="A1440" s="73"/>
      <c r="B1440" s="10"/>
      <c r="C1440" s="80"/>
      <c r="D1440" s="80"/>
      <c r="E1440" s="81" t="str">
        <f aca="false">IF(D1440="","",IFERROR(INDEX(식자재단가!$B$4:$B$203,MATCH(D1440,식자재단가!$C$4:$C$203,0)),""))</f>
        <v/>
      </c>
      <c r="F1440" s="76"/>
      <c r="G1440" s="59" t="str">
        <f aca="false">IF(D1440="","",IFERROR(INDEX(식자재단가!$F$4:$F$203,MATCH(D1440,식자재단가!$C$4:$C$203,0)),""))</f>
        <v/>
      </c>
      <c r="H1440" s="50"/>
      <c r="I1440" s="82" t="str">
        <f aca="false">IF(OR(F1440="",H1440=""),"",F1440*H1440)</f>
        <v/>
      </c>
      <c r="J1440" s="83" t="str">
        <f aca="false">IF(D1440="","",IFERROR(INDEX(식자재단가!$M$4:$M$203,MATCH(D1440,식자재단가!$C$4:$C$203,0)),"과세"))</f>
        <v/>
      </c>
      <c r="K1440" s="28" t="str">
        <f aca="false">IF(I1440="","",IF(J1440="과세",ROUND(I1440*0.1,0),0))</f>
        <v/>
      </c>
      <c r="L1440" s="28" t="str">
        <f aca="false">IF(I1440="","",I1440+K1440)</f>
        <v/>
      </c>
      <c r="M1440" s="10"/>
      <c r="N1440" s="80"/>
      <c r="O1440" s="80"/>
      <c r="P1440" s="59" t="str">
        <f aca="false">IF(E1440="","",IFERROR(INDEX(기본설정!$H$4:$H$14,MATCH(E1440,기본설정!$G$4:$G$14,0)),""))</f>
        <v/>
      </c>
    </row>
    <row r="1441" customFormat="false" ht="15" hidden="false" customHeight="false" outlineLevel="0" collapsed="false">
      <c r="A1441" s="73"/>
      <c r="B1441" s="10"/>
      <c r="C1441" s="80"/>
      <c r="D1441" s="80"/>
      <c r="E1441" s="81" t="str">
        <f aca="false">IF(D1441="","",IFERROR(INDEX(식자재단가!$B$4:$B$203,MATCH(D1441,식자재단가!$C$4:$C$203,0)),""))</f>
        <v/>
      </c>
      <c r="F1441" s="76"/>
      <c r="G1441" s="59" t="str">
        <f aca="false">IF(D1441="","",IFERROR(INDEX(식자재단가!$F$4:$F$203,MATCH(D1441,식자재단가!$C$4:$C$203,0)),""))</f>
        <v/>
      </c>
      <c r="H1441" s="50"/>
      <c r="I1441" s="82" t="str">
        <f aca="false">IF(OR(F1441="",H1441=""),"",F1441*H1441)</f>
        <v/>
      </c>
      <c r="J1441" s="83" t="str">
        <f aca="false">IF(D1441="","",IFERROR(INDEX(식자재단가!$M$4:$M$203,MATCH(D1441,식자재단가!$C$4:$C$203,0)),"과세"))</f>
        <v/>
      </c>
      <c r="K1441" s="28" t="str">
        <f aca="false">IF(I1441="","",IF(J1441="과세",ROUND(I1441*0.1,0),0))</f>
        <v/>
      </c>
      <c r="L1441" s="28" t="str">
        <f aca="false">IF(I1441="","",I1441+K1441)</f>
        <v/>
      </c>
      <c r="M1441" s="10"/>
      <c r="N1441" s="80"/>
      <c r="O1441" s="80"/>
      <c r="P1441" s="59" t="str">
        <f aca="false">IF(E1441="","",IFERROR(INDEX(기본설정!$H$4:$H$14,MATCH(E1441,기본설정!$G$4:$G$14,0)),""))</f>
        <v/>
      </c>
    </row>
    <row r="1442" customFormat="false" ht="15" hidden="false" customHeight="false" outlineLevel="0" collapsed="false">
      <c r="A1442" s="73"/>
      <c r="B1442" s="10"/>
      <c r="C1442" s="80"/>
      <c r="D1442" s="80"/>
      <c r="E1442" s="81" t="str">
        <f aca="false">IF(D1442="","",IFERROR(INDEX(식자재단가!$B$4:$B$203,MATCH(D1442,식자재단가!$C$4:$C$203,0)),""))</f>
        <v/>
      </c>
      <c r="F1442" s="76"/>
      <c r="G1442" s="59" t="str">
        <f aca="false">IF(D1442="","",IFERROR(INDEX(식자재단가!$F$4:$F$203,MATCH(D1442,식자재단가!$C$4:$C$203,0)),""))</f>
        <v/>
      </c>
      <c r="H1442" s="50"/>
      <c r="I1442" s="82" t="str">
        <f aca="false">IF(OR(F1442="",H1442=""),"",F1442*H1442)</f>
        <v/>
      </c>
      <c r="J1442" s="83" t="str">
        <f aca="false">IF(D1442="","",IFERROR(INDEX(식자재단가!$M$4:$M$203,MATCH(D1442,식자재단가!$C$4:$C$203,0)),"과세"))</f>
        <v/>
      </c>
      <c r="K1442" s="28" t="str">
        <f aca="false">IF(I1442="","",IF(J1442="과세",ROUND(I1442*0.1,0),0))</f>
        <v/>
      </c>
      <c r="L1442" s="28" t="str">
        <f aca="false">IF(I1442="","",I1442+K1442)</f>
        <v/>
      </c>
      <c r="M1442" s="10"/>
      <c r="N1442" s="80"/>
      <c r="O1442" s="80"/>
      <c r="P1442" s="59" t="str">
        <f aca="false">IF(E1442="","",IFERROR(INDEX(기본설정!$H$4:$H$14,MATCH(E1442,기본설정!$G$4:$G$14,0)),""))</f>
        <v/>
      </c>
    </row>
    <row r="1443" customFormat="false" ht="15" hidden="false" customHeight="false" outlineLevel="0" collapsed="false">
      <c r="A1443" s="73"/>
      <c r="B1443" s="10"/>
      <c r="C1443" s="80"/>
      <c r="D1443" s="80"/>
      <c r="E1443" s="81" t="str">
        <f aca="false">IF(D1443="","",IFERROR(INDEX(식자재단가!$B$4:$B$203,MATCH(D1443,식자재단가!$C$4:$C$203,0)),""))</f>
        <v/>
      </c>
      <c r="F1443" s="76"/>
      <c r="G1443" s="59" t="str">
        <f aca="false">IF(D1443="","",IFERROR(INDEX(식자재단가!$F$4:$F$203,MATCH(D1443,식자재단가!$C$4:$C$203,0)),""))</f>
        <v/>
      </c>
      <c r="H1443" s="50"/>
      <c r="I1443" s="82" t="str">
        <f aca="false">IF(OR(F1443="",H1443=""),"",F1443*H1443)</f>
        <v/>
      </c>
      <c r="J1443" s="83" t="str">
        <f aca="false">IF(D1443="","",IFERROR(INDEX(식자재단가!$M$4:$M$203,MATCH(D1443,식자재단가!$C$4:$C$203,0)),"과세"))</f>
        <v/>
      </c>
      <c r="K1443" s="28" t="str">
        <f aca="false">IF(I1443="","",IF(J1443="과세",ROUND(I1443*0.1,0),0))</f>
        <v/>
      </c>
      <c r="L1443" s="28" t="str">
        <f aca="false">IF(I1443="","",I1443+K1443)</f>
        <v/>
      </c>
      <c r="M1443" s="10"/>
      <c r="N1443" s="80"/>
      <c r="O1443" s="80"/>
      <c r="P1443" s="59" t="str">
        <f aca="false">IF(E1443="","",IFERROR(INDEX(기본설정!$H$4:$H$14,MATCH(E1443,기본설정!$G$4:$G$14,0)),""))</f>
        <v/>
      </c>
    </row>
    <row r="1444" customFormat="false" ht="15" hidden="false" customHeight="false" outlineLevel="0" collapsed="false">
      <c r="A1444" s="73"/>
      <c r="B1444" s="10"/>
      <c r="C1444" s="80"/>
      <c r="D1444" s="80"/>
      <c r="E1444" s="81" t="str">
        <f aca="false">IF(D1444="","",IFERROR(INDEX(식자재단가!$B$4:$B$203,MATCH(D1444,식자재단가!$C$4:$C$203,0)),""))</f>
        <v/>
      </c>
      <c r="F1444" s="76"/>
      <c r="G1444" s="59" t="str">
        <f aca="false">IF(D1444="","",IFERROR(INDEX(식자재단가!$F$4:$F$203,MATCH(D1444,식자재단가!$C$4:$C$203,0)),""))</f>
        <v/>
      </c>
      <c r="H1444" s="50"/>
      <c r="I1444" s="82" t="str">
        <f aca="false">IF(OR(F1444="",H1444=""),"",F1444*H1444)</f>
        <v/>
      </c>
      <c r="J1444" s="83" t="str">
        <f aca="false">IF(D1444="","",IFERROR(INDEX(식자재단가!$M$4:$M$203,MATCH(D1444,식자재단가!$C$4:$C$203,0)),"과세"))</f>
        <v/>
      </c>
      <c r="K1444" s="28" t="str">
        <f aca="false">IF(I1444="","",IF(J1444="과세",ROUND(I1444*0.1,0),0))</f>
        <v/>
      </c>
      <c r="L1444" s="28" t="str">
        <f aca="false">IF(I1444="","",I1444+K1444)</f>
        <v/>
      </c>
      <c r="M1444" s="10"/>
      <c r="N1444" s="80"/>
      <c r="O1444" s="80"/>
      <c r="P1444" s="59" t="str">
        <f aca="false">IF(E1444="","",IFERROR(INDEX(기본설정!$H$4:$H$14,MATCH(E1444,기본설정!$G$4:$G$14,0)),""))</f>
        <v/>
      </c>
    </row>
    <row r="1445" customFormat="false" ht="15" hidden="false" customHeight="false" outlineLevel="0" collapsed="false">
      <c r="A1445" s="73"/>
      <c r="B1445" s="10"/>
      <c r="C1445" s="80"/>
      <c r="D1445" s="80"/>
      <c r="E1445" s="81" t="str">
        <f aca="false">IF(D1445="","",IFERROR(INDEX(식자재단가!$B$4:$B$203,MATCH(D1445,식자재단가!$C$4:$C$203,0)),""))</f>
        <v/>
      </c>
      <c r="F1445" s="76"/>
      <c r="G1445" s="59" t="str">
        <f aca="false">IF(D1445="","",IFERROR(INDEX(식자재단가!$F$4:$F$203,MATCH(D1445,식자재단가!$C$4:$C$203,0)),""))</f>
        <v/>
      </c>
      <c r="H1445" s="50"/>
      <c r="I1445" s="82" t="str">
        <f aca="false">IF(OR(F1445="",H1445=""),"",F1445*H1445)</f>
        <v/>
      </c>
      <c r="J1445" s="83" t="str">
        <f aca="false">IF(D1445="","",IFERROR(INDEX(식자재단가!$M$4:$M$203,MATCH(D1445,식자재단가!$C$4:$C$203,0)),"과세"))</f>
        <v/>
      </c>
      <c r="K1445" s="28" t="str">
        <f aca="false">IF(I1445="","",IF(J1445="과세",ROUND(I1445*0.1,0),0))</f>
        <v/>
      </c>
      <c r="L1445" s="28" t="str">
        <f aca="false">IF(I1445="","",I1445+K1445)</f>
        <v/>
      </c>
      <c r="M1445" s="10"/>
      <c r="N1445" s="80"/>
      <c r="O1445" s="80"/>
      <c r="P1445" s="59" t="str">
        <f aca="false">IF(E1445="","",IFERROR(INDEX(기본설정!$H$4:$H$14,MATCH(E1445,기본설정!$G$4:$G$14,0)),""))</f>
        <v/>
      </c>
    </row>
    <row r="1446" customFormat="false" ht="15" hidden="false" customHeight="false" outlineLevel="0" collapsed="false">
      <c r="A1446" s="73"/>
      <c r="B1446" s="10"/>
      <c r="C1446" s="80"/>
      <c r="D1446" s="80"/>
      <c r="E1446" s="81" t="str">
        <f aca="false">IF(D1446="","",IFERROR(INDEX(식자재단가!$B$4:$B$203,MATCH(D1446,식자재단가!$C$4:$C$203,0)),""))</f>
        <v/>
      </c>
      <c r="F1446" s="76"/>
      <c r="G1446" s="59" t="str">
        <f aca="false">IF(D1446="","",IFERROR(INDEX(식자재단가!$F$4:$F$203,MATCH(D1446,식자재단가!$C$4:$C$203,0)),""))</f>
        <v/>
      </c>
      <c r="H1446" s="50"/>
      <c r="I1446" s="82" t="str">
        <f aca="false">IF(OR(F1446="",H1446=""),"",F1446*H1446)</f>
        <v/>
      </c>
      <c r="J1446" s="83" t="str">
        <f aca="false">IF(D1446="","",IFERROR(INDEX(식자재단가!$M$4:$M$203,MATCH(D1446,식자재단가!$C$4:$C$203,0)),"과세"))</f>
        <v/>
      </c>
      <c r="K1446" s="28" t="str">
        <f aca="false">IF(I1446="","",IF(J1446="과세",ROUND(I1446*0.1,0),0))</f>
        <v/>
      </c>
      <c r="L1446" s="28" t="str">
        <f aca="false">IF(I1446="","",I1446+K1446)</f>
        <v/>
      </c>
      <c r="M1446" s="10"/>
      <c r="N1446" s="80"/>
      <c r="O1446" s="80"/>
      <c r="P1446" s="59" t="str">
        <f aca="false">IF(E1446="","",IFERROR(INDEX(기본설정!$H$4:$H$14,MATCH(E1446,기본설정!$G$4:$G$14,0)),""))</f>
        <v/>
      </c>
    </row>
    <row r="1447" customFormat="false" ht="15" hidden="false" customHeight="false" outlineLevel="0" collapsed="false">
      <c r="A1447" s="73"/>
      <c r="B1447" s="10"/>
      <c r="C1447" s="80"/>
      <c r="D1447" s="80"/>
      <c r="E1447" s="81" t="str">
        <f aca="false">IF(D1447="","",IFERROR(INDEX(식자재단가!$B$4:$B$203,MATCH(D1447,식자재단가!$C$4:$C$203,0)),""))</f>
        <v/>
      </c>
      <c r="F1447" s="76"/>
      <c r="G1447" s="59" t="str">
        <f aca="false">IF(D1447="","",IFERROR(INDEX(식자재단가!$F$4:$F$203,MATCH(D1447,식자재단가!$C$4:$C$203,0)),""))</f>
        <v/>
      </c>
      <c r="H1447" s="50"/>
      <c r="I1447" s="82" t="str">
        <f aca="false">IF(OR(F1447="",H1447=""),"",F1447*H1447)</f>
        <v/>
      </c>
      <c r="J1447" s="83" t="str">
        <f aca="false">IF(D1447="","",IFERROR(INDEX(식자재단가!$M$4:$M$203,MATCH(D1447,식자재단가!$C$4:$C$203,0)),"과세"))</f>
        <v/>
      </c>
      <c r="K1447" s="28" t="str">
        <f aca="false">IF(I1447="","",IF(J1447="과세",ROUND(I1447*0.1,0),0))</f>
        <v/>
      </c>
      <c r="L1447" s="28" t="str">
        <f aca="false">IF(I1447="","",I1447+K1447)</f>
        <v/>
      </c>
      <c r="M1447" s="10"/>
      <c r="N1447" s="80"/>
      <c r="O1447" s="80"/>
      <c r="P1447" s="59" t="str">
        <f aca="false">IF(E1447="","",IFERROR(INDEX(기본설정!$H$4:$H$14,MATCH(E1447,기본설정!$G$4:$G$14,0)),""))</f>
        <v/>
      </c>
    </row>
    <row r="1448" customFormat="false" ht="15" hidden="false" customHeight="false" outlineLevel="0" collapsed="false">
      <c r="A1448" s="73"/>
      <c r="B1448" s="10"/>
      <c r="C1448" s="80"/>
      <c r="D1448" s="80"/>
      <c r="E1448" s="81" t="str">
        <f aca="false">IF(D1448="","",IFERROR(INDEX(식자재단가!$B$4:$B$203,MATCH(D1448,식자재단가!$C$4:$C$203,0)),""))</f>
        <v/>
      </c>
      <c r="F1448" s="76"/>
      <c r="G1448" s="59" t="str">
        <f aca="false">IF(D1448="","",IFERROR(INDEX(식자재단가!$F$4:$F$203,MATCH(D1448,식자재단가!$C$4:$C$203,0)),""))</f>
        <v/>
      </c>
      <c r="H1448" s="50"/>
      <c r="I1448" s="82" t="str">
        <f aca="false">IF(OR(F1448="",H1448=""),"",F1448*H1448)</f>
        <v/>
      </c>
      <c r="J1448" s="83" t="str">
        <f aca="false">IF(D1448="","",IFERROR(INDEX(식자재단가!$M$4:$M$203,MATCH(D1448,식자재단가!$C$4:$C$203,0)),"과세"))</f>
        <v/>
      </c>
      <c r="K1448" s="28" t="str">
        <f aca="false">IF(I1448="","",IF(J1448="과세",ROUND(I1448*0.1,0),0))</f>
        <v/>
      </c>
      <c r="L1448" s="28" t="str">
        <f aca="false">IF(I1448="","",I1448+K1448)</f>
        <v/>
      </c>
      <c r="M1448" s="10"/>
      <c r="N1448" s="80"/>
      <c r="O1448" s="80"/>
      <c r="P1448" s="59" t="str">
        <f aca="false">IF(E1448="","",IFERROR(INDEX(기본설정!$H$4:$H$14,MATCH(E1448,기본설정!$G$4:$G$14,0)),""))</f>
        <v/>
      </c>
    </row>
    <row r="1449" customFormat="false" ht="15" hidden="false" customHeight="false" outlineLevel="0" collapsed="false">
      <c r="A1449" s="73"/>
      <c r="B1449" s="10"/>
      <c r="C1449" s="80"/>
      <c r="D1449" s="80"/>
      <c r="E1449" s="81" t="str">
        <f aca="false">IF(D1449="","",IFERROR(INDEX(식자재단가!$B$4:$B$203,MATCH(D1449,식자재단가!$C$4:$C$203,0)),""))</f>
        <v/>
      </c>
      <c r="F1449" s="76"/>
      <c r="G1449" s="59" t="str">
        <f aca="false">IF(D1449="","",IFERROR(INDEX(식자재단가!$F$4:$F$203,MATCH(D1449,식자재단가!$C$4:$C$203,0)),""))</f>
        <v/>
      </c>
      <c r="H1449" s="50"/>
      <c r="I1449" s="82" t="str">
        <f aca="false">IF(OR(F1449="",H1449=""),"",F1449*H1449)</f>
        <v/>
      </c>
      <c r="J1449" s="83" t="str">
        <f aca="false">IF(D1449="","",IFERROR(INDEX(식자재단가!$M$4:$M$203,MATCH(D1449,식자재단가!$C$4:$C$203,0)),"과세"))</f>
        <v/>
      </c>
      <c r="K1449" s="28" t="str">
        <f aca="false">IF(I1449="","",IF(J1449="과세",ROUND(I1449*0.1,0),0))</f>
        <v/>
      </c>
      <c r="L1449" s="28" t="str">
        <f aca="false">IF(I1449="","",I1449+K1449)</f>
        <v/>
      </c>
      <c r="M1449" s="10"/>
      <c r="N1449" s="80"/>
      <c r="O1449" s="80"/>
      <c r="P1449" s="59" t="str">
        <f aca="false">IF(E1449="","",IFERROR(INDEX(기본설정!$H$4:$H$14,MATCH(E1449,기본설정!$G$4:$G$14,0)),""))</f>
        <v/>
      </c>
    </row>
    <row r="1450" customFormat="false" ht="15" hidden="false" customHeight="false" outlineLevel="0" collapsed="false">
      <c r="A1450" s="73"/>
      <c r="B1450" s="10"/>
      <c r="C1450" s="80"/>
      <c r="D1450" s="80"/>
      <c r="E1450" s="81" t="str">
        <f aca="false">IF(D1450="","",IFERROR(INDEX(식자재단가!$B$4:$B$203,MATCH(D1450,식자재단가!$C$4:$C$203,0)),""))</f>
        <v/>
      </c>
      <c r="F1450" s="76"/>
      <c r="G1450" s="59" t="str">
        <f aca="false">IF(D1450="","",IFERROR(INDEX(식자재단가!$F$4:$F$203,MATCH(D1450,식자재단가!$C$4:$C$203,0)),""))</f>
        <v/>
      </c>
      <c r="H1450" s="50"/>
      <c r="I1450" s="82" t="str">
        <f aca="false">IF(OR(F1450="",H1450=""),"",F1450*H1450)</f>
        <v/>
      </c>
      <c r="J1450" s="83" t="str">
        <f aca="false">IF(D1450="","",IFERROR(INDEX(식자재단가!$M$4:$M$203,MATCH(D1450,식자재단가!$C$4:$C$203,0)),"과세"))</f>
        <v/>
      </c>
      <c r="K1450" s="28" t="str">
        <f aca="false">IF(I1450="","",IF(J1450="과세",ROUND(I1450*0.1,0),0))</f>
        <v/>
      </c>
      <c r="L1450" s="28" t="str">
        <f aca="false">IF(I1450="","",I1450+K1450)</f>
        <v/>
      </c>
      <c r="M1450" s="10"/>
      <c r="N1450" s="80"/>
      <c r="O1450" s="80"/>
      <c r="P1450" s="59" t="str">
        <f aca="false">IF(E1450="","",IFERROR(INDEX(기본설정!$H$4:$H$14,MATCH(E1450,기본설정!$G$4:$G$14,0)),""))</f>
        <v/>
      </c>
    </row>
    <row r="1451" customFormat="false" ht="15" hidden="false" customHeight="false" outlineLevel="0" collapsed="false">
      <c r="A1451" s="73"/>
      <c r="B1451" s="10"/>
      <c r="C1451" s="80"/>
      <c r="D1451" s="80"/>
      <c r="E1451" s="81" t="str">
        <f aca="false">IF(D1451="","",IFERROR(INDEX(식자재단가!$B$4:$B$203,MATCH(D1451,식자재단가!$C$4:$C$203,0)),""))</f>
        <v/>
      </c>
      <c r="F1451" s="76"/>
      <c r="G1451" s="59" t="str">
        <f aca="false">IF(D1451="","",IFERROR(INDEX(식자재단가!$F$4:$F$203,MATCH(D1451,식자재단가!$C$4:$C$203,0)),""))</f>
        <v/>
      </c>
      <c r="H1451" s="50"/>
      <c r="I1451" s="82" t="str">
        <f aca="false">IF(OR(F1451="",H1451=""),"",F1451*H1451)</f>
        <v/>
      </c>
      <c r="J1451" s="83" t="str">
        <f aca="false">IF(D1451="","",IFERROR(INDEX(식자재단가!$M$4:$M$203,MATCH(D1451,식자재단가!$C$4:$C$203,0)),"과세"))</f>
        <v/>
      </c>
      <c r="K1451" s="28" t="str">
        <f aca="false">IF(I1451="","",IF(J1451="과세",ROUND(I1451*0.1,0),0))</f>
        <v/>
      </c>
      <c r="L1451" s="28" t="str">
        <f aca="false">IF(I1451="","",I1451+K1451)</f>
        <v/>
      </c>
      <c r="M1451" s="10"/>
      <c r="N1451" s="80"/>
      <c r="O1451" s="80"/>
      <c r="P1451" s="59" t="str">
        <f aca="false">IF(E1451="","",IFERROR(INDEX(기본설정!$H$4:$H$14,MATCH(E1451,기본설정!$G$4:$G$14,0)),""))</f>
        <v/>
      </c>
    </row>
    <row r="1452" customFormat="false" ht="15" hidden="false" customHeight="false" outlineLevel="0" collapsed="false">
      <c r="A1452" s="73"/>
      <c r="B1452" s="10"/>
      <c r="C1452" s="80"/>
      <c r="D1452" s="80"/>
      <c r="E1452" s="81" t="str">
        <f aca="false">IF(D1452="","",IFERROR(INDEX(식자재단가!$B$4:$B$203,MATCH(D1452,식자재단가!$C$4:$C$203,0)),""))</f>
        <v/>
      </c>
      <c r="F1452" s="76"/>
      <c r="G1452" s="59" t="str">
        <f aca="false">IF(D1452="","",IFERROR(INDEX(식자재단가!$F$4:$F$203,MATCH(D1452,식자재단가!$C$4:$C$203,0)),""))</f>
        <v/>
      </c>
      <c r="H1452" s="50"/>
      <c r="I1452" s="82" t="str">
        <f aca="false">IF(OR(F1452="",H1452=""),"",F1452*H1452)</f>
        <v/>
      </c>
      <c r="J1452" s="83" t="str">
        <f aca="false">IF(D1452="","",IFERROR(INDEX(식자재단가!$M$4:$M$203,MATCH(D1452,식자재단가!$C$4:$C$203,0)),"과세"))</f>
        <v/>
      </c>
      <c r="K1452" s="28" t="str">
        <f aca="false">IF(I1452="","",IF(J1452="과세",ROUND(I1452*0.1,0),0))</f>
        <v/>
      </c>
      <c r="L1452" s="28" t="str">
        <f aca="false">IF(I1452="","",I1452+K1452)</f>
        <v/>
      </c>
      <c r="M1452" s="10"/>
      <c r="N1452" s="80"/>
      <c r="O1452" s="80"/>
      <c r="P1452" s="59" t="str">
        <f aca="false">IF(E1452="","",IFERROR(INDEX(기본설정!$H$4:$H$14,MATCH(E1452,기본설정!$G$4:$G$14,0)),""))</f>
        <v/>
      </c>
    </row>
    <row r="1453" customFormat="false" ht="15" hidden="false" customHeight="false" outlineLevel="0" collapsed="false">
      <c r="A1453" s="73"/>
      <c r="B1453" s="10"/>
      <c r="C1453" s="80"/>
      <c r="D1453" s="80"/>
      <c r="E1453" s="81" t="str">
        <f aca="false">IF(D1453="","",IFERROR(INDEX(식자재단가!$B$4:$B$203,MATCH(D1453,식자재단가!$C$4:$C$203,0)),""))</f>
        <v/>
      </c>
      <c r="F1453" s="76"/>
      <c r="G1453" s="59" t="str">
        <f aca="false">IF(D1453="","",IFERROR(INDEX(식자재단가!$F$4:$F$203,MATCH(D1453,식자재단가!$C$4:$C$203,0)),""))</f>
        <v/>
      </c>
      <c r="H1453" s="50"/>
      <c r="I1453" s="82" t="str">
        <f aca="false">IF(OR(F1453="",H1453=""),"",F1453*H1453)</f>
        <v/>
      </c>
      <c r="J1453" s="83" t="str">
        <f aca="false">IF(D1453="","",IFERROR(INDEX(식자재단가!$M$4:$M$203,MATCH(D1453,식자재단가!$C$4:$C$203,0)),"과세"))</f>
        <v/>
      </c>
      <c r="K1453" s="28" t="str">
        <f aca="false">IF(I1453="","",IF(J1453="과세",ROUND(I1453*0.1,0),0))</f>
        <v/>
      </c>
      <c r="L1453" s="28" t="str">
        <f aca="false">IF(I1453="","",I1453+K1453)</f>
        <v/>
      </c>
      <c r="M1453" s="10"/>
      <c r="N1453" s="80"/>
      <c r="O1453" s="80"/>
      <c r="P1453" s="59" t="str">
        <f aca="false">IF(E1453="","",IFERROR(INDEX(기본설정!$H$4:$H$14,MATCH(E1453,기본설정!$G$4:$G$14,0)),""))</f>
        <v/>
      </c>
    </row>
    <row r="1454" customFormat="false" ht="15" hidden="false" customHeight="false" outlineLevel="0" collapsed="false">
      <c r="A1454" s="73"/>
      <c r="B1454" s="10"/>
      <c r="C1454" s="80"/>
      <c r="D1454" s="80"/>
      <c r="E1454" s="81" t="str">
        <f aca="false">IF(D1454="","",IFERROR(INDEX(식자재단가!$B$4:$B$203,MATCH(D1454,식자재단가!$C$4:$C$203,0)),""))</f>
        <v/>
      </c>
      <c r="F1454" s="76"/>
      <c r="G1454" s="59" t="str">
        <f aca="false">IF(D1454="","",IFERROR(INDEX(식자재단가!$F$4:$F$203,MATCH(D1454,식자재단가!$C$4:$C$203,0)),""))</f>
        <v/>
      </c>
      <c r="H1454" s="50"/>
      <c r="I1454" s="82" t="str">
        <f aca="false">IF(OR(F1454="",H1454=""),"",F1454*H1454)</f>
        <v/>
      </c>
      <c r="J1454" s="83" t="str">
        <f aca="false">IF(D1454="","",IFERROR(INDEX(식자재단가!$M$4:$M$203,MATCH(D1454,식자재단가!$C$4:$C$203,0)),"과세"))</f>
        <v/>
      </c>
      <c r="K1454" s="28" t="str">
        <f aca="false">IF(I1454="","",IF(J1454="과세",ROUND(I1454*0.1,0),0))</f>
        <v/>
      </c>
      <c r="L1454" s="28" t="str">
        <f aca="false">IF(I1454="","",I1454+K1454)</f>
        <v/>
      </c>
      <c r="M1454" s="10"/>
      <c r="N1454" s="80"/>
      <c r="O1454" s="80"/>
      <c r="P1454" s="59" t="str">
        <f aca="false">IF(E1454="","",IFERROR(INDEX(기본설정!$H$4:$H$14,MATCH(E1454,기본설정!$G$4:$G$14,0)),""))</f>
        <v/>
      </c>
    </row>
    <row r="1455" customFormat="false" ht="15" hidden="false" customHeight="false" outlineLevel="0" collapsed="false">
      <c r="A1455" s="73"/>
      <c r="B1455" s="10"/>
      <c r="C1455" s="80"/>
      <c r="D1455" s="80"/>
      <c r="E1455" s="81" t="str">
        <f aca="false">IF(D1455="","",IFERROR(INDEX(식자재단가!$B$4:$B$203,MATCH(D1455,식자재단가!$C$4:$C$203,0)),""))</f>
        <v/>
      </c>
      <c r="F1455" s="76"/>
      <c r="G1455" s="59" t="str">
        <f aca="false">IF(D1455="","",IFERROR(INDEX(식자재단가!$F$4:$F$203,MATCH(D1455,식자재단가!$C$4:$C$203,0)),""))</f>
        <v/>
      </c>
      <c r="H1455" s="50"/>
      <c r="I1455" s="82" t="str">
        <f aca="false">IF(OR(F1455="",H1455=""),"",F1455*H1455)</f>
        <v/>
      </c>
      <c r="J1455" s="83" t="str">
        <f aca="false">IF(D1455="","",IFERROR(INDEX(식자재단가!$M$4:$M$203,MATCH(D1455,식자재단가!$C$4:$C$203,0)),"과세"))</f>
        <v/>
      </c>
      <c r="K1455" s="28" t="str">
        <f aca="false">IF(I1455="","",IF(J1455="과세",ROUND(I1455*0.1,0),0))</f>
        <v/>
      </c>
      <c r="L1455" s="28" t="str">
        <f aca="false">IF(I1455="","",I1455+K1455)</f>
        <v/>
      </c>
      <c r="M1455" s="10"/>
      <c r="N1455" s="80"/>
      <c r="O1455" s="80"/>
      <c r="P1455" s="59" t="str">
        <f aca="false">IF(E1455="","",IFERROR(INDEX(기본설정!$H$4:$H$14,MATCH(E1455,기본설정!$G$4:$G$14,0)),""))</f>
        <v/>
      </c>
    </row>
    <row r="1456" customFormat="false" ht="15" hidden="false" customHeight="false" outlineLevel="0" collapsed="false">
      <c r="A1456" s="73"/>
      <c r="B1456" s="10"/>
      <c r="C1456" s="80"/>
      <c r="D1456" s="80"/>
      <c r="E1456" s="81" t="str">
        <f aca="false">IF(D1456="","",IFERROR(INDEX(식자재단가!$B$4:$B$203,MATCH(D1456,식자재단가!$C$4:$C$203,0)),""))</f>
        <v/>
      </c>
      <c r="F1456" s="76"/>
      <c r="G1456" s="59" t="str">
        <f aca="false">IF(D1456="","",IFERROR(INDEX(식자재단가!$F$4:$F$203,MATCH(D1456,식자재단가!$C$4:$C$203,0)),""))</f>
        <v/>
      </c>
      <c r="H1456" s="50"/>
      <c r="I1456" s="82" t="str">
        <f aca="false">IF(OR(F1456="",H1456=""),"",F1456*H1456)</f>
        <v/>
      </c>
      <c r="J1456" s="83" t="str">
        <f aca="false">IF(D1456="","",IFERROR(INDEX(식자재단가!$M$4:$M$203,MATCH(D1456,식자재단가!$C$4:$C$203,0)),"과세"))</f>
        <v/>
      </c>
      <c r="K1456" s="28" t="str">
        <f aca="false">IF(I1456="","",IF(J1456="과세",ROUND(I1456*0.1,0),0))</f>
        <v/>
      </c>
      <c r="L1456" s="28" t="str">
        <f aca="false">IF(I1456="","",I1456+K1456)</f>
        <v/>
      </c>
      <c r="M1456" s="10"/>
      <c r="N1456" s="80"/>
      <c r="O1456" s="80"/>
      <c r="P1456" s="59" t="str">
        <f aca="false">IF(E1456="","",IFERROR(INDEX(기본설정!$H$4:$H$14,MATCH(E1456,기본설정!$G$4:$G$14,0)),""))</f>
        <v/>
      </c>
    </row>
    <row r="1457" customFormat="false" ht="15" hidden="false" customHeight="false" outlineLevel="0" collapsed="false">
      <c r="A1457" s="73"/>
      <c r="B1457" s="10"/>
      <c r="C1457" s="80"/>
      <c r="D1457" s="80"/>
      <c r="E1457" s="81" t="str">
        <f aca="false">IF(D1457="","",IFERROR(INDEX(식자재단가!$B$4:$B$203,MATCH(D1457,식자재단가!$C$4:$C$203,0)),""))</f>
        <v/>
      </c>
      <c r="F1457" s="76"/>
      <c r="G1457" s="59" t="str">
        <f aca="false">IF(D1457="","",IFERROR(INDEX(식자재단가!$F$4:$F$203,MATCH(D1457,식자재단가!$C$4:$C$203,0)),""))</f>
        <v/>
      </c>
      <c r="H1457" s="50"/>
      <c r="I1457" s="82" t="str">
        <f aca="false">IF(OR(F1457="",H1457=""),"",F1457*H1457)</f>
        <v/>
      </c>
      <c r="J1457" s="83" t="str">
        <f aca="false">IF(D1457="","",IFERROR(INDEX(식자재단가!$M$4:$M$203,MATCH(D1457,식자재단가!$C$4:$C$203,0)),"과세"))</f>
        <v/>
      </c>
      <c r="K1457" s="28" t="str">
        <f aca="false">IF(I1457="","",IF(J1457="과세",ROUND(I1457*0.1,0),0))</f>
        <v/>
      </c>
      <c r="L1457" s="28" t="str">
        <f aca="false">IF(I1457="","",I1457+K1457)</f>
        <v/>
      </c>
      <c r="M1457" s="10"/>
      <c r="N1457" s="80"/>
      <c r="O1457" s="80"/>
      <c r="P1457" s="59" t="str">
        <f aca="false">IF(E1457="","",IFERROR(INDEX(기본설정!$H$4:$H$14,MATCH(E1457,기본설정!$G$4:$G$14,0)),""))</f>
        <v/>
      </c>
    </row>
    <row r="1458" customFormat="false" ht="15" hidden="false" customHeight="false" outlineLevel="0" collapsed="false">
      <c r="A1458" s="73"/>
      <c r="B1458" s="10"/>
      <c r="C1458" s="80"/>
      <c r="D1458" s="80"/>
      <c r="E1458" s="81" t="str">
        <f aca="false">IF(D1458="","",IFERROR(INDEX(식자재단가!$B$4:$B$203,MATCH(D1458,식자재단가!$C$4:$C$203,0)),""))</f>
        <v/>
      </c>
      <c r="F1458" s="76"/>
      <c r="G1458" s="59" t="str">
        <f aca="false">IF(D1458="","",IFERROR(INDEX(식자재단가!$F$4:$F$203,MATCH(D1458,식자재단가!$C$4:$C$203,0)),""))</f>
        <v/>
      </c>
      <c r="H1458" s="50"/>
      <c r="I1458" s="82" t="str">
        <f aca="false">IF(OR(F1458="",H1458=""),"",F1458*H1458)</f>
        <v/>
      </c>
      <c r="J1458" s="83" t="str">
        <f aca="false">IF(D1458="","",IFERROR(INDEX(식자재단가!$M$4:$M$203,MATCH(D1458,식자재단가!$C$4:$C$203,0)),"과세"))</f>
        <v/>
      </c>
      <c r="K1458" s="28" t="str">
        <f aca="false">IF(I1458="","",IF(J1458="과세",ROUND(I1458*0.1,0),0))</f>
        <v/>
      </c>
      <c r="L1458" s="28" t="str">
        <f aca="false">IF(I1458="","",I1458+K1458)</f>
        <v/>
      </c>
      <c r="M1458" s="10"/>
      <c r="N1458" s="80"/>
      <c r="O1458" s="80"/>
      <c r="P1458" s="59" t="str">
        <f aca="false">IF(E1458="","",IFERROR(INDEX(기본설정!$H$4:$H$14,MATCH(E1458,기본설정!$G$4:$G$14,0)),""))</f>
        <v/>
      </c>
    </row>
    <row r="1459" customFormat="false" ht="15" hidden="false" customHeight="false" outlineLevel="0" collapsed="false">
      <c r="A1459" s="73"/>
      <c r="B1459" s="10"/>
      <c r="C1459" s="80"/>
      <c r="D1459" s="80"/>
      <c r="E1459" s="81" t="str">
        <f aca="false">IF(D1459="","",IFERROR(INDEX(식자재단가!$B$4:$B$203,MATCH(D1459,식자재단가!$C$4:$C$203,0)),""))</f>
        <v/>
      </c>
      <c r="F1459" s="76"/>
      <c r="G1459" s="59" t="str">
        <f aca="false">IF(D1459="","",IFERROR(INDEX(식자재단가!$F$4:$F$203,MATCH(D1459,식자재단가!$C$4:$C$203,0)),""))</f>
        <v/>
      </c>
      <c r="H1459" s="50"/>
      <c r="I1459" s="82" t="str">
        <f aca="false">IF(OR(F1459="",H1459=""),"",F1459*H1459)</f>
        <v/>
      </c>
      <c r="J1459" s="83" t="str">
        <f aca="false">IF(D1459="","",IFERROR(INDEX(식자재단가!$M$4:$M$203,MATCH(D1459,식자재단가!$C$4:$C$203,0)),"과세"))</f>
        <v/>
      </c>
      <c r="K1459" s="28" t="str">
        <f aca="false">IF(I1459="","",IF(J1459="과세",ROUND(I1459*0.1,0),0))</f>
        <v/>
      </c>
      <c r="L1459" s="28" t="str">
        <f aca="false">IF(I1459="","",I1459+K1459)</f>
        <v/>
      </c>
      <c r="M1459" s="10"/>
      <c r="N1459" s="80"/>
      <c r="O1459" s="80"/>
      <c r="P1459" s="59" t="str">
        <f aca="false">IF(E1459="","",IFERROR(INDEX(기본설정!$H$4:$H$14,MATCH(E1459,기본설정!$G$4:$G$14,0)),""))</f>
        <v/>
      </c>
    </row>
    <row r="1460" customFormat="false" ht="15" hidden="false" customHeight="false" outlineLevel="0" collapsed="false">
      <c r="A1460" s="73"/>
      <c r="B1460" s="10"/>
      <c r="C1460" s="80"/>
      <c r="D1460" s="80"/>
      <c r="E1460" s="81" t="str">
        <f aca="false">IF(D1460="","",IFERROR(INDEX(식자재단가!$B$4:$B$203,MATCH(D1460,식자재단가!$C$4:$C$203,0)),""))</f>
        <v/>
      </c>
      <c r="F1460" s="76"/>
      <c r="G1460" s="59" t="str">
        <f aca="false">IF(D1460="","",IFERROR(INDEX(식자재단가!$F$4:$F$203,MATCH(D1460,식자재단가!$C$4:$C$203,0)),""))</f>
        <v/>
      </c>
      <c r="H1460" s="50"/>
      <c r="I1460" s="82" t="str">
        <f aca="false">IF(OR(F1460="",H1460=""),"",F1460*H1460)</f>
        <v/>
      </c>
      <c r="J1460" s="83" t="str">
        <f aca="false">IF(D1460="","",IFERROR(INDEX(식자재단가!$M$4:$M$203,MATCH(D1460,식자재단가!$C$4:$C$203,0)),"과세"))</f>
        <v/>
      </c>
      <c r="K1460" s="28" t="str">
        <f aca="false">IF(I1460="","",IF(J1460="과세",ROUND(I1460*0.1,0),0))</f>
        <v/>
      </c>
      <c r="L1460" s="28" t="str">
        <f aca="false">IF(I1460="","",I1460+K1460)</f>
        <v/>
      </c>
      <c r="M1460" s="10"/>
      <c r="N1460" s="80"/>
      <c r="O1460" s="80"/>
      <c r="P1460" s="59" t="str">
        <f aca="false">IF(E1460="","",IFERROR(INDEX(기본설정!$H$4:$H$14,MATCH(E1460,기본설정!$G$4:$G$14,0)),""))</f>
        <v/>
      </c>
    </row>
    <row r="1461" customFormat="false" ht="15" hidden="false" customHeight="false" outlineLevel="0" collapsed="false">
      <c r="A1461" s="73"/>
      <c r="B1461" s="10"/>
      <c r="C1461" s="80"/>
      <c r="D1461" s="80"/>
      <c r="E1461" s="81" t="str">
        <f aca="false">IF(D1461="","",IFERROR(INDEX(식자재단가!$B$4:$B$203,MATCH(D1461,식자재단가!$C$4:$C$203,0)),""))</f>
        <v/>
      </c>
      <c r="F1461" s="76"/>
      <c r="G1461" s="59" t="str">
        <f aca="false">IF(D1461="","",IFERROR(INDEX(식자재단가!$F$4:$F$203,MATCH(D1461,식자재단가!$C$4:$C$203,0)),""))</f>
        <v/>
      </c>
      <c r="H1461" s="50"/>
      <c r="I1461" s="82" t="str">
        <f aca="false">IF(OR(F1461="",H1461=""),"",F1461*H1461)</f>
        <v/>
      </c>
      <c r="J1461" s="83" t="str">
        <f aca="false">IF(D1461="","",IFERROR(INDEX(식자재단가!$M$4:$M$203,MATCH(D1461,식자재단가!$C$4:$C$203,0)),"과세"))</f>
        <v/>
      </c>
      <c r="K1461" s="28" t="str">
        <f aca="false">IF(I1461="","",IF(J1461="과세",ROUND(I1461*0.1,0),0))</f>
        <v/>
      </c>
      <c r="L1461" s="28" t="str">
        <f aca="false">IF(I1461="","",I1461+K1461)</f>
        <v/>
      </c>
      <c r="M1461" s="10"/>
      <c r="N1461" s="80"/>
      <c r="O1461" s="80"/>
      <c r="P1461" s="59" t="str">
        <f aca="false">IF(E1461="","",IFERROR(INDEX(기본설정!$H$4:$H$14,MATCH(E1461,기본설정!$G$4:$G$14,0)),""))</f>
        <v/>
      </c>
    </row>
    <row r="1462" customFormat="false" ht="15" hidden="false" customHeight="false" outlineLevel="0" collapsed="false">
      <c r="A1462" s="73"/>
      <c r="B1462" s="10"/>
      <c r="C1462" s="80"/>
      <c r="D1462" s="80"/>
      <c r="E1462" s="81" t="str">
        <f aca="false">IF(D1462="","",IFERROR(INDEX(식자재단가!$B$4:$B$203,MATCH(D1462,식자재단가!$C$4:$C$203,0)),""))</f>
        <v/>
      </c>
      <c r="F1462" s="76"/>
      <c r="G1462" s="59" t="str">
        <f aca="false">IF(D1462="","",IFERROR(INDEX(식자재단가!$F$4:$F$203,MATCH(D1462,식자재단가!$C$4:$C$203,0)),""))</f>
        <v/>
      </c>
      <c r="H1462" s="50"/>
      <c r="I1462" s="82" t="str">
        <f aca="false">IF(OR(F1462="",H1462=""),"",F1462*H1462)</f>
        <v/>
      </c>
      <c r="J1462" s="83" t="str">
        <f aca="false">IF(D1462="","",IFERROR(INDEX(식자재단가!$M$4:$M$203,MATCH(D1462,식자재단가!$C$4:$C$203,0)),"과세"))</f>
        <v/>
      </c>
      <c r="K1462" s="28" t="str">
        <f aca="false">IF(I1462="","",IF(J1462="과세",ROUND(I1462*0.1,0),0))</f>
        <v/>
      </c>
      <c r="L1462" s="28" t="str">
        <f aca="false">IF(I1462="","",I1462+K1462)</f>
        <v/>
      </c>
      <c r="M1462" s="10"/>
      <c r="N1462" s="80"/>
      <c r="O1462" s="80"/>
      <c r="P1462" s="59" t="str">
        <f aca="false">IF(E1462="","",IFERROR(INDEX(기본설정!$H$4:$H$14,MATCH(E1462,기본설정!$G$4:$G$14,0)),""))</f>
        <v/>
      </c>
    </row>
    <row r="1463" customFormat="false" ht="15" hidden="false" customHeight="false" outlineLevel="0" collapsed="false">
      <c r="A1463" s="73"/>
      <c r="B1463" s="10"/>
      <c r="C1463" s="80"/>
      <c r="D1463" s="80"/>
      <c r="E1463" s="81" t="str">
        <f aca="false">IF(D1463="","",IFERROR(INDEX(식자재단가!$B$4:$B$203,MATCH(D1463,식자재단가!$C$4:$C$203,0)),""))</f>
        <v/>
      </c>
      <c r="F1463" s="76"/>
      <c r="G1463" s="59" t="str">
        <f aca="false">IF(D1463="","",IFERROR(INDEX(식자재단가!$F$4:$F$203,MATCH(D1463,식자재단가!$C$4:$C$203,0)),""))</f>
        <v/>
      </c>
      <c r="H1463" s="50"/>
      <c r="I1463" s="82" t="str">
        <f aca="false">IF(OR(F1463="",H1463=""),"",F1463*H1463)</f>
        <v/>
      </c>
      <c r="J1463" s="83" t="str">
        <f aca="false">IF(D1463="","",IFERROR(INDEX(식자재단가!$M$4:$M$203,MATCH(D1463,식자재단가!$C$4:$C$203,0)),"과세"))</f>
        <v/>
      </c>
      <c r="K1463" s="28" t="str">
        <f aca="false">IF(I1463="","",IF(J1463="과세",ROUND(I1463*0.1,0),0))</f>
        <v/>
      </c>
      <c r="L1463" s="28" t="str">
        <f aca="false">IF(I1463="","",I1463+K1463)</f>
        <v/>
      </c>
      <c r="M1463" s="10"/>
      <c r="N1463" s="80"/>
      <c r="O1463" s="80"/>
      <c r="P1463" s="59" t="str">
        <f aca="false">IF(E1463="","",IFERROR(INDEX(기본설정!$H$4:$H$14,MATCH(E1463,기본설정!$G$4:$G$14,0)),""))</f>
        <v/>
      </c>
    </row>
    <row r="1464" customFormat="false" ht="15" hidden="false" customHeight="false" outlineLevel="0" collapsed="false">
      <c r="A1464" s="73"/>
      <c r="B1464" s="10"/>
      <c r="C1464" s="80"/>
      <c r="D1464" s="80"/>
      <c r="E1464" s="81" t="str">
        <f aca="false">IF(D1464="","",IFERROR(INDEX(식자재단가!$B$4:$B$203,MATCH(D1464,식자재단가!$C$4:$C$203,0)),""))</f>
        <v/>
      </c>
      <c r="F1464" s="76"/>
      <c r="G1464" s="59" t="str">
        <f aca="false">IF(D1464="","",IFERROR(INDEX(식자재단가!$F$4:$F$203,MATCH(D1464,식자재단가!$C$4:$C$203,0)),""))</f>
        <v/>
      </c>
      <c r="H1464" s="50"/>
      <c r="I1464" s="82" t="str">
        <f aca="false">IF(OR(F1464="",H1464=""),"",F1464*H1464)</f>
        <v/>
      </c>
      <c r="J1464" s="83" t="str">
        <f aca="false">IF(D1464="","",IFERROR(INDEX(식자재단가!$M$4:$M$203,MATCH(D1464,식자재단가!$C$4:$C$203,0)),"과세"))</f>
        <v/>
      </c>
      <c r="K1464" s="28" t="str">
        <f aca="false">IF(I1464="","",IF(J1464="과세",ROUND(I1464*0.1,0),0))</f>
        <v/>
      </c>
      <c r="L1464" s="28" t="str">
        <f aca="false">IF(I1464="","",I1464+K1464)</f>
        <v/>
      </c>
      <c r="M1464" s="10"/>
      <c r="N1464" s="80"/>
      <c r="O1464" s="80"/>
      <c r="P1464" s="59" t="str">
        <f aca="false">IF(E1464="","",IFERROR(INDEX(기본설정!$H$4:$H$14,MATCH(E1464,기본설정!$G$4:$G$14,0)),""))</f>
        <v/>
      </c>
    </row>
    <row r="1465" customFormat="false" ht="15" hidden="false" customHeight="false" outlineLevel="0" collapsed="false">
      <c r="A1465" s="73"/>
      <c r="B1465" s="10"/>
      <c r="C1465" s="80"/>
      <c r="D1465" s="80"/>
      <c r="E1465" s="81" t="str">
        <f aca="false">IF(D1465="","",IFERROR(INDEX(식자재단가!$B$4:$B$203,MATCH(D1465,식자재단가!$C$4:$C$203,0)),""))</f>
        <v/>
      </c>
      <c r="F1465" s="76"/>
      <c r="G1465" s="59" t="str">
        <f aca="false">IF(D1465="","",IFERROR(INDEX(식자재단가!$F$4:$F$203,MATCH(D1465,식자재단가!$C$4:$C$203,0)),""))</f>
        <v/>
      </c>
      <c r="H1465" s="50"/>
      <c r="I1465" s="82" t="str">
        <f aca="false">IF(OR(F1465="",H1465=""),"",F1465*H1465)</f>
        <v/>
      </c>
      <c r="J1465" s="83" t="str">
        <f aca="false">IF(D1465="","",IFERROR(INDEX(식자재단가!$M$4:$M$203,MATCH(D1465,식자재단가!$C$4:$C$203,0)),"과세"))</f>
        <v/>
      </c>
      <c r="K1465" s="28" t="str">
        <f aca="false">IF(I1465="","",IF(J1465="과세",ROUND(I1465*0.1,0),0))</f>
        <v/>
      </c>
      <c r="L1465" s="28" t="str">
        <f aca="false">IF(I1465="","",I1465+K1465)</f>
        <v/>
      </c>
      <c r="M1465" s="10"/>
      <c r="N1465" s="80"/>
      <c r="O1465" s="80"/>
      <c r="P1465" s="59" t="str">
        <f aca="false">IF(E1465="","",IFERROR(INDEX(기본설정!$H$4:$H$14,MATCH(E1465,기본설정!$G$4:$G$14,0)),""))</f>
        <v/>
      </c>
    </row>
    <row r="1466" customFormat="false" ht="15" hidden="false" customHeight="false" outlineLevel="0" collapsed="false">
      <c r="A1466" s="73"/>
      <c r="B1466" s="10"/>
      <c r="C1466" s="80"/>
      <c r="D1466" s="80"/>
      <c r="E1466" s="81" t="str">
        <f aca="false">IF(D1466="","",IFERROR(INDEX(식자재단가!$B$4:$B$203,MATCH(D1466,식자재단가!$C$4:$C$203,0)),""))</f>
        <v/>
      </c>
      <c r="F1466" s="76"/>
      <c r="G1466" s="59" t="str">
        <f aca="false">IF(D1466="","",IFERROR(INDEX(식자재단가!$F$4:$F$203,MATCH(D1466,식자재단가!$C$4:$C$203,0)),""))</f>
        <v/>
      </c>
      <c r="H1466" s="50"/>
      <c r="I1466" s="82" t="str">
        <f aca="false">IF(OR(F1466="",H1466=""),"",F1466*H1466)</f>
        <v/>
      </c>
      <c r="J1466" s="83" t="str">
        <f aca="false">IF(D1466="","",IFERROR(INDEX(식자재단가!$M$4:$M$203,MATCH(D1466,식자재단가!$C$4:$C$203,0)),"과세"))</f>
        <v/>
      </c>
      <c r="K1466" s="28" t="str">
        <f aca="false">IF(I1466="","",IF(J1466="과세",ROUND(I1466*0.1,0),0))</f>
        <v/>
      </c>
      <c r="L1466" s="28" t="str">
        <f aca="false">IF(I1466="","",I1466+K1466)</f>
        <v/>
      </c>
      <c r="M1466" s="10"/>
      <c r="N1466" s="80"/>
      <c r="O1466" s="80"/>
      <c r="P1466" s="59" t="str">
        <f aca="false">IF(E1466="","",IFERROR(INDEX(기본설정!$H$4:$H$14,MATCH(E1466,기본설정!$G$4:$G$14,0)),""))</f>
        <v/>
      </c>
    </row>
    <row r="1467" customFormat="false" ht="15" hidden="false" customHeight="false" outlineLevel="0" collapsed="false">
      <c r="A1467" s="73"/>
      <c r="B1467" s="10"/>
      <c r="C1467" s="80"/>
      <c r="D1467" s="80"/>
      <c r="E1467" s="81" t="str">
        <f aca="false">IF(D1467="","",IFERROR(INDEX(식자재단가!$B$4:$B$203,MATCH(D1467,식자재단가!$C$4:$C$203,0)),""))</f>
        <v/>
      </c>
      <c r="F1467" s="76"/>
      <c r="G1467" s="59" t="str">
        <f aca="false">IF(D1467="","",IFERROR(INDEX(식자재단가!$F$4:$F$203,MATCH(D1467,식자재단가!$C$4:$C$203,0)),""))</f>
        <v/>
      </c>
      <c r="H1467" s="50"/>
      <c r="I1467" s="82" t="str">
        <f aca="false">IF(OR(F1467="",H1467=""),"",F1467*H1467)</f>
        <v/>
      </c>
      <c r="J1467" s="83" t="str">
        <f aca="false">IF(D1467="","",IFERROR(INDEX(식자재단가!$M$4:$M$203,MATCH(D1467,식자재단가!$C$4:$C$203,0)),"과세"))</f>
        <v/>
      </c>
      <c r="K1467" s="28" t="str">
        <f aca="false">IF(I1467="","",IF(J1467="과세",ROUND(I1467*0.1,0),0))</f>
        <v/>
      </c>
      <c r="L1467" s="28" t="str">
        <f aca="false">IF(I1467="","",I1467+K1467)</f>
        <v/>
      </c>
      <c r="M1467" s="10"/>
      <c r="N1467" s="80"/>
      <c r="O1467" s="80"/>
      <c r="P1467" s="59" t="str">
        <f aca="false">IF(E1467="","",IFERROR(INDEX(기본설정!$H$4:$H$14,MATCH(E1467,기본설정!$G$4:$G$14,0)),""))</f>
        <v/>
      </c>
    </row>
    <row r="1468" customFormat="false" ht="15" hidden="false" customHeight="false" outlineLevel="0" collapsed="false">
      <c r="A1468" s="73"/>
      <c r="B1468" s="10"/>
      <c r="C1468" s="80"/>
      <c r="D1468" s="80"/>
      <c r="E1468" s="81" t="str">
        <f aca="false">IF(D1468="","",IFERROR(INDEX(식자재단가!$B$4:$B$203,MATCH(D1468,식자재단가!$C$4:$C$203,0)),""))</f>
        <v/>
      </c>
      <c r="F1468" s="76"/>
      <c r="G1468" s="59" t="str">
        <f aca="false">IF(D1468="","",IFERROR(INDEX(식자재단가!$F$4:$F$203,MATCH(D1468,식자재단가!$C$4:$C$203,0)),""))</f>
        <v/>
      </c>
      <c r="H1468" s="50"/>
      <c r="I1468" s="82" t="str">
        <f aca="false">IF(OR(F1468="",H1468=""),"",F1468*H1468)</f>
        <v/>
      </c>
      <c r="J1468" s="83" t="str">
        <f aca="false">IF(D1468="","",IFERROR(INDEX(식자재단가!$M$4:$M$203,MATCH(D1468,식자재단가!$C$4:$C$203,0)),"과세"))</f>
        <v/>
      </c>
      <c r="K1468" s="28" t="str">
        <f aca="false">IF(I1468="","",IF(J1468="과세",ROUND(I1468*0.1,0),0))</f>
        <v/>
      </c>
      <c r="L1468" s="28" t="str">
        <f aca="false">IF(I1468="","",I1468+K1468)</f>
        <v/>
      </c>
      <c r="M1468" s="10"/>
      <c r="N1468" s="80"/>
      <c r="O1468" s="80"/>
      <c r="P1468" s="59" t="str">
        <f aca="false">IF(E1468="","",IFERROR(INDEX(기본설정!$H$4:$H$14,MATCH(E1468,기본설정!$G$4:$G$14,0)),""))</f>
        <v/>
      </c>
    </row>
    <row r="1469" customFormat="false" ht="15" hidden="false" customHeight="false" outlineLevel="0" collapsed="false">
      <c r="A1469" s="73"/>
      <c r="B1469" s="10"/>
      <c r="C1469" s="80"/>
      <c r="D1469" s="80"/>
      <c r="E1469" s="81" t="str">
        <f aca="false">IF(D1469="","",IFERROR(INDEX(식자재단가!$B$4:$B$203,MATCH(D1469,식자재단가!$C$4:$C$203,0)),""))</f>
        <v/>
      </c>
      <c r="F1469" s="76"/>
      <c r="G1469" s="59" t="str">
        <f aca="false">IF(D1469="","",IFERROR(INDEX(식자재단가!$F$4:$F$203,MATCH(D1469,식자재단가!$C$4:$C$203,0)),""))</f>
        <v/>
      </c>
      <c r="H1469" s="50"/>
      <c r="I1469" s="82" t="str">
        <f aca="false">IF(OR(F1469="",H1469=""),"",F1469*H1469)</f>
        <v/>
      </c>
      <c r="J1469" s="83" t="str">
        <f aca="false">IF(D1469="","",IFERROR(INDEX(식자재단가!$M$4:$M$203,MATCH(D1469,식자재단가!$C$4:$C$203,0)),"과세"))</f>
        <v/>
      </c>
      <c r="K1469" s="28" t="str">
        <f aca="false">IF(I1469="","",IF(J1469="과세",ROUND(I1469*0.1,0),0))</f>
        <v/>
      </c>
      <c r="L1469" s="28" t="str">
        <f aca="false">IF(I1469="","",I1469+K1469)</f>
        <v/>
      </c>
      <c r="M1469" s="10"/>
      <c r="N1469" s="80"/>
      <c r="O1469" s="80"/>
      <c r="P1469" s="59" t="str">
        <f aca="false">IF(E1469="","",IFERROR(INDEX(기본설정!$H$4:$H$14,MATCH(E1469,기본설정!$G$4:$G$14,0)),""))</f>
        <v/>
      </c>
    </row>
    <row r="1470" customFormat="false" ht="15" hidden="false" customHeight="false" outlineLevel="0" collapsed="false">
      <c r="A1470" s="73"/>
      <c r="B1470" s="10"/>
      <c r="C1470" s="80"/>
      <c r="D1470" s="80"/>
      <c r="E1470" s="81" t="str">
        <f aca="false">IF(D1470="","",IFERROR(INDEX(식자재단가!$B$4:$B$203,MATCH(D1470,식자재단가!$C$4:$C$203,0)),""))</f>
        <v/>
      </c>
      <c r="F1470" s="76"/>
      <c r="G1470" s="59" t="str">
        <f aca="false">IF(D1470="","",IFERROR(INDEX(식자재단가!$F$4:$F$203,MATCH(D1470,식자재단가!$C$4:$C$203,0)),""))</f>
        <v/>
      </c>
      <c r="H1470" s="50"/>
      <c r="I1470" s="82" t="str">
        <f aca="false">IF(OR(F1470="",H1470=""),"",F1470*H1470)</f>
        <v/>
      </c>
      <c r="J1470" s="83" t="str">
        <f aca="false">IF(D1470="","",IFERROR(INDEX(식자재단가!$M$4:$M$203,MATCH(D1470,식자재단가!$C$4:$C$203,0)),"과세"))</f>
        <v/>
      </c>
      <c r="K1470" s="28" t="str">
        <f aca="false">IF(I1470="","",IF(J1470="과세",ROUND(I1470*0.1,0),0))</f>
        <v/>
      </c>
      <c r="L1470" s="28" t="str">
        <f aca="false">IF(I1470="","",I1470+K1470)</f>
        <v/>
      </c>
      <c r="M1470" s="10"/>
      <c r="N1470" s="80"/>
      <c r="O1470" s="80"/>
      <c r="P1470" s="59" t="str">
        <f aca="false">IF(E1470="","",IFERROR(INDEX(기본설정!$H$4:$H$14,MATCH(E1470,기본설정!$G$4:$G$14,0)),""))</f>
        <v/>
      </c>
    </row>
    <row r="1471" customFormat="false" ht="15" hidden="false" customHeight="false" outlineLevel="0" collapsed="false">
      <c r="A1471" s="73"/>
      <c r="B1471" s="10"/>
      <c r="C1471" s="80"/>
      <c r="D1471" s="80"/>
      <c r="E1471" s="81" t="str">
        <f aca="false">IF(D1471="","",IFERROR(INDEX(식자재단가!$B$4:$B$203,MATCH(D1471,식자재단가!$C$4:$C$203,0)),""))</f>
        <v/>
      </c>
      <c r="F1471" s="76"/>
      <c r="G1471" s="59" t="str">
        <f aca="false">IF(D1471="","",IFERROR(INDEX(식자재단가!$F$4:$F$203,MATCH(D1471,식자재단가!$C$4:$C$203,0)),""))</f>
        <v/>
      </c>
      <c r="H1471" s="50"/>
      <c r="I1471" s="82" t="str">
        <f aca="false">IF(OR(F1471="",H1471=""),"",F1471*H1471)</f>
        <v/>
      </c>
      <c r="J1471" s="83" t="str">
        <f aca="false">IF(D1471="","",IFERROR(INDEX(식자재단가!$M$4:$M$203,MATCH(D1471,식자재단가!$C$4:$C$203,0)),"과세"))</f>
        <v/>
      </c>
      <c r="K1471" s="28" t="str">
        <f aca="false">IF(I1471="","",IF(J1471="과세",ROUND(I1471*0.1,0),0))</f>
        <v/>
      </c>
      <c r="L1471" s="28" t="str">
        <f aca="false">IF(I1471="","",I1471+K1471)</f>
        <v/>
      </c>
      <c r="M1471" s="10"/>
      <c r="N1471" s="80"/>
      <c r="O1471" s="80"/>
      <c r="P1471" s="59" t="str">
        <f aca="false">IF(E1471="","",IFERROR(INDEX(기본설정!$H$4:$H$14,MATCH(E1471,기본설정!$G$4:$G$14,0)),""))</f>
        <v/>
      </c>
    </row>
    <row r="1472" customFormat="false" ht="15" hidden="false" customHeight="false" outlineLevel="0" collapsed="false">
      <c r="A1472" s="73"/>
      <c r="B1472" s="10"/>
      <c r="C1472" s="80"/>
      <c r="D1472" s="80"/>
      <c r="E1472" s="81" t="str">
        <f aca="false">IF(D1472="","",IFERROR(INDEX(식자재단가!$B$4:$B$203,MATCH(D1472,식자재단가!$C$4:$C$203,0)),""))</f>
        <v/>
      </c>
      <c r="F1472" s="76"/>
      <c r="G1472" s="59" t="str">
        <f aca="false">IF(D1472="","",IFERROR(INDEX(식자재단가!$F$4:$F$203,MATCH(D1472,식자재단가!$C$4:$C$203,0)),""))</f>
        <v/>
      </c>
      <c r="H1472" s="50"/>
      <c r="I1472" s="82" t="str">
        <f aca="false">IF(OR(F1472="",H1472=""),"",F1472*H1472)</f>
        <v/>
      </c>
      <c r="J1472" s="83" t="str">
        <f aca="false">IF(D1472="","",IFERROR(INDEX(식자재단가!$M$4:$M$203,MATCH(D1472,식자재단가!$C$4:$C$203,0)),"과세"))</f>
        <v/>
      </c>
      <c r="K1472" s="28" t="str">
        <f aca="false">IF(I1472="","",IF(J1472="과세",ROUND(I1472*0.1,0),0))</f>
        <v/>
      </c>
      <c r="L1472" s="28" t="str">
        <f aca="false">IF(I1472="","",I1472+K1472)</f>
        <v/>
      </c>
      <c r="M1472" s="10"/>
      <c r="N1472" s="80"/>
      <c r="O1472" s="80"/>
      <c r="P1472" s="59" t="str">
        <f aca="false">IF(E1472="","",IFERROR(INDEX(기본설정!$H$4:$H$14,MATCH(E1472,기본설정!$G$4:$G$14,0)),""))</f>
        <v/>
      </c>
    </row>
    <row r="1473" customFormat="false" ht="15" hidden="false" customHeight="false" outlineLevel="0" collapsed="false">
      <c r="A1473" s="73"/>
      <c r="B1473" s="10"/>
      <c r="C1473" s="80"/>
      <c r="D1473" s="80"/>
      <c r="E1473" s="81" t="str">
        <f aca="false">IF(D1473="","",IFERROR(INDEX(식자재단가!$B$4:$B$203,MATCH(D1473,식자재단가!$C$4:$C$203,0)),""))</f>
        <v/>
      </c>
      <c r="F1473" s="76"/>
      <c r="G1473" s="59" t="str">
        <f aca="false">IF(D1473="","",IFERROR(INDEX(식자재단가!$F$4:$F$203,MATCH(D1473,식자재단가!$C$4:$C$203,0)),""))</f>
        <v/>
      </c>
      <c r="H1473" s="50"/>
      <c r="I1473" s="82" t="str">
        <f aca="false">IF(OR(F1473="",H1473=""),"",F1473*H1473)</f>
        <v/>
      </c>
      <c r="J1473" s="83" t="str">
        <f aca="false">IF(D1473="","",IFERROR(INDEX(식자재단가!$M$4:$M$203,MATCH(D1473,식자재단가!$C$4:$C$203,0)),"과세"))</f>
        <v/>
      </c>
      <c r="K1473" s="28" t="str">
        <f aca="false">IF(I1473="","",IF(J1473="과세",ROUND(I1473*0.1,0),0))</f>
        <v/>
      </c>
      <c r="L1473" s="28" t="str">
        <f aca="false">IF(I1473="","",I1473+K1473)</f>
        <v/>
      </c>
      <c r="M1473" s="10"/>
      <c r="N1473" s="80"/>
      <c r="O1473" s="80"/>
      <c r="P1473" s="59" t="str">
        <f aca="false">IF(E1473="","",IFERROR(INDEX(기본설정!$H$4:$H$14,MATCH(E1473,기본설정!$G$4:$G$14,0)),""))</f>
        <v/>
      </c>
    </row>
    <row r="1474" customFormat="false" ht="15" hidden="false" customHeight="false" outlineLevel="0" collapsed="false">
      <c r="A1474" s="73"/>
      <c r="B1474" s="10"/>
      <c r="C1474" s="80"/>
      <c r="D1474" s="80"/>
      <c r="E1474" s="81" t="str">
        <f aca="false">IF(D1474="","",IFERROR(INDEX(식자재단가!$B$4:$B$203,MATCH(D1474,식자재단가!$C$4:$C$203,0)),""))</f>
        <v/>
      </c>
      <c r="F1474" s="76"/>
      <c r="G1474" s="59" t="str">
        <f aca="false">IF(D1474="","",IFERROR(INDEX(식자재단가!$F$4:$F$203,MATCH(D1474,식자재단가!$C$4:$C$203,0)),""))</f>
        <v/>
      </c>
      <c r="H1474" s="50"/>
      <c r="I1474" s="82" t="str">
        <f aca="false">IF(OR(F1474="",H1474=""),"",F1474*H1474)</f>
        <v/>
      </c>
      <c r="J1474" s="83" t="str">
        <f aca="false">IF(D1474="","",IFERROR(INDEX(식자재단가!$M$4:$M$203,MATCH(D1474,식자재단가!$C$4:$C$203,0)),"과세"))</f>
        <v/>
      </c>
      <c r="K1474" s="28" t="str">
        <f aca="false">IF(I1474="","",IF(J1474="과세",ROUND(I1474*0.1,0),0))</f>
        <v/>
      </c>
      <c r="L1474" s="28" t="str">
        <f aca="false">IF(I1474="","",I1474+K1474)</f>
        <v/>
      </c>
      <c r="M1474" s="10"/>
      <c r="N1474" s="80"/>
      <c r="O1474" s="80"/>
      <c r="P1474" s="59" t="str">
        <f aca="false">IF(E1474="","",IFERROR(INDEX(기본설정!$H$4:$H$14,MATCH(E1474,기본설정!$G$4:$G$14,0)),""))</f>
        <v/>
      </c>
    </row>
    <row r="1475" customFormat="false" ht="15" hidden="false" customHeight="false" outlineLevel="0" collapsed="false">
      <c r="A1475" s="73"/>
      <c r="B1475" s="10"/>
      <c r="C1475" s="80"/>
      <c r="D1475" s="80"/>
      <c r="E1475" s="81" t="str">
        <f aca="false">IF(D1475="","",IFERROR(INDEX(식자재단가!$B$4:$B$203,MATCH(D1475,식자재단가!$C$4:$C$203,0)),""))</f>
        <v/>
      </c>
      <c r="F1475" s="76"/>
      <c r="G1475" s="59" t="str">
        <f aca="false">IF(D1475="","",IFERROR(INDEX(식자재단가!$F$4:$F$203,MATCH(D1475,식자재단가!$C$4:$C$203,0)),""))</f>
        <v/>
      </c>
      <c r="H1475" s="50"/>
      <c r="I1475" s="82" t="str">
        <f aca="false">IF(OR(F1475="",H1475=""),"",F1475*H1475)</f>
        <v/>
      </c>
      <c r="J1475" s="83" t="str">
        <f aca="false">IF(D1475="","",IFERROR(INDEX(식자재단가!$M$4:$M$203,MATCH(D1475,식자재단가!$C$4:$C$203,0)),"과세"))</f>
        <v/>
      </c>
      <c r="K1475" s="28" t="str">
        <f aca="false">IF(I1475="","",IF(J1475="과세",ROUND(I1475*0.1,0),0))</f>
        <v/>
      </c>
      <c r="L1475" s="28" t="str">
        <f aca="false">IF(I1475="","",I1475+K1475)</f>
        <v/>
      </c>
      <c r="M1475" s="10"/>
      <c r="N1475" s="80"/>
      <c r="O1475" s="80"/>
      <c r="P1475" s="59" t="str">
        <f aca="false">IF(E1475="","",IFERROR(INDEX(기본설정!$H$4:$H$14,MATCH(E1475,기본설정!$G$4:$G$14,0)),""))</f>
        <v/>
      </c>
    </row>
    <row r="1476" customFormat="false" ht="15" hidden="false" customHeight="false" outlineLevel="0" collapsed="false">
      <c r="A1476" s="73"/>
      <c r="B1476" s="10"/>
      <c r="C1476" s="80"/>
      <c r="D1476" s="80"/>
      <c r="E1476" s="81" t="str">
        <f aca="false">IF(D1476="","",IFERROR(INDEX(식자재단가!$B$4:$B$203,MATCH(D1476,식자재단가!$C$4:$C$203,0)),""))</f>
        <v/>
      </c>
      <c r="F1476" s="76"/>
      <c r="G1476" s="59" t="str">
        <f aca="false">IF(D1476="","",IFERROR(INDEX(식자재단가!$F$4:$F$203,MATCH(D1476,식자재단가!$C$4:$C$203,0)),""))</f>
        <v/>
      </c>
      <c r="H1476" s="50"/>
      <c r="I1476" s="82" t="str">
        <f aca="false">IF(OR(F1476="",H1476=""),"",F1476*H1476)</f>
        <v/>
      </c>
      <c r="J1476" s="83" t="str">
        <f aca="false">IF(D1476="","",IFERROR(INDEX(식자재단가!$M$4:$M$203,MATCH(D1476,식자재단가!$C$4:$C$203,0)),"과세"))</f>
        <v/>
      </c>
      <c r="K1476" s="28" t="str">
        <f aca="false">IF(I1476="","",IF(J1476="과세",ROUND(I1476*0.1,0),0))</f>
        <v/>
      </c>
      <c r="L1476" s="28" t="str">
        <f aca="false">IF(I1476="","",I1476+K1476)</f>
        <v/>
      </c>
      <c r="M1476" s="10"/>
      <c r="N1476" s="80"/>
      <c r="O1476" s="80"/>
      <c r="P1476" s="59" t="str">
        <f aca="false">IF(E1476="","",IFERROR(INDEX(기본설정!$H$4:$H$14,MATCH(E1476,기본설정!$G$4:$G$14,0)),""))</f>
        <v/>
      </c>
    </row>
    <row r="1477" customFormat="false" ht="15" hidden="false" customHeight="false" outlineLevel="0" collapsed="false">
      <c r="A1477" s="73"/>
      <c r="B1477" s="10"/>
      <c r="C1477" s="80"/>
      <c r="D1477" s="80"/>
      <c r="E1477" s="81" t="str">
        <f aca="false">IF(D1477="","",IFERROR(INDEX(식자재단가!$B$4:$B$203,MATCH(D1477,식자재단가!$C$4:$C$203,0)),""))</f>
        <v/>
      </c>
      <c r="F1477" s="76"/>
      <c r="G1477" s="59" t="str">
        <f aca="false">IF(D1477="","",IFERROR(INDEX(식자재단가!$F$4:$F$203,MATCH(D1477,식자재단가!$C$4:$C$203,0)),""))</f>
        <v/>
      </c>
      <c r="H1477" s="50"/>
      <c r="I1477" s="82" t="str">
        <f aca="false">IF(OR(F1477="",H1477=""),"",F1477*H1477)</f>
        <v/>
      </c>
      <c r="J1477" s="83" t="str">
        <f aca="false">IF(D1477="","",IFERROR(INDEX(식자재단가!$M$4:$M$203,MATCH(D1477,식자재단가!$C$4:$C$203,0)),"과세"))</f>
        <v/>
      </c>
      <c r="K1477" s="28" t="str">
        <f aca="false">IF(I1477="","",IF(J1477="과세",ROUND(I1477*0.1,0),0))</f>
        <v/>
      </c>
      <c r="L1477" s="28" t="str">
        <f aca="false">IF(I1477="","",I1477+K1477)</f>
        <v/>
      </c>
      <c r="M1477" s="10"/>
      <c r="N1477" s="80"/>
      <c r="O1477" s="80"/>
      <c r="P1477" s="59" t="str">
        <f aca="false">IF(E1477="","",IFERROR(INDEX(기본설정!$H$4:$H$14,MATCH(E1477,기본설정!$G$4:$G$14,0)),""))</f>
        <v/>
      </c>
    </row>
    <row r="1478" customFormat="false" ht="15" hidden="false" customHeight="false" outlineLevel="0" collapsed="false">
      <c r="A1478" s="73"/>
      <c r="B1478" s="10"/>
      <c r="C1478" s="80"/>
      <c r="D1478" s="80"/>
      <c r="E1478" s="81" t="str">
        <f aca="false">IF(D1478="","",IFERROR(INDEX(식자재단가!$B$4:$B$203,MATCH(D1478,식자재단가!$C$4:$C$203,0)),""))</f>
        <v/>
      </c>
      <c r="F1478" s="76"/>
      <c r="G1478" s="59" t="str">
        <f aca="false">IF(D1478="","",IFERROR(INDEX(식자재단가!$F$4:$F$203,MATCH(D1478,식자재단가!$C$4:$C$203,0)),""))</f>
        <v/>
      </c>
      <c r="H1478" s="50"/>
      <c r="I1478" s="82" t="str">
        <f aca="false">IF(OR(F1478="",H1478=""),"",F1478*H1478)</f>
        <v/>
      </c>
      <c r="J1478" s="83" t="str">
        <f aca="false">IF(D1478="","",IFERROR(INDEX(식자재단가!$M$4:$M$203,MATCH(D1478,식자재단가!$C$4:$C$203,0)),"과세"))</f>
        <v/>
      </c>
      <c r="K1478" s="28" t="str">
        <f aca="false">IF(I1478="","",IF(J1478="과세",ROUND(I1478*0.1,0),0))</f>
        <v/>
      </c>
      <c r="L1478" s="28" t="str">
        <f aca="false">IF(I1478="","",I1478+K1478)</f>
        <v/>
      </c>
      <c r="M1478" s="10"/>
      <c r="N1478" s="80"/>
      <c r="O1478" s="80"/>
      <c r="P1478" s="59" t="str">
        <f aca="false">IF(E1478="","",IFERROR(INDEX(기본설정!$H$4:$H$14,MATCH(E1478,기본설정!$G$4:$G$14,0)),""))</f>
        <v/>
      </c>
    </row>
    <row r="1479" customFormat="false" ht="15" hidden="false" customHeight="false" outlineLevel="0" collapsed="false">
      <c r="A1479" s="73"/>
      <c r="B1479" s="10"/>
      <c r="C1479" s="80"/>
      <c r="D1479" s="80"/>
      <c r="E1479" s="81" t="str">
        <f aca="false">IF(D1479="","",IFERROR(INDEX(식자재단가!$B$4:$B$203,MATCH(D1479,식자재단가!$C$4:$C$203,0)),""))</f>
        <v/>
      </c>
      <c r="F1479" s="76"/>
      <c r="G1479" s="59" t="str">
        <f aca="false">IF(D1479="","",IFERROR(INDEX(식자재단가!$F$4:$F$203,MATCH(D1479,식자재단가!$C$4:$C$203,0)),""))</f>
        <v/>
      </c>
      <c r="H1479" s="50"/>
      <c r="I1479" s="82" t="str">
        <f aca="false">IF(OR(F1479="",H1479=""),"",F1479*H1479)</f>
        <v/>
      </c>
      <c r="J1479" s="83" t="str">
        <f aca="false">IF(D1479="","",IFERROR(INDEX(식자재단가!$M$4:$M$203,MATCH(D1479,식자재단가!$C$4:$C$203,0)),"과세"))</f>
        <v/>
      </c>
      <c r="K1479" s="28" t="str">
        <f aca="false">IF(I1479="","",IF(J1479="과세",ROUND(I1479*0.1,0),0))</f>
        <v/>
      </c>
      <c r="L1479" s="28" t="str">
        <f aca="false">IF(I1479="","",I1479+K1479)</f>
        <v/>
      </c>
      <c r="M1479" s="10"/>
      <c r="N1479" s="80"/>
      <c r="O1479" s="80"/>
      <c r="P1479" s="59" t="str">
        <f aca="false">IF(E1479="","",IFERROR(INDEX(기본설정!$H$4:$H$14,MATCH(E1479,기본설정!$G$4:$G$14,0)),""))</f>
        <v/>
      </c>
    </row>
    <row r="1480" customFormat="false" ht="15" hidden="false" customHeight="false" outlineLevel="0" collapsed="false">
      <c r="A1480" s="73"/>
      <c r="B1480" s="10"/>
      <c r="C1480" s="80"/>
      <c r="D1480" s="80"/>
      <c r="E1480" s="81" t="str">
        <f aca="false">IF(D1480="","",IFERROR(INDEX(식자재단가!$B$4:$B$203,MATCH(D1480,식자재단가!$C$4:$C$203,0)),""))</f>
        <v/>
      </c>
      <c r="F1480" s="76"/>
      <c r="G1480" s="59" t="str">
        <f aca="false">IF(D1480="","",IFERROR(INDEX(식자재단가!$F$4:$F$203,MATCH(D1480,식자재단가!$C$4:$C$203,0)),""))</f>
        <v/>
      </c>
      <c r="H1480" s="50"/>
      <c r="I1480" s="82" t="str">
        <f aca="false">IF(OR(F1480="",H1480=""),"",F1480*H1480)</f>
        <v/>
      </c>
      <c r="J1480" s="83" t="str">
        <f aca="false">IF(D1480="","",IFERROR(INDEX(식자재단가!$M$4:$M$203,MATCH(D1480,식자재단가!$C$4:$C$203,0)),"과세"))</f>
        <v/>
      </c>
      <c r="K1480" s="28" t="str">
        <f aca="false">IF(I1480="","",IF(J1480="과세",ROUND(I1480*0.1,0),0))</f>
        <v/>
      </c>
      <c r="L1480" s="28" t="str">
        <f aca="false">IF(I1480="","",I1480+K1480)</f>
        <v/>
      </c>
      <c r="M1480" s="10"/>
      <c r="N1480" s="80"/>
      <c r="O1480" s="80"/>
      <c r="P1480" s="59" t="str">
        <f aca="false">IF(E1480="","",IFERROR(INDEX(기본설정!$H$4:$H$14,MATCH(E1480,기본설정!$G$4:$G$14,0)),""))</f>
        <v/>
      </c>
    </row>
    <row r="1481" customFormat="false" ht="15" hidden="false" customHeight="false" outlineLevel="0" collapsed="false">
      <c r="A1481" s="73"/>
      <c r="B1481" s="10"/>
      <c r="C1481" s="80"/>
      <c r="D1481" s="80"/>
      <c r="E1481" s="81" t="str">
        <f aca="false">IF(D1481="","",IFERROR(INDEX(식자재단가!$B$4:$B$203,MATCH(D1481,식자재단가!$C$4:$C$203,0)),""))</f>
        <v/>
      </c>
      <c r="F1481" s="76"/>
      <c r="G1481" s="59" t="str">
        <f aca="false">IF(D1481="","",IFERROR(INDEX(식자재단가!$F$4:$F$203,MATCH(D1481,식자재단가!$C$4:$C$203,0)),""))</f>
        <v/>
      </c>
      <c r="H1481" s="50"/>
      <c r="I1481" s="82" t="str">
        <f aca="false">IF(OR(F1481="",H1481=""),"",F1481*H1481)</f>
        <v/>
      </c>
      <c r="J1481" s="83" t="str">
        <f aca="false">IF(D1481="","",IFERROR(INDEX(식자재단가!$M$4:$M$203,MATCH(D1481,식자재단가!$C$4:$C$203,0)),"과세"))</f>
        <v/>
      </c>
      <c r="K1481" s="28" t="str">
        <f aca="false">IF(I1481="","",IF(J1481="과세",ROUND(I1481*0.1,0),0))</f>
        <v/>
      </c>
      <c r="L1481" s="28" t="str">
        <f aca="false">IF(I1481="","",I1481+K1481)</f>
        <v/>
      </c>
      <c r="M1481" s="10"/>
      <c r="N1481" s="80"/>
      <c r="O1481" s="80"/>
      <c r="P1481" s="59" t="str">
        <f aca="false">IF(E1481="","",IFERROR(INDEX(기본설정!$H$4:$H$14,MATCH(E1481,기본설정!$G$4:$G$14,0)),""))</f>
        <v/>
      </c>
    </row>
    <row r="1482" customFormat="false" ht="15" hidden="false" customHeight="false" outlineLevel="0" collapsed="false">
      <c r="A1482" s="73"/>
      <c r="B1482" s="10"/>
      <c r="C1482" s="80"/>
      <c r="D1482" s="80"/>
      <c r="E1482" s="81" t="str">
        <f aca="false">IF(D1482="","",IFERROR(INDEX(식자재단가!$B$4:$B$203,MATCH(D1482,식자재단가!$C$4:$C$203,0)),""))</f>
        <v/>
      </c>
      <c r="F1482" s="76"/>
      <c r="G1482" s="59" t="str">
        <f aca="false">IF(D1482="","",IFERROR(INDEX(식자재단가!$F$4:$F$203,MATCH(D1482,식자재단가!$C$4:$C$203,0)),""))</f>
        <v/>
      </c>
      <c r="H1482" s="50"/>
      <c r="I1482" s="82" t="str">
        <f aca="false">IF(OR(F1482="",H1482=""),"",F1482*H1482)</f>
        <v/>
      </c>
      <c r="J1482" s="83" t="str">
        <f aca="false">IF(D1482="","",IFERROR(INDEX(식자재단가!$M$4:$M$203,MATCH(D1482,식자재단가!$C$4:$C$203,0)),"과세"))</f>
        <v/>
      </c>
      <c r="K1482" s="28" t="str">
        <f aca="false">IF(I1482="","",IF(J1482="과세",ROUND(I1482*0.1,0),0))</f>
        <v/>
      </c>
      <c r="L1482" s="28" t="str">
        <f aca="false">IF(I1482="","",I1482+K1482)</f>
        <v/>
      </c>
      <c r="M1482" s="10"/>
      <c r="N1482" s="80"/>
      <c r="O1482" s="80"/>
      <c r="P1482" s="59" t="str">
        <f aca="false">IF(E1482="","",IFERROR(INDEX(기본설정!$H$4:$H$14,MATCH(E1482,기본설정!$G$4:$G$14,0)),""))</f>
        <v/>
      </c>
    </row>
    <row r="1483" customFormat="false" ht="15" hidden="false" customHeight="false" outlineLevel="0" collapsed="false">
      <c r="A1483" s="73"/>
      <c r="B1483" s="10"/>
      <c r="C1483" s="80"/>
      <c r="D1483" s="80"/>
      <c r="E1483" s="81" t="str">
        <f aca="false">IF(D1483="","",IFERROR(INDEX(식자재단가!$B$4:$B$203,MATCH(D1483,식자재단가!$C$4:$C$203,0)),""))</f>
        <v/>
      </c>
      <c r="F1483" s="76"/>
      <c r="G1483" s="59" t="str">
        <f aca="false">IF(D1483="","",IFERROR(INDEX(식자재단가!$F$4:$F$203,MATCH(D1483,식자재단가!$C$4:$C$203,0)),""))</f>
        <v/>
      </c>
      <c r="H1483" s="50"/>
      <c r="I1483" s="82" t="str">
        <f aca="false">IF(OR(F1483="",H1483=""),"",F1483*H1483)</f>
        <v/>
      </c>
      <c r="J1483" s="83" t="str">
        <f aca="false">IF(D1483="","",IFERROR(INDEX(식자재단가!$M$4:$M$203,MATCH(D1483,식자재단가!$C$4:$C$203,0)),"과세"))</f>
        <v/>
      </c>
      <c r="K1483" s="28" t="str">
        <f aca="false">IF(I1483="","",IF(J1483="과세",ROUND(I1483*0.1,0),0))</f>
        <v/>
      </c>
      <c r="L1483" s="28" t="str">
        <f aca="false">IF(I1483="","",I1483+K1483)</f>
        <v/>
      </c>
      <c r="M1483" s="10"/>
      <c r="N1483" s="80"/>
      <c r="O1483" s="80"/>
      <c r="P1483" s="59" t="str">
        <f aca="false">IF(E1483="","",IFERROR(INDEX(기본설정!$H$4:$H$14,MATCH(E1483,기본설정!$G$4:$G$14,0)),""))</f>
        <v/>
      </c>
    </row>
    <row r="1484" customFormat="false" ht="15" hidden="false" customHeight="false" outlineLevel="0" collapsed="false">
      <c r="A1484" s="73"/>
      <c r="B1484" s="10"/>
      <c r="C1484" s="80"/>
      <c r="D1484" s="80"/>
      <c r="E1484" s="81" t="str">
        <f aca="false">IF(D1484="","",IFERROR(INDEX(식자재단가!$B$4:$B$203,MATCH(D1484,식자재단가!$C$4:$C$203,0)),""))</f>
        <v/>
      </c>
      <c r="F1484" s="76"/>
      <c r="G1484" s="59" t="str">
        <f aca="false">IF(D1484="","",IFERROR(INDEX(식자재단가!$F$4:$F$203,MATCH(D1484,식자재단가!$C$4:$C$203,0)),""))</f>
        <v/>
      </c>
      <c r="H1484" s="50"/>
      <c r="I1484" s="82" t="str">
        <f aca="false">IF(OR(F1484="",H1484=""),"",F1484*H1484)</f>
        <v/>
      </c>
      <c r="J1484" s="83" t="str">
        <f aca="false">IF(D1484="","",IFERROR(INDEX(식자재단가!$M$4:$M$203,MATCH(D1484,식자재단가!$C$4:$C$203,0)),"과세"))</f>
        <v/>
      </c>
      <c r="K1484" s="28" t="str">
        <f aca="false">IF(I1484="","",IF(J1484="과세",ROUND(I1484*0.1,0),0))</f>
        <v/>
      </c>
      <c r="L1484" s="28" t="str">
        <f aca="false">IF(I1484="","",I1484+K1484)</f>
        <v/>
      </c>
      <c r="M1484" s="10"/>
      <c r="N1484" s="80"/>
      <c r="O1484" s="80"/>
      <c r="P1484" s="59" t="str">
        <f aca="false">IF(E1484="","",IFERROR(INDEX(기본설정!$H$4:$H$14,MATCH(E1484,기본설정!$G$4:$G$14,0)),""))</f>
        <v/>
      </c>
    </row>
    <row r="1485" customFormat="false" ht="15" hidden="false" customHeight="false" outlineLevel="0" collapsed="false">
      <c r="A1485" s="73"/>
      <c r="B1485" s="10"/>
      <c r="C1485" s="80"/>
      <c r="D1485" s="80"/>
      <c r="E1485" s="81" t="str">
        <f aca="false">IF(D1485="","",IFERROR(INDEX(식자재단가!$B$4:$B$203,MATCH(D1485,식자재단가!$C$4:$C$203,0)),""))</f>
        <v/>
      </c>
      <c r="F1485" s="76"/>
      <c r="G1485" s="59" t="str">
        <f aca="false">IF(D1485="","",IFERROR(INDEX(식자재단가!$F$4:$F$203,MATCH(D1485,식자재단가!$C$4:$C$203,0)),""))</f>
        <v/>
      </c>
      <c r="H1485" s="50"/>
      <c r="I1485" s="82" t="str">
        <f aca="false">IF(OR(F1485="",H1485=""),"",F1485*H1485)</f>
        <v/>
      </c>
      <c r="J1485" s="83" t="str">
        <f aca="false">IF(D1485="","",IFERROR(INDEX(식자재단가!$M$4:$M$203,MATCH(D1485,식자재단가!$C$4:$C$203,0)),"과세"))</f>
        <v/>
      </c>
      <c r="K1485" s="28" t="str">
        <f aca="false">IF(I1485="","",IF(J1485="과세",ROUND(I1485*0.1,0),0))</f>
        <v/>
      </c>
      <c r="L1485" s="28" t="str">
        <f aca="false">IF(I1485="","",I1485+K1485)</f>
        <v/>
      </c>
      <c r="M1485" s="10"/>
      <c r="N1485" s="80"/>
      <c r="O1485" s="80"/>
      <c r="P1485" s="59" t="str">
        <f aca="false">IF(E1485="","",IFERROR(INDEX(기본설정!$H$4:$H$14,MATCH(E1485,기본설정!$G$4:$G$14,0)),""))</f>
        <v/>
      </c>
    </row>
    <row r="1486" customFormat="false" ht="15" hidden="false" customHeight="false" outlineLevel="0" collapsed="false">
      <c r="A1486" s="73"/>
      <c r="B1486" s="10"/>
      <c r="C1486" s="80"/>
      <c r="D1486" s="80"/>
      <c r="E1486" s="81" t="str">
        <f aca="false">IF(D1486="","",IFERROR(INDEX(식자재단가!$B$4:$B$203,MATCH(D1486,식자재단가!$C$4:$C$203,0)),""))</f>
        <v/>
      </c>
      <c r="F1486" s="76"/>
      <c r="G1486" s="59" t="str">
        <f aca="false">IF(D1486="","",IFERROR(INDEX(식자재단가!$F$4:$F$203,MATCH(D1486,식자재단가!$C$4:$C$203,0)),""))</f>
        <v/>
      </c>
      <c r="H1486" s="50"/>
      <c r="I1486" s="82" t="str">
        <f aca="false">IF(OR(F1486="",H1486=""),"",F1486*H1486)</f>
        <v/>
      </c>
      <c r="J1486" s="83" t="str">
        <f aca="false">IF(D1486="","",IFERROR(INDEX(식자재단가!$M$4:$M$203,MATCH(D1486,식자재단가!$C$4:$C$203,0)),"과세"))</f>
        <v/>
      </c>
      <c r="K1486" s="28" t="str">
        <f aca="false">IF(I1486="","",IF(J1486="과세",ROUND(I1486*0.1,0),0))</f>
        <v/>
      </c>
      <c r="L1486" s="28" t="str">
        <f aca="false">IF(I1486="","",I1486+K1486)</f>
        <v/>
      </c>
      <c r="M1486" s="10"/>
      <c r="N1486" s="80"/>
      <c r="O1486" s="80"/>
      <c r="P1486" s="59" t="str">
        <f aca="false">IF(E1486="","",IFERROR(INDEX(기본설정!$H$4:$H$14,MATCH(E1486,기본설정!$G$4:$G$14,0)),""))</f>
        <v/>
      </c>
    </row>
    <row r="1487" customFormat="false" ht="15" hidden="false" customHeight="false" outlineLevel="0" collapsed="false">
      <c r="A1487" s="73"/>
      <c r="B1487" s="10"/>
      <c r="C1487" s="80"/>
      <c r="D1487" s="80"/>
      <c r="E1487" s="81" t="str">
        <f aca="false">IF(D1487="","",IFERROR(INDEX(식자재단가!$B$4:$B$203,MATCH(D1487,식자재단가!$C$4:$C$203,0)),""))</f>
        <v/>
      </c>
      <c r="F1487" s="76"/>
      <c r="G1487" s="59" t="str">
        <f aca="false">IF(D1487="","",IFERROR(INDEX(식자재단가!$F$4:$F$203,MATCH(D1487,식자재단가!$C$4:$C$203,0)),""))</f>
        <v/>
      </c>
      <c r="H1487" s="50"/>
      <c r="I1487" s="82" t="str">
        <f aca="false">IF(OR(F1487="",H1487=""),"",F1487*H1487)</f>
        <v/>
      </c>
      <c r="J1487" s="83" t="str">
        <f aca="false">IF(D1487="","",IFERROR(INDEX(식자재단가!$M$4:$M$203,MATCH(D1487,식자재단가!$C$4:$C$203,0)),"과세"))</f>
        <v/>
      </c>
      <c r="K1487" s="28" t="str">
        <f aca="false">IF(I1487="","",IF(J1487="과세",ROUND(I1487*0.1,0),0))</f>
        <v/>
      </c>
      <c r="L1487" s="28" t="str">
        <f aca="false">IF(I1487="","",I1487+K1487)</f>
        <v/>
      </c>
      <c r="M1487" s="10"/>
      <c r="N1487" s="80"/>
      <c r="O1487" s="80"/>
      <c r="P1487" s="59" t="str">
        <f aca="false">IF(E1487="","",IFERROR(INDEX(기본설정!$H$4:$H$14,MATCH(E1487,기본설정!$G$4:$G$14,0)),""))</f>
        <v/>
      </c>
    </row>
    <row r="1488" customFormat="false" ht="15" hidden="false" customHeight="false" outlineLevel="0" collapsed="false">
      <c r="A1488" s="73"/>
      <c r="B1488" s="10"/>
      <c r="C1488" s="80"/>
      <c r="D1488" s="80"/>
      <c r="E1488" s="81" t="str">
        <f aca="false">IF(D1488="","",IFERROR(INDEX(식자재단가!$B$4:$B$203,MATCH(D1488,식자재단가!$C$4:$C$203,0)),""))</f>
        <v/>
      </c>
      <c r="F1488" s="76"/>
      <c r="G1488" s="59" t="str">
        <f aca="false">IF(D1488="","",IFERROR(INDEX(식자재단가!$F$4:$F$203,MATCH(D1488,식자재단가!$C$4:$C$203,0)),""))</f>
        <v/>
      </c>
      <c r="H1488" s="50"/>
      <c r="I1488" s="82" t="str">
        <f aca="false">IF(OR(F1488="",H1488=""),"",F1488*H1488)</f>
        <v/>
      </c>
      <c r="J1488" s="83" t="str">
        <f aca="false">IF(D1488="","",IFERROR(INDEX(식자재단가!$M$4:$M$203,MATCH(D1488,식자재단가!$C$4:$C$203,0)),"과세"))</f>
        <v/>
      </c>
      <c r="K1488" s="28" t="str">
        <f aca="false">IF(I1488="","",IF(J1488="과세",ROUND(I1488*0.1,0),0))</f>
        <v/>
      </c>
      <c r="L1488" s="28" t="str">
        <f aca="false">IF(I1488="","",I1488+K1488)</f>
        <v/>
      </c>
      <c r="M1488" s="10"/>
      <c r="N1488" s="80"/>
      <c r="O1488" s="80"/>
      <c r="P1488" s="59" t="str">
        <f aca="false">IF(E1488="","",IFERROR(INDEX(기본설정!$H$4:$H$14,MATCH(E1488,기본설정!$G$4:$G$14,0)),""))</f>
        <v/>
      </c>
    </row>
    <row r="1489" customFormat="false" ht="15" hidden="false" customHeight="false" outlineLevel="0" collapsed="false">
      <c r="A1489" s="73"/>
      <c r="B1489" s="10"/>
      <c r="C1489" s="80"/>
      <c r="D1489" s="80"/>
      <c r="E1489" s="81" t="str">
        <f aca="false">IF(D1489="","",IFERROR(INDEX(식자재단가!$B$4:$B$203,MATCH(D1489,식자재단가!$C$4:$C$203,0)),""))</f>
        <v/>
      </c>
      <c r="F1489" s="76"/>
      <c r="G1489" s="59" t="str">
        <f aca="false">IF(D1489="","",IFERROR(INDEX(식자재단가!$F$4:$F$203,MATCH(D1489,식자재단가!$C$4:$C$203,0)),""))</f>
        <v/>
      </c>
      <c r="H1489" s="50"/>
      <c r="I1489" s="82" t="str">
        <f aca="false">IF(OR(F1489="",H1489=""),"",F1489*H1489)</f>
        <v/>
      </c>
      <c r="J1489" s="83" t="str">
        <f aca="false">IF(D1489="","",IFERROR(INDEX(식자재단가!$M$4:$M$203,MATCH(D1489,식자재단가!$C$4:$C$203,0)),"과세"))</f>
        <v/>
      </c>
      <c r="K1489" s="28" t="str">
        <f aca="false">IF(I1489="","",IF(J1489="과세",ROUND(I1489*0.1,0),0))</f>
        <v/>
      </c>
      <c r="L1489" s="28" t="str">
        <f aca="false">IF(I1489="","",I1489+K1489)</f>
        <v/>
      </c>
      <c r="M1489" s="10"/>
      <c r="N1489" s="80"/>
      <c r="O1489" s="80"/>
      <c r="P1489" s="59" t="str">
        <f aca="false">IF(E1489="","",IFERROR(INDEX(기본설정!$H$4:$H$14,MATCH(E1489,기본설정!$G$4:$G$14,0)),""))</f>
        <v/>
      </c>
    </row>
    <row r="1490" customFormat="false" ht="15" hidden="false" customHeight="false" outlineLevel="0" collapsed="false">
      <c r="A1490" s="73"/>
      <c r="B1490" s="10"/>
      <c r="C1490" s="80"/>
      <c r="D1490" s="80"/>
      <c r="E1490" s="81" t="str">
        <f aca="false">IF(D1490="","",IFERROR(INDEX(식자재단가!$B$4:$B$203,MATCH(D1490,식자재단가!$C$4:$C$203,0)),""))</f>
        <v/>
      </c>
      <c r="F1490" s="76"/>
      <c r="G1490" s="59" t="str">
        <f aca="false">IF(D1490="","",IFERROR(INDEX(식자재단가!$F$4:$F$203,MATCH(D1490,식자재단가!$C$4:$C$203,0)),""))</f>
        <v/>
      </c>
      <c r="H1490" s="50"/>
      <c r="I1490" s="82" t="str">
        <f aca="false">IF(OR(F1490="",H1490=""),"",F1490*H1490)</f>
        <v/>
      </c>
      <c r="J1490" s="83" t="str">
        <f aca="false">IF(D1490="","",IFERROR(INDEX(식자재단가!$M$4:$M$203,MATCH(D1490,식자재단가!$C$4:$C$203,0)),"과세"))</f>
        <v/>
      </c>
      <c r="K1490" s="28" t="str">
        <f aca="false">IF(I1490="","",IF(J1490="과세",ROUND(I1490*0.1,0),0))</f>
        <v/>
      </c>
      <c r="L1490" s="28" t="str">
        <f aca="false">IF(I1490="","",I1490+K1490)</f>
        <v/>
      </c>
      <c r="M1490" s="10"/>
      <c r="N1490" s="80"/>
      <c r="O1490" s="80"/>
      <c r="P1490" s="59" t="str">
        <f aca="false">IF(E1490="","",IFERROR(INDEX(기본설정!$H$4:$H$14,MATCH(E1490,기본설정!$G$4:$G$14,0)),""))</f>
        <v/>
      </c>
    </row>
    <row r="1491" customFormat="false" ht="15" hidden="false" customHeight="false" outlineLevel="0" collapsed="false">
      <c r="A1491" s="73"/>
      <c r="B1491" s="10"/>
      <c r="C1491" s="80"/>
      <c r="D1491" s="80"/>
      <c r="E1491" s="81" t="str">
        <f aca="false">IF(D1491="","",IFERROR(INDEX(식자재단가!$B$4:$B$203,MATCH(D1491,식자재단가!$C$4:$C$203,0)),""))</f>
        <v/>
      </c>
      <c r="F1491" s="76"/>
      <c r="G1491" s="59" t="str">
        <f aca="false">IF(D1491="","",IFERROR(INDEX(식자재단가!$F$4:$F$203,MATCH(D1491,식자재단가!$C$4:$C$203,0)),""))</f>
        <v/>
      </c>
      <c r="H1491" s="50"/>
      <c r="I1491" s="82" t="str">
        <f aca="false">IF(OR(F1491="",H1491=""),"",F1491*H1491)</f>
        <v/>
      </c>
      <c r="J1491" s="83" t="str">
        <f aca="false">IF(D1491="","",IFERROR(INDEX(식자재단가!$M$4:$M$203,MATCH(D1491,식자재단가!$C$4:$C$203,0)),"과세"))</f>
        <v/>
      </c>
      <c r="K1491" s="28" t="str">
        <f aca="false">IF(I1491="","",IF(J1491="과세",ROUND(I1491*0.1,0),0))</f>
        <v/>
      </c>
      <c r="L1491" s="28" t="str">
        <f aca="false">IF(I1491="","",I1491+K1491)</f>
        <v/>
      </c>
      <c r="M1491" s="10"/>
      <c r="N1491" s="80"/>
      <c r="O1491" s="80"/>
      <c r="P1491" s="59" t="str">
        <f aca="false">IF(E1491="","",IFERROR(INDEX(기본설정!$H$4:$H$14,MATCH(E1491,기본설정!$G$4:$G$14,0)),""))</f>
        <v/>
      </c>
    </row>
    <row r="1492" customFormat="false" ht="15" hidden="false" customHeight="false" outlineLevel="0" collapsed="false">
      <c r="A1492" s="73"/>
      <c r="B1492" s="10"/>
      <c r="C1492" s="80"/>
      <c r="D1492" s="80"/>
      <c r="E1492" s="81" t="str">
        <f aca="false">IF(D1492="","",IFERROR(INDEX(식자재단가!$B$4:$B$203,MATCH(D1492,식자재단가!$C$4:$C$203,0)),""))</f>
        <v/>
      </c>
      <c r="F1492" s="76"/>
      <c r="G1492" s="59" t="str">
        <f aca="false">IF(D1492="","",IFERROR(INDEX(식자재단가!$F$4:$F$203,MATCH(D1492,식자재단가!$C$4:$C$203,0)),""))</f>
        <v/>
      </c>
      <c r="H1492" s="50"/>
      <c r="I1492" s="82" t="str">
        <f aca="false">IF(OR(F1492="",H1492=""),"",F1492*H1492)</f>
        <v/>
      </c>
      <c r="J1492" s="83" t="str">
        <f aca="false">IF(D1492="","",IFERROR(INDEX(식자재단가!$M$4:$M$203,MATCH(D1492,식자재단가!$C$4:$C$203,0)),"과세"))</f>
        <v/>
      </c>
      <c r="K1492" s="28" t="str">
        <f aca="false">IF(I1492="","",IF(J1492="과세",ROUND(I1492*0.1,0),0))</f>
        <v/>
      </c>
      <c r="L1492" s="28" t="str">
        <f aca="false">IF(I1492="","",I1492+K1492)</f>
        <v/>
      </c>
      <c r="M1492" s="10"/>
      <c r="N1492" s="80"/>
      <c r="O1492" s="80"/>
      <c r="P1492" s="59" t="str">
        <f aca="false">IF(E1492="","",IFERROR(INDEX(기본설정!$H$4:$H$14,MATCH(E1492,기본설정!$G$4:$G$14,0)),""))</f>
        <v/>
      </c>
    </row>
    <row r="1493" customFormat="false" ht="15" hidden="false" customHeight="false" outlineLevel="0" collapsed="false">
      <c r="A1493" s="73"/>
      <c r="B1493" s="10"/>
      <c r="C1493" s="80"/>
      <c r="D1493" s="80"/>
      <c r="E1493" s="81" t="str">
        <f aca="false">IF(D1493="","",IFERROR(INDEX(식자재단가!$B$4:$B$203,MATCH(D1493,식자재단가!$C$4:$C$203,0)),""))</f>
        <v/>
      </c>
      <c r="F1493" s="76"/>
      <c r="G1493" s="59" t="str">
        <f aca="false">IF(D1493="","",IFERROR(INDEX(식자재단가!$F$4:$F$203,MATCH(D1493,식자재단가!$C$4:$C$203,0)),""))</f>
        <v/>
      </c>
      <c r="H1493" s="50"/>
      <c r="I1493" s="82" t="str">
        <f aca="false">IF(OR(F1493="",H1493=""),"",F1493*H1493)</f>
        <v/>
      </c>
      <c r="J1493" s="83" t="str">
        <f aca="false">IF(D1493="","",IFERROR(INDEX(식자재단가!$M$4:$M$203,MATCH(D1493,식자재단가!$C$4:$C$203,0)),"과세"))</f>
        <v/>
      </c>
      <c r="K1493" s="28" t="str">
        <f aca="false">IF(I1493="","",IF(J1493="과세",ROUND(I1493*0.1,0),0))</f>
        <v/>
      </c>
      <c r="L1493" s="28" t="str">
        <f aca="false">IF(I1493="","",I1493+K1493)</f>
        <v/>
      </c>
      <c r="M1493" s="10"/>
      <c r="N1493" s="80"/>
      <c r="O1493" s="80"/>
      <c r="P1493" s="59" t="str">
        <f aca="false">IF(E1493="","",IFERROR(INDEX(기본설정!$H$4:$H$14,MATCH(E1493,기본설정!$G$4:$G$14,0)),""))</f>
        <v/>
      </c>
    </row>
    <row r="1494" customFormat="false" ht="15" hidden="false" customHeight="false" outlineLevel="0" collapsed="false">
      <c r="A1494" s="73"/>
      <c r="B1494" s="10"/>
      <c r="C1494" s="80"/>
      <c r="D1494" s="80"/>
      <c r="E1494" s="81" t="str">
        <f aca="false">IF(D1494="","",IFERROR(INDEX(식자재단가!$B$4:$B$203,MATCH(D1494,식자재단가!$C$4:$C$203,0)),""))</f>
        <v/>
      </c>
      <c r="F1494" s="76"/>
      <c r="G1494" s="59" t="str">
        <f aca="false">IF(D1494="","",IFERROR(INDEX(식자재단가!$F$4:$F$203,MATCH(D1494,식자재단가!$C$4:$C$203,0)),""))</f>
        <v/>
      </c>
      <c r="H1494" s="50"/>
      <c r="I1494" s="82" t="str">
        <f aca="false">IF(OR(F1494="",H1494=""),"",F1494*H1494)</f>
        <v/>
      </c>
      <c r="J1494" s="83" t="str">
        <f aca="false">IF(D1494="","",IFERROR(INDEX(식자재단가!$M$4:$M$203,MATCH(D1494,식자재단가!$C$4:$C$203,0)),"과세"))</f>
        <v/>
      </c>
      <c r="K1494" s="28" t="str">
        <f aca="false">IF(I1494="","",IF(J1494="과세",ROUND(I1494*0.1,0),0))</f>
        <v/>
      </c>
      <c r="L1494" s="28" t="str">
        <f aca="false">IF(I1494="","",I1494+K1494)</f>
        <v/>
      </c>
      <c r="M1494" s="10"/>
      <c r="N1494" s="80"/>
      <c r="O1494" s="80"/>
      <c r="P1494" s="59" t="str">
        <f aca="false">IF(E1494="","",IFERROR(INDEX(기본설정!$H$4:$H$14,MATCH(E1494,기본설정!$G$4:$G$14,0)),""))</f>
        <v/>
      </c>
    </row>
    <row r="1495" customFormat="false" ht="15" hidden="false" customHeight="false" outlineLevel="0" collapsed="false">
      <c r="A1495" s="73"/>
      <c r="B1495" s="10"/>
      <c r="C1495" s="80"/>
      <c r="D1495" s="80"/>
      <c r="E1495" s="81" t="str">
        <f aca="false">IF(D1495="","",IFERROR(INDEX(식자재단가!$B$4:$B$203,MATCH(D1495,식자재단가!$C$4:$C$203,0)),""))</f>
        <v/>
      </c>
      <c r="F1495" s="76"/>
      <c r="G1495" s="59" t="str">
        <f aca="false">IF(D1495="","",IFERROR(INDEX(식자재단가!$F$4:$F$203,MATCH(D1495,식자재단가!$C$4:$C$203,0)),""))</f>
        <v/>
      </c>
      <c r="H1495" s="50"/>
      <c r="I1495" s="82" t="str">
        <f aca="false">IF(OR(F1495="",H1495=""),"",F1495*H1495)</f>
        <v/>
      </c>
      <c r="J1495" s="83" t="str">
        <f aca="false">IF(D1495="","",IFERROR(INDEX(식자재단가!$M$4:$M$203,MATCH(D1495,식자재단가!$C$4:$C$203,0)),"과세"))</f>
        <v/>
      </c>
      <c r="K1495" s="28" t="str">
        <f aca="false">IF(I1495="","",IF(J1495="과세",ROUND(I1495*0.1,0),0))</f>
        <v/>
      </c>
      <c r="L1495" s="28" t="str">
        <f aca="false">IF(I1495="","",I1495+K1495)</f>
        <v/>
      </c>
      <c r="M1495" s="10"/>
      <c r="N1495" s="80"/>
      <c r="O1495" s="80"/>
      <c r="P1495" s="59" t="str">
        <f aca="false">IF(E1495="","",IFERROR(INDEX(기본설정!$H$4:$H$14,MATCH(E1495,기본설정!$G$4:$G$14,0)),""))</f>
        <v/>
      </c>
    </row>
    <row r="1496" customFormat="false" ht="15" hidden="false" customHeight="false" outlineLevel="0" collapsed="false">
      <c r="A1496" s="73"/>
      <c r="B1496" s="10"/>
      <c r="C1496" s="80"/>
      <c r="D1496" s="80"/>
      <c r="E1496" s="81" t="str">
        <f aca="false">IF(D1496="","",IFERROR(INDEX(식자재단가!$B$4:$B$203,MATCH(D1496,식자재단가!$C$4:$C$203,0)),""))</f>
        <v/>
      </c>
      <c r="F1496" s="76"/>
      <c r="G1496" s="59" t="str">
        <f aca="false">IF(D1496="","",IFERROR(INDEX(식자재단가!$F$4:$F$203,MATCH(D1496,식자재단가!$C$4:$C$203,0)),""))</f>
        <v/>
      </c>
      <c r="H1496" s="50"/>
      <c r="I1496" s="82" t="str">
        <f aca="false">IF(OR(F1496="",H1496=""),"",F1496*H1496)</f>
        <v/>
      </c>
      <c r="J1496" s="83" t="str">
        <f aca="false">IF(D1496="","",IFERROR(INDEX(식자재단가!$M$4:$M$203,MATCH(D1496,식자재단가!$C$4:$C$203,0)),"과세"))</f>
        <v/>
      </c>
      <c r="K1496" s="28" t="str">
        <f aca="false">IF(I1496="","",IF(J1496="과세",ROUND(I1496*0.1,0),0))</f>
        <v/>
      </c>
      <c r="L1496" s="28" t="str">
        <f aca="false">IF(I1496="","",I1496+K1496)</f>
        <v/>
      </c>
      <c r="M1496" s="10"/>
      <c r="N1496" s="80"/>
      <c r="O1496" s="80"/>
      <c r="P1496" s="59" t="str">
        <f aca="false">IF(E1496="","",IFERROR(INDEX(기본설정!$H$4:$H$14,MATCH(E1496,기본설정!$G$4:$G$14,0)),""))</f>
        <v/>
      </c>
    </row>
    <row r="1497" customFormat="false" ht="15" hidden="false" customHeight="false" outlineLevel="0" collapsed="false">
      <c r="A1497" s="73"/>
      <c r="B1497" s="10"/>
      <c r="C1497" s="80"/>
      <c r="D1497" s="80"/>
      <c r="E1497" s="81" t="str">
        <f aca="false">IF(D1497="","",IFERROR(INDEX(식자재단가!$B$4:$B$203,MATCH(D1497,식자재단가!$C$4:$C$203,0)),""))</f>
        <v/>
      </c>
      <c r="F1497" s="76"/>
      <c r="G1497" s="59" t="str">
        <f aca="false">IF(D1497="","",IFERROR(INDEX(식자재단가!$F$4:$F$203,MATCH(D1497,식자재단가!$C$4:$C$203,0)),""))</f>
        <v/>
      </c>
      <c r="H1497" s="50"/>
      <c r="I1497" s="82" t="str">
        <f aca="false">IF(OR(F1497="",H1497=""),"",F1497*H1497)</f>
        <v/>
      </c>
      <c r="J1497" s="83" t="str">
        <f aca="false">IF(D1497="","",IFERROR(INDEX(식자재단가!$M$4:$M$203,MATCH(D1497,식자재단가!$C$4:$C$203,0)),"과세"))</f>
        <v/>
      </c>
      <c r="K1497" s="28" t="str">
        <f aca="false">IF(I1497="","",IF(J1497="과세",ROUND(I1497*0.1,0),0))</f>
        <v/>
      </c>
      <c r="L1497" s="28" t="str">
        <f aca="false">IF(I1497="","",I1497+K1497)</f>
        <v/>
      </c>
      <c r="M1497" s="10"/>
      <c r="N1497" s="80"/>
      <c r="O1497" s="80"/>
      <c r="P1497" s="59" t="str">
        <f aca="false">IF(E1497="","",IFERROR(INDEX(기본설정!$H$4:$H$14,MATCH(E1497,기본설정!$G$4:$G$14,0)),""))</f>
        <v/>
      </c>
    </row>
    <row r="1498" customFormat="false" ht="15" hidden="false" customHeight="false" outlineLevel="0" collapsed="false">
      <c r="A1498" s="73"/>
      <c r="B1498" s="10"/>
      <c r="C1498" s="80"/>
      <c r="D1498" s="80"/>
      <c r="E1498" s="81" t="str">
        <f aca="false">IF(D1498="","",IFERROR(INDEX(식자재단가!$B$4:$B$203,MATCH(D1498,식자재단가!$C$4:$C$203,0)),""))</f>
        <v/>
      </c>
      <c r="F1498" s="76"/>
      <c r="G1498" s="59" t="str">
        <f aca="false">IF(D1498="","",IFERROR(INDEX(식자재단가!$F$4:$F$203,MATCH(D1498,식자재단가!$C$4:$C$203,0)),""))</f>
        <v/>
      </c>
      <c r="H1498" s="50"/>
      <c r="I1498" s="82" t="str">
        <f aca="false">IF(OR(F1498="",H1498=""),"",F1498*H1498)</f>
        <v/>
      </c>
      <c r="J1498" s="83" t="str">
        <f aca="false">IF(D1498="","",IFERROR(INDEX(식자재단가!$M$4:$M$203,MATCH(D1498,식자재단가!$C$4:$C$203,0)),"과세"))</f>
        <v/>
      </c>
      <c r="K1498" s="28" t="str">
        <f aca="false">IF(I1498="","",IF(J1498="과세",ROUND(I1498*0.1,0),0))</f>
        <v/>
      </c>
      <c r="L1498" s="28" t="str">
        <f aca="false">IF(I1498="","",I1498+K1498)</f>
        <v/>
      </c>
      <c r="M1498" s="10"/>
      <c r="N1498" s="80"/>
      <c r="O1498" s="80"/>
      <c r="P1498" s="59" t="str">
        <f aca="false">IF(E1498="","",IFERROR(INDEX(기본설정!$H$4:$H$14,MATCH(E1498,기본설정!$G$4:$G$14,0)),""))</f>
        <v/>
      </c>
    </row>
    <row r="1499" customFormat="false" ht="15" hidden="false" customHeight="false" outlineLevel="0" collapsed="false">
      <c r="A1499" s="73"/>
      <c r="B1499" s="10"/>
      <c r="C1499" s="80"/>
      <c r="D1499" s="80"/>
      <c r="E1499" s="81" t="str">
        <f aca="false">IF(D1499="","",IFERROR(INDEX(식자재단가!$B$4:$B$203,MATCH(D1499,식자재단가!$C$4:$C$203,0)),""))</f>
        <v/>
      </c>
      <c r="F1499" s="76"/>
      <c r="G1499" s="59" t="str">
        <f aca="false">IF(D1499="","",IFERROR(INDEX(식자재단가!$F$4:$F$203,MATCH(D1499,식자재단가!$C$4:$C$203,0)),""))</f>
        <v/>
      </c>
      <c r="H1499" s="50"/>
      <c r="I1499" s="82" t="str">
        <f aca="false">IF(OR(F1499="",H1499=""),"",F1499*H1499)</f>
        <v/>
      </c>
      <c r="J1499" s="83" t="str">
        <f aca="false">IF(D1499="","",IFERROR(INDEX(식자재단가!$M$4:$M$203,MATCH(D1499,식자재단가!$C$4:$C$203,0)),"과세"))</f>
        <v/>
      </c>
      <c r="K1499" s="28" t="str">
        <f aca="false">IF(I1499="","",IF(J1499="과세",ROUND(I1499*0.1,0),0))</f>
        <v/>
      </c>
      <c r="L1499" s="28" t="str">
        <f aca="false">IF(I1499="","",I1499+K1499)</f>
        <v/>
      </c>
      <c r="M1499" s="10"/>
      <c r="N1499" s="80"/>
      <c r="O1499" s="80"/>
      <c r="P1499" s="59" t="str">
        <f aca="false">IF(E1499="","",IFERROR(INDEX(기본설정!$H$4:$H$14,MATCH(E1499,기본설정!$G$4:$G$14,0)),""))</f>
        <v/>
      </c>
    </row>
    <row r="1500" customFormat="false" ht="15" hidden="false" customHeight="false" outlineLevel="0" collapsed="false">
      <c r="A1500" s="73"/>
      <c r="B1500" s="10"/>
      <c r="C1500" s="80"/>
      <c r="D1500" s="80"/>
      <c r="E1500" s="81" t="str">
        <f aca="false">IF(D1500="","",IFERROR(INDEX(식자재단가!$B$4:$B$203,MATCH(D1500,식자재단가!$C$4:$C$203,0)),""))</f>
        <v/>
      </c>
      <c r="F1500" s="76"/>
      <c r="G1500" s="59" t="str">
        <f aca="false">IF(D1500="","",IFERROR(INDEX(식자재단가!$F$4:$F$203,MATCH(D1500,식자재단가!$C$4:$C$203,0)),""))</f>
        <v/>
      </c>
      <c r="H1500" s="50"/>
      <c r="I1500" s="82" t="str">
        <f aca="false">IF(OR(F1500="",H1500=""),"",F1500*H1500)</f>
        <v/>
      </c>
      <c r="J1500" s="83" t="str">
        <f aca="false">IF(D1500="","",IFERROR(INDEX(식자재단가!$M$4:$M$203,MATCH(D1500,식자재단가!$C$4:$C$203,0)),"과세"))</f>
        <v/>
      </c>
      <c r="K1500" s="28" t="str">
        <f aca="false">IF(I1500="","",IF(J1500="과세",ROUND(I1500*0.1,0),0))</f>
        <v/>
      </c>
      <c r="L1500" s="28" t="str">
        <f aca="false">IF(I1500="","",I1500+K1500)</f>
        <v/>
      </c>
      <c r="M1500" s="10"/>
      <c r="N1500" s="80"/>
      <c r="O1500" s="80"/>
      <c r="P1500" s="59" t="str">
        <f aca="false">IF(E1500="","",IFERROR(INDEX(기본설정!$H$4:$H$14,MATCH(E1500,기본설정!$G$4:$G$14,0)),""))</f>
        <v/>
      </c>
    </row>
    <row r="1501" customFormat="false" ht="15" hidden="false" customHeight="false" outlineLevel="0" collapsed="false">
      <c r="A1501" s="73"/>
      <c r="B1501" s="10"/>
      <c r="C1501" s="80"/>
      <c r="D1501" s="80"/>
      <c r="E1501" s="81" t="str">
        <f aca="false">IF(D1501="","",IFERROR(INDEX(식자재단가!$B$4:$B$203,MATCH(D1501,식자재단가!$C$4:$C$203,0)),""))</f>
        <v/>
      </c>
      <c r="F1501" s="76"/>
      <c r="G1501" s="59" t="str">
        <f aca="false">IF(D1501="","",IFERROR(INDEX(식자재단가!$F$4:$F$203,MATCH(D1501,식자재단가!$C$4:$C$203,0)),""))</f>
        <v/>
      </c>
      <c r="H1501" s="50"/>
      <c r="I1501" s="82" t="str">
        <f aca="false">IF(OR(F1501="",H1501=""),"",F1501*H1501)</f>
        <v/>
      </c>
      <c r="J1501" s="83" t="str">
        <f aca="false">IF(D1501="","",IFERROR(INDEX(식자재단가!$M$4:$M$203,MATCH(D1501,식자재단가!$C$4:$C$203,0)),"과세"))</f>
        <v/>
      </c>
      <c r="K1501" s="28" t="str">
        <f aca="false">IF(I1501="","",IF(J1501="과세",ROUND(I1501*0.1,0),0))</f>
        <v/>
      </c>
      <c r="L1501" s="28" t="str">
        <f aca="false">IF(I1501="","",I1501+K1501)</f>
        <v/>
      </c>
      <c r="M1501" s="10"/>
      <c r="N1501" s="80"/>
      <c r="O1501" s="80"/>
      <c r="P1501" s="59" t="str">
        <f aca="false">IF(E1501="","",IFERROR(INDEX(기본설정!$H$4:$H$14,MATCH(E1501,기본설정!$G$4:$G$14,0)),""))</f>
        <v/>
      </c>
    </row>
    <row r="1502" customFormat="false" ht="15" hidden="false" customHeight="false" outlineLevel="0" collapsed="false">
      <c r="A1502" s="73"/>
      <c r="B1502" s="10"/>
      <c r="C1502" s="80"/>
      <c r="D1502" s="80"/>
      <c r="E1502" s="81" t="str">
        <f aca="false">IF(D1502="","",IFERROR(INDEX(식자재단가!$B$4:$B$203,MATCH(D1502,식자재단가!$C$4:$C$203,0)),""))</f>
        <v/>
      </c>
      <c r="F1502" s="76"/>
      <c r="G1502" s="59" t="str">
        <f aca="false">IF(D1502="","",IFERROR(INDEX(식자재단가!$F$4:$F$203,MATCH(D1502,식자재단가!$C$4:$C$203,0)),""))</f>
        <v/>
      </c>
      <c r="H1502" s="50"/>
      <c r="I1502" s="82" t="str">
        <f aca="false">IF(OR(F1502="",H1502=""),"",F1502*H1502)</f>
        <v/>
      </c>
      <c r="J1502" s="83" t="str">
        <f aca="false">IF(D1502="","",IFERROR(INDEX(식자재단가!$M$4:$M$203,MATCH(D1502,식자재단가!$C$4:$C$203,0)),"과세"))</f>
        <v/>
      </c>
      <c r="K1502" s="28" t="str">
        <f aca="false">IF(I1502="","",IF(J1502="과세",ROUND(I1502*0.1,0),0))</f>
        <v/>
      </c>
      <c r="L1502" s="28" t="str">
        <f aca="false">IF(I1502="","",I1502+K1502)</f>
        <v/>
      </c>
      <c r="M1502" s="10"/>
      <c r="N1502" s="80"/>
      <c r="O1502" s="80"/>
      <c r="P1502" s="59" t="str">
        <f aca="false">IF(E1502="","",IFERROR(INDEX(기본설정!$H$4:$H$14,MATCH(E1502,기본설정!$G$4:$G$14,0)),""))</f>
        <v/>
      </c>
    </row>
    <row r="1503" customFormat="false" ht="15" hidden="false" customHeight="false" outlineLevel="0" collapsed="false">
      <c r="A1503" s="73"/>
      <c r="B1503" s="10"/>
      <c r="C1503" s="80"/>
      <c r="D1503" s="80"/>
      <c r="E1503" s="81" t="str">
        <f aca="false">IF(D1503="","",IFERROR(INDEX(식자재단가!$B$4:$B$203,MATCH(D1503,식자재단가!$C$4:$C$203,0)),""))</f>
        <v/>
      </c>
      <c r="F1503" s="76"/>
      <c r="G1503" s="59" t="str">
        <f aca="false">IF(D1503="","",IFERROR(INDEX(식자재단가!$F$4:$F$203,MATCH(D1503,식자재단가!$C$4:$C$203,0)),""))</f>
        <v/>
      </c>
      <c r="H1503" s="50"/>
      <c r="I1503" s="82" t="str">
        <f aca="false">IF(OR(F1503="",H1503=""),"",F1503*H1503)</f>
        <v/>
      </c>
      <c r="J1503" s="83" t="str">
        <f aca="false">IF(D1503="","",IFERROR(INDEX(식자재단가!$M$4:$M$203,MATCH(D1503,식자재단가!$C$4:$C$203,0)),"과세"))</f>
        <v/>
      </c>
      <c r="K1503" s="28" t="str">
        <f aca="false">IF(I1503="","",IF(J1503="과세",ROUND(I1503*0.1,0),0))</f>
        <v/>
      </c>
      <c r="L1503" s="28" t="str">
        <f aca="false">IF(I1503="","",I1503+K1503)</f>
        <v/>
      </c>
      <c r="M1503" s="10"/>
      <c r="N1503" s="80"/>
      <c r="O1503" s="80"/>
      <c r="P1503" s="59" t="str">
        <f aca="false">IF(E1503="","",IFERROR(INDEX(기본설정!$H$4:$H$14,MATCH(E1503,기본설정!$G$4:$G$14,0)),""))</f>
        <v/>
      </c>
    </row>
  </sheetData>
  <autoFilter ref="A3:P1503"/>
  <conditionalFormatting sqref="E4:E1503">
    <cfRule type="expression" priority="2" aboveAverage="0" equalAverage="0" bottom="0" percent="0" rank="0" text="" dxfId="15">
      <formula>AND($D4&lt;&gt;"",$E4="")</formula>
    </cfRule>
  </conditionalFormatting>
  <conditionalFormatting sqref="B4:B1503">
    <cfRule type="expression" priority="3" aboveAverage="0" equalAverage="0" bottom="0" percent="0" rank="0" text="" dxfId="15">
      <formula>AND($A4&lt;&gt;"",$B4="")</formula>
    </cfRule>
  </conditionalFormatting>
  <dataValidations count="6">
    <dataValidation allowBlank="true" errorStyle="stop" operator="between" showDropDown="false" showErrorMessage="true" showInputMessage="false" sqref="B4:B1503" type="list">
      <formula1>기본설정!$E$5:$E$10</formula1>
      <formula2>0</formula2>
    </dataValidation>
    <dataValidation allowBlank="true" errorStyle="information" operator="between" showDropDown="false" showErrorMessage="false" showInputMessage="false" sqref="D4:D1503" type="list">
      <formula1>식자재단가!$C$4:$C$203</formula1>
      <formula2>0</formula2>
    </dataValidation>
    <dataValidation allowBlank="true" errorStyle="stop" operator="between" showDropDown="false" showErrorMessage="true" showInputMessage="false" sqref="E4:E1503" type="list">
      <formula1>기본설정!$G$4:$G$14</formula1>
      <formula2>0</formula2>
    </dataValidation>
    <dataValidation allowBlank="true" errorStyle="stop" operator="between" showDropDown="false" showErrorMessage="true" showInputMessage="false" sqref="J4:J1503" type="list">
      <formula1>기본설정!$N$4:$N$5</formula1>
      <formula2>0</formula2>
    </dataValidation>
    <dataValidation allowBlank="true" errorStyle="stop" operator="between" showDropDown="false" showErrorMessage="true" showInputMessage="false" sqref="M4:M1503" type="list">
      <formula1>기본설정!$O$4:$O$7</formula1>
      <formula2>0</formula2>
    </dataValidation>
    <dataValidation allowBlank="true" errorStyle="stop" operator="between" showDropDown="false" showErrorMessage="true" showInputMessage="false" sqref="N4:N1503" type="list">
      <formula1>기본설정!$P$4:$P$8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18" min="7" style="0" width="7"/>
    <col collapsed="false" customWidth="true" hidden="false" outlineLevel="0" max="19" min="19" style="0" width="9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11"/>
    <col collapsed="false" customWidth="true" hidden="false" outlineLevel="0" max="23" min="23" style="0" width="10"/>
  </cols>
  <sheetData>
    <row r="1" customFormat="false" ht="27.75" hidden="false" customHeight="true" outlineLevel="0" collapsed="false">
      <c r="A1" s="1" t="s">
        <v>698</v>
      </c>
    </row>
    <row r="2" customFormat="false" ht="15" hidden="false" customHeight="false" outlineLevel="0" collapsed="false">
      <c r="A2" s="2" t="s">
        <v>699</v>
      </c>
    </row>
    <row r="3" customFormat="false" ht="39.75" hidden="false" customHeight="true" outlineLevel="0" collapsed="false">
      <c r="A3" s="11" t="s">
        <v>66</v>
      </c>
      <c r="B3" s="11" t="s">
        <v>700</v>
      </c>
      <c r="C3" s="11" t="s">
        <v>400</v>
      </c>
      <c r="D3" s="11" t="s">
        <v>701</v>
      </c>
      <c r="E3" s="11" t="s">
        <v>692</v>
      </c>
      <c r="F3" s="11" t="s">
        <v>702</v>
      </c>
      <c r="G3" s="75" t="s">
        <v>703</v>
      </c>
      <c r="H3" s="75" t="s">
        <v>704</v>
      </c>
      <c r="I3" s="75" t="s">
        <v>705</v>
      </c>
      <c r="J3" s="75" t="s">
        <v>706</v>
      </c>
      <c r="K3" s="75" t="s">
        <v>707</v>
      </c>
      <c r="L3" s="75" t="s">
        <v>708</v>
      </c>
      <c r="M3" s="75" t="s">
        <v>709</v>
      </c>
      <c r="N3" s="75" t="s">
        <v>710</v>
      </c>
      <c r="O3" s="75" t="s">
        <v>711</v>
      </c>
      <c r="P3" s="75" t="s">
        <v>712</v>
      </c>
      <c r="Q3" s="75" t="s">
        <v>713</v>
      </c>
      <c r="R3" s="75" t="s">
        <v>714</v>
      </c>
      <c r="S3" s="11" t="s">
        <v>715</v>
      </c>
      <c r="T3" s="11" t="s">
        <v>716</v>
      </c>
      <c r="U3" s="11" t="s">
        <v>717</v>
      </c>
      <c r="V3" s="11" t="s">
        <v>718</v>
      </c>
      <c r="W3" s="11" t="s">
        <v>696</v>
      </c>
    </row>
    <row r="4" customFormat="false" ht="15" hidden="false" customHeight="false" outlineLevel="0" collapsed="false">
      <c r="A4" s="83" t="str">
        <f aca="false">기본설정!$E$5</f>
        <v>판교점</v>
      </c>
      <c r="B4" s="81" t="str">
        <f aca="false">IF(C4="","",IFERROR(INDEX(식자재단가!$B$4:$B$203,MATCH(C4,식자재단가!$C$4:$C$203,0)),""))</f>
        <v>양고기</v>
      </c>
      <c r="C4" s="80" t="s">
        <v>415</v>
      </c>
      <c r="D4" s="59" t="str">
        <f aca="false">IF(C4="","",IFERROR(INDEX(식자재단가!$F$4:$F$203,MATCH(C4,식자재단가!$C$4:$C$203,0)),""))</f>
        <v>kg</v>
      </c>
      <c r="E4" s="84" t="n">
        <f aca="false">IF(C4="",0,IFERROR(INDEX(식자재단가!$G$4:$G$203,MATCH(C4,식자재단가!$C$4:$C$203,0)),0))</f>
        <v>14000</v>
      </c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1" t="n">
        <f aca="false">N(INDEX(F4:R4,1,기본설정!$C$5+1))</f>
        <v>0</v>
      </c>
      <c r="T4" s="28" t="n">
        <f aca="false">S4*E4</f>
        <v>0</v>
      </c>
      <c r="U4" s="71" t="n">
        <f aca="false">N(INDEX(F4:R4,1,기본설정!$C$5))</f>
        <v>0</v>
      </c>
      <c r="V4" s="28" t="n">
        <f aca="false">U4*E4</f>
        <v>0</v>
      </c>
      <c r="W4" s="59" t="str">
        <f aca="false">IF(B4="","",IFERROR(INDEX(기본설정!$H$4:$H$14,MATCH(B4,기본설정!$G$4:$G$14,0)),""))</f>
        <v>식재료</v>
      </c>
    </row>
    <row r="5" customFormat="false" ht="15" hidden="false" customHeight="false" outlineLevel="0" collapsed="false">
      <c r="A5" s="83" t="str">
        <f aca="false">기본설정!$E$5</f>
        <v>판교점</v>
      </c>
      <c r="B5" s="81" t="str">
        <f aca="false">IF(C5="","",IFERROR(INDEX(식자재단가!$B$4:$B$203,MATCH(C5,식자재단가!$C$4:$C$203,0)),""))</f>
        <v>양고기</v>
      </c>
      <c r="C5" s="80" t="s">
        <v>421</v>
      </c>
      <c r="D5" s="59" t="str">
        <f aca="false">IF(C5="","",IFERROR(INDEX(식자재단가!$F$4:$F$203,MATCH(C5,식자재단가!$C$4:$C$203,0)),""))</f>
        <v>kg</v>
      </c>
      <c r="E5" s="84" t="n">
        <f aca="false">IF(C5="",0,IFERROR(INDEX(식자재단가!$G$4:$G$203,MATCH(C5,식자재단가!$C$4:$C$203,0)),0))</f>
        <v>32000</v>
      </c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1" t="n">
        <f aca="false">N(INDEX(F5:R5,1,기본설정!$C$5+1))</f>
        <v>0</v>
      </c>
      <c r="T5" s="28" t="n">
        <f aca="false">S5*E5</f>
        <v>0</v>
      </c>
      <c r="U5" s="71" t="n">
        <f aca="false">N(INDEX(F5:R5,1,기본설정!$C$5))</f>
        <v>0</v>
      </c>
      <c r="V5" s="28" t="n">
        <f aca="false">U5*E5</f>
        <v>0</v>
      </c>
      <c r="W5" s="59" t="str">
        <f aca="false">IF(B5="","",IFERROR(INDEX(기본설정!$H$4:$H$14,MATCH(B5,기본설정!$G$4:$G$14,0)),""))</f>
        <v>식재료</v>
      </c>
    </row>
    <row r="6" customFormat="false" ht="15" hidden="false" customHeight="false" outlineLevel="0" collapsed="false">
      <c r="A6" s="83" t="str">
        <f aca="false">기본설정!$E$5</f>
        <v>판교점</v>
      </c>
      <c r="B6" s="81" t="str">
        <f aca="false">IF(C6="","",IFERROR(INDEX(식자재단가!$B$4:$B$203,MATCH(C6,식자재단가!$C$4:$C$203,0)),""))</f>
        <v>양고기</v>
      </c>
      <c r="C6" s="80" t="s">
        <v>423</v>
      </c>
      <c r="D6" s="59" t="str">
        <f aca="false">IF(C6="","",IFERROR(INDEX(식자재단가!$F$4:$F$203,MATCH(C6,식자재단가!$C$4:$C$203,0)),""))</f>
        <v>박스</v>
      </c>
      <c r="E6" s="84" t="n">
        <f aca="false">IF(C6="",0,IFERROR(INDEX(식자재단가!$G$4:$G$203,MATCH(C6,식자재단가!$C$4:$C$203,0)),0))</f>
        <v>45000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1" t="n">
        <f aca="false">N(INDEX(F6:R6,1,기본설정!$C$5+1))</f>
        <v>0</v>
      </c>
      <c r="T6" s="28" t="n">
        <f aca="false">S6*E6</f>
        <v>0</v>
      </c>
      <c r="U6" s="71" t="n">
        <f aca="false">N(INDEX(F6:R6,1,기본설정!$C$5))</f>
        <v>0</v>
      </c>
      <c r="V6" s="28" t="n">
        <f aca="false">U6*E6</f>
        <v>0</v>
      </c>
      <c r="W6" s="59" t="str">
        <f aca="false">IF(B6="","",IFERROR(INDEX(기본설정!$H$4:$H$14,MATCH(B6,기본설정!$G$4:$G$14,0)),""))</f>
        <v>식재료</v>
      </c>
    </row>
    <row r="7" customFormat="false" ht="15" hidden="false" customHeight="false" outlineLevel="0" collapsed="false">
      <c r="A7" s="83" t="str">
        <f aca="false">기본설정!$E$5</f>
        <v>판교점</v>
      </c>
      <c r="B7" s="81" t="str">
        <f aca="false">IF(C7="","",IFERROR(INDEX(식자재단가!$B$4:$B$203,MATCH(C7,식자재단가!$C$4:$C$203,0)),""))</f>
        <v>양고기</v>
      </c>
      <c r="C7" s="80" t="s">
        <v>429</v>
      </c>
      <c r="D7" s="59" t="str">
        <f aca="false">IF(C7="","",IFERROR(INDEX(식자재단가!$F$4:$F$203,MATCH(C7,식자재단가!$C$4:$C$203,0)),""))</f>
        <v>박스</v>
      </c>
      <c r="E7" s="84" t="n">
        <f aca="false">IF(C7="",0,IFERROR(INDEX(식자재단가!$G$4:$G$203,MATCH(C7,식자재단가!$C$4:$C$203,0)),0))</f>
        <v>52000</v>
      </c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1" t="n">
        <f aca="false">N(INDEX(F7:R7,1,기본설정!$C$5+1))</f>
        <v>0</v>
      </c>
      <c r="T7" s="28" t="n">
        <f aca="false">S7*E7</f>
        <v>0</v>
      </c>
      <c r="U7" s="71" t="n">
        <f aca="false">N(INDEX(F7:R7,1,기본설정!$C$5))</f>
        <v>0</v>
      </c>
      <c r="V7" s="28" t="n">
        <f aca="false">U7*E7</f>
        <v>0</v>
      </c>
      <c r="W7" s="59" t="str">
        <f aca="false">IF(B7="","",IFERROR(INDEX(기본설정!$H$4:$H$14,MATCH(B7,기본설정!$G$4:$G$14,0)),""))</f>
        <v>식재료</v>
      </c>
    </row>
    <row r="8" customFormat="false" ht="15" hidden="false" customHeight="false" outlineLevel="0" collapsed="false">
      <c r="A8" s="83" t="str">
        <f aca="false">기본설정!$E$5</f>
        <v>판교점</v>
      </c>
      <c r="B8" s="81" t="str">
        <f aca="false">IF(C8="","",IFERROR(INDEX(식자재단가!$B$4:$B$203,MATCH(C8,식자재단가!$C$4:$C$203,0)),""))</f>
        <v>양고기</v>
      </c>
      <c r="C8" s="80" t="s">
        <v>431</v>
      </c>
      <c r="D8" s="59" t="str">
        <f aca="false">IF(C8="","",IFERROR(INDEX(식자재단가!$F$4:$F$203,MATCH(C8,식자재단가!$C$4:$C$203,0)),""))</f>
        <v>박스</v>
      </c>
      <c r="E8" s="84" t="n">
        <f aca="false">IF(C8="",0,IFERROR(INDEX(식자재단가!$G$4:$G$203,MATCH(C8,식자재단가!$C$4:$C$203,0)),0))</f>
        <v>62000</v>
      </c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1" t="n">
        <f aca="false">N(INDEX(F8:R8,1,기본설정!$C$5+1))</f>
        <v>0</v>
      </c>
      <c r="T8" s="28" t="n">
        <f aca="false">S8*E8</f>
        <v>0</v>
      </c>
      <c r="U8" s="71" t="n">
        <f aca="false">N(INDEX(F8:R8,1,기본설정!$C$5))</f>
        <v>0</v>
      </c>
      <c r="V8" s="28" t="n">
        <f aca="false">U8*E8</f>
        <v>0</v>
      </c>
      <c r="W8" s="59" t="str">
        <f aca="false">IF(B8="","",IFERROR(INDEX(기본설정!$H$4:$H$14,MATCH(B8,기본설정!$G$4:$G$14,0)),""))</f>
        <v>식재료</v>
      </c>
    </row>
    <row r="9" customFormat="false" ht="15" hidden="false" customHeight="false" outlineLevel="0" collapsed="false">
      <c r="A9" s="83" t="str">
        <f aca="false">기본설정!$E$5</f>
        <v>판교점</v>
      </c>
      <c r="B9" s="81" t="str">
        <f aca="false">IF(C9="","",IFERROR(INDEX(식자재단가!$B$4:$B$203,MATCH(C9,식자재단가!$C$4:$C$203,0)),""))</f>
        <v>양고기</v>
      </c>
      <c r="C9" s="80" t="s">
        <v>433</v>
      </c>
      <c r="D9" s="59" t="str">
        <f aca="false">IF(C9="","",IFERROR(INDEX(식자재단가!$F$4:$F$203,MATCH(C9,식자재단가!$C$4:$C$203,0)),""))</f>
        <v>kg</v>
      </c>
      <c r="E9" s="84" t="n">
        <f aca="false">IF(C9="",0,IFERROR(INDEX(식자재단가!$G$4:$G$203,MATCH(C9,식자재단가!$C$4:$C$203,0)),0))</f>
        <v>18000</v>
      </c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1" t="n">
        <f aca="false">N(INDEX(F9:R9,1,기본설정!$C$5+1))</f>
        <v>0</v>
      </c>
      <c r="T9" s="28" t="n">
        <f aca="false">S9*E9</f>
        <v>0</v>
      </c>
      <c r="U9" s="71" t="n">
        <f aca="false">N(INDEX(F9:R9,1,기본설정!$C$5))</f>
        <v>0</v>
      </c>
      <c r="V9" s="28" t="n">
        <f aca="false">U9*E9</f>
        <v>0</v>
      </c>
      <c r="W9" s="59" t="str">
        <f aca="false">IF(B9="","",IFERROR(INDEX(기본설정!$H$4:$H$14,MATCH(B9,기본설정!$G$4:$G$14,0)),""))</f>
        <v>식재료</v>
      </c>
    </row>
    <row r="10" customFormat="false" ht="15" hidden="false" customHeight="false" outlineLevel="0" collapsed="false">
      <c r="A10" s="83" t="str">
        <f aca="false">기본설정!$E$5</f>
        <v>판교점</v>
      </c>
      <c r="B10" s="81" t="str">
        <f aca="false">IF(C10="","",IFERROR(INDEX(식자재단가!$B$4:$B$203,MATCH(C10,식자재단가!$C$4:$C$203,0)),""))</f>
        <v>기타육류</v>
      </c>
      <c r="C10" s="80" t="s">
        <v>435</v>
      </c>
      <c r="D10" s="59" t="str">
        <f aca="false">IF(C10="","",IFERROR(INDEX(식자재단가!$F$4:$F$203,MATCH(C10,식자재단가!$C$4:$C$203,0)),""))</f>
        <v>kg</v>
      </c>
      <c r="E10" s="84" t="n">
        <f aca="false">IF(C10="",0,IFERROR(INDEX(식자재단가!$G$4:$G$203,MATCH(C10,식자재단가!$C$4:$C$203,0)),0))</f>
        <v>11000</v>
      </c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1" t="n">
        <f aca="false">N(INDEX(F10:R10,1,기본설정!$C$5+1))</f>
        <v>0</v>
      </c>
      <c r="T10" s="28" t="n">
        <f aca="false">S10*E10</f>
        <v>0</v>
      </c>
      <c r="U10" s="71" t="n">
        <f aca="false">N(INDEX(F10:R10,1,기본설정!$C$5))</f>
        <v>0</v>
      </c>
      <c r="V10" s="28" t="n">
        <f aca="false">U10*E10</f>
        <v>0</v>
      </c>
      <c r="W10" s="59" t="str">
        <f aca="false">IF(B10="","",IFERROR(INDEX(기본설정!$H$4:$H$14,MATCH(B10,기본설정!$G$4:$G$14,0)),""))</f>
        <v>식재료</v>
      </c>
    </row>
    <row r="11" customFormat="false" ht="15" hidden="false" customHeight="false" outlineLevel="0" collapsed="false">
      <c r="A11" s="83" t="str">
        <f aca="false">기본설정!$E$5</f>
        <v>판교점</v>
      </c>
      <c r="B11" s="81" t="str">
        <f aca="false">IF(C11="","",IFERROR(INDEX(식자재단가!$B$4:$B$203,MATCH(C11,식자재단가!$C$4:$C$203,0)),""))</f>
        <v>기타육류</v>
      </c>
      <c r="C11" s="80" t="s">
        <v>439</v>
      </c>
      <c r="D11" s="59" t="str">
        <f aca="false">IF(C11="","",IFERROR(INDEX(식자재단가!$F$4:$F$203,MATCH(C11,식자재단가!$C$4:$C$203,0)),""))</f>
        <v>kg</v>
      </c>
      <c r="E11" s="84" t="n">
        <f aca="false">IF(C11="",0,IFERROR(INDEX(식자재단가!$G$4:$G$203,MATCH(C11,식자재단가!$C$4:$C$203,0)),0))</f>
        <v>9000</v>
      </c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1" t="n">
        <f aca="false">N(INDEX(F11:R11,1,기본설정!$C$5+1))</f>
        <v>0</v>
      </c>
      <c r="T11" s="28" t="n">
        <f aca="false">S11*E11</f>
        <v>0</v>
      </c>
      <c r="U11" s="71" t="n">
        <f aca="false">N(INDEX(F11:R11,1,기본설정!$C$5))</f>
        <v>0</v>
      </c>
      <c r="V11" s="28" t="n">
        <f aca="false">U11*E11</f>
        <v>0</v>
      </c>
      <c r="W11" s="59" t="str">
        <f aca="false">IF(B11="","",IFERROR(INDEX(기본설정!$H$4:$H$14,MATCH(B11,기본설정!$G$4:$G$14,0)),""))</f>
        <v>식재료</v>
      </c>
    </row>
    <row r="12" customFormat="false" ht="15" hidden="false" customHeight="false" outlineLevel="0" collapsed="false">
      <c r="A12" s="83" t="str">
        <f aca="false">기본설정!$E$5</f>
        <v>판교점</v>
      </c>
      <c r="B12" s="81" t="str">
        <f aca="false">IF(C12="","",IFERROR(INDEX(식자재단가!$B$4:$B$203,MATCH(C12,식자재단가!$C$4:$C$203,0)),""))</f>
        <v>수산물</v>
      </c>
      <c r="C12" s="80" t="s">
        <v>441</v>
      </c>
      <c r="D12" s="59" t="str">
        <f aca="false">IF(C12="","",IFERROR(INDEX(식자재단가!$F$4:$F$203,MATCH(C12,식자재단가!$C$4:$C$203,0)),""))</f>
        <v>박스</v>
      </c>
      <c r="E12" s="84" t="n">
        <f aca="false">IF(C12="",0,IFERROR(INDEX(식자재단가!$G$4:$G$203,MATCH(C12,식자재단가!$C$4:$C$203,0)),0))</f>
        <v>35000</v>
      </c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1" t="n">
        <f aca="false">N(INDEX(F12:R12,1,기본설정!$C$5+1))</f>
        <v>0</v>
      </c>
      <c r="T12" s="28" t="n">
        <f aca="false">S12*E12</f>
        <v>0</v>
      </c>
      <c r="U12" s="71" t="n">
        <f aca="false">N(INDEX(F12:R12,1,기본설정!$C$5))</f>
        <v>0</v>
      </c>
      <c r="V12" s="28" t="n">
        <f aca="false">U12*E12</f>
        <v>0</v>
      </c>
      <c r="W12" s="59" t="str">
        <f aca="false">IF(B12="","",IFERROR(INDEX(기본설정!$H$4:$H$14,MATCH(B12,기본설정!$G$4:$G$14,0)),""))</f>
        <v>식재료</v>
      </c>
    </row>
    <row r="13" customFormat="false" ht="15" hidden="false" customHeight="false" outlineLevel="0" collapsed="false">
      <c r="A13" s="83" t="str">
        <f aca="false">기본설정!$E$5</f>
        <v>판교점</v>
      </c>
      <c r="B13" s="81" t="str">
        <f aca="false">IF(C13="","",IFERROR(INDEX(식자재단가!$B$4:$B$203,MATCH(C13,식자재단가!$C$4:$C$203,0)),""))</f>
        <v>수산물</v>
      </c>
      <c r="C13" s="80" t="s">
        <v>444</v>
      </c>
      <c r="D13" s="59" t="str">
        <f aca="false">IF(C13="","",IFERROR(INDEX(식자재단가!$F$4:$F$203,MATCH(C13,식자재단가!$C$4:$C$203,0)),""))</f>
        <v>kg</v>
      </c>
      <c r="E13" s="84" t="n">
        <f aca="false">IF(C13="",0,IFERROR(INDEX(식자재단가!$G$4:$G$203,MATCH(C13,식자재단가!$C$4:$C$203,0)),0))</f>
        <v>24000</v>
      </c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1" t="n">
        <f aca="false">N(INDEX(F13:R13,1,기본설정!$C$5+1))</f>
        <v>0</v>
      </c>
      <c r="T13" s="28" t="n">
        <f aca="false">S13*E13</f>
        <v>0</v>
      </c>
      <c r="U13" s="71" t="n">
        <f aca="false">N(INDEX(F13:R13,1,기본설정!$C$5))</f>
        <v>0</v>
      </c>
      <c r="V13" s="28" t="n">
        <f aca="false">U13*E13</f>
        <v>0</v>
      </c>
      <c r="W13" s="59" t="str">
        <f aca="false">IF(B13="","",IFERROR(INDEX(기본설정!$H$4:$H$14,MATCH(B13,기본설정!$G$4:$G$14,0)),""))</f>
        <v>식재료</v>
      </c>
    </row>
    <row r="14" customFormat="false" ht="15" hidden="false" customHeight="false" outlineLevel="0" collapsed="false">
      <c r="A14" s="83" t="str">
        <f aca="false">기본설정!$E$5</f>
        <v>판교점</v>
      </c>
      <c r="B14" s="81" t="str">
        <f aca="false">IF(C14="","",IFERROR(INDEX(식자재단가!$B$4:$B$203,MATCH(C14,식자재단가!$C$4:$C$203,0)),""))</f>
        <v>수산물</v>
      </c>
      <c r="C14" s="80" t="s">
        <v>448</v>
      </c>
      <c r="D14" s="59" t="str">
        <f aca="false">IF(C14="","",IFERROR(INDEX(식자재단가!$F$4:$F$203,MATCH(C14,식자재단가!$C$4:$C$203,0)),""))</f>
        <v>kg</v>
      </c>
      <c r="E14" s="84" t="n">
        <f aca="false">IF(C14="",0,IFERROR(INDEX(식자재단가!$G$4:$G$203,MATCH(C14,식자재단가!$C$4:$C$203,0)),0))</f>
        <v>18000</v>
      </c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1" t="n">
        <f aca="false">N(INDEX(F14:R14,1,기본설정!$C$5+1))</f>
        <v>0</v>
      </c>
      <c r="T14" s="28" t="n">
        <f aca="false">S14*E14</f>
        <v>0</v>
      </c>
      <c r="U14" s="71" t="n">
        <f aca="false">N(INDEX(F14:R14,1,기본설정!$C$5))</f>
        <v>0</v>
      </c>
      <c r="V14" s="28" t="n">
        <f aca="false">U14*E14</f>
        <v>0</v>
      </c>
      <c r="W14" s="59" t="str">
        <f aca="false">IF(B14="","",IFERROR(INDEX(기본설정!$H$4:$H$14,MATCH(B14,기본설정!$G$4:$G$14,0)),""))</f>
        <v>식재료</v>
      </c>
    </row>
    <row r="15" customFormat="false" ht="15" hidden="false" customHeight="false" outlineLevel="0" collapsed="false">
      <c r="A15" s="83" t="str">
        <f aca="false">기본설정!$E$5</f>
        <v>판교점</v>
      </c>
      <c r="B15" s="81" t="str">
        <f aca="false">IF(C15="","",IFERROR(INDEX(식자재단가!$B$4:$B$203,MATCH(C15,식자재단가!$C$4:$C$203,0)),""))</f>
        <v>채소·과일</v>
      </c>
      <c r="C15" s="80" t="s">
        <v>451</v>
      </c>
      <c r="D15" s="59" t="str">
        <f aca="false">IF(C15="","",IFERROR(INDEX(식자재단가!$F$4:$F$203,MATCH(C15,식자재단가!$C$4:$C$203,0)),""))</f>
        <v>kg</v>
      </c>
      <c r="E15" s="84" t="n">
        <f aca="false">IF(C15="",0,IFERROR(INDEX(식자재단가!$G$4:$G$203,MATCH(C15,식자재단가!$C$4:$C$203,0)),0))</f>
        <v>4500</v>
      </c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1" t="n">
        <f aca="false">N(INDEX(F15:R15,1,기본설정!$C$5+1))</f>
        <v>0</v>
      </c>
      <c r="T15" s="28" t="n">
        <f aca="false">S15*E15</f>
        <v>0</v>
      </c>
      <c r="U15" s="71" t="n">
        <f aca="false">N(INDEX(F15:R15,1,기본설정!$C$5))</f>
        <v>0</v>
      </c>
      <c r="V15" s="28" t="n">
        <f aca="false">U15*E15</f>
        <v>0</v>
      </c>
      <c r="W15" s="59" t="str">
        <f aca="false">IF(B15="","",IFERROR(INDEX(기본설정!$H$4:$H$14,MATCH(B15,기본설정!$G$4:$G$14,0)),""))</f>
        <v>식재료</v>
      </c>
    </row>
    <row r="16" customFormat="false" ht="15" hidden="false" customHeight="false" outlineLevel="0" collapsed="false">
      <c r="A16" s="83" t="str">
        <f aca="false">기본설정!$E$5</f>
        <v>판교점</v>
      </c>
      <c r="B16" s="81" t="str">
        <f aca="false">IF(C16="","",IFERROR(INDEX(식자재단가!$B$4:$B$203,MATCH(C16,식자재단가!$C$4:$C$203,0)),""))</f>
        <v>채소·과일</v>
      </c>
      <c r="C16" s="80" t="s">
        <v>454</v>
      </c>
      <c r="D16" s="59" t="str">
        <f aca="false">IF(C16="","",IFERROR(INDEX(식자재단가!$F$4:$F$203,MATCH(C16,식자재단가!$C$4:$C$203,0)),""))</f>
        <v>kg</v>
      </c>
      <c r="E16" s="84" t="n">
        <f aca="false">IF(C16="",0,IFERROR(INDEX(식자재단가!$G$4:$G$203,MATCH(C16,식자재단가!$C$4:$C$203,0)),0))</f>
        <v>5000</v>
      </c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1" t="n">
        <f aca="false">N(INDEX(F16:R16,1,기본설정!$C$5+1))</f>
        <v>0</v>
      </c>
      <c r="T16" s="28" t="n">
        <f aca="false">S16*E16</f>
        <v>0</v>
      </c>
      <c r="U16" s="71" t="n">
        <f aca="false">N(INDEX(F16:R16,1,기본설정!$C$5))</f>
        <v>0</v>
      </c>
      <c r="V16" s="28" t="n">
        <f aca="false">U16*E16</f>
        <v>0</v>
      </c>
      <c r="W16" s="59" t="str">
        <f aca="false">IF(B16="","",IFERROR(INDEX(기본설정!$H$4:$H$14,MATCH(B16,기본설정!$G$4:$G$14,0)),""))</f>
        <v>식재료</v>
      </c>
    </row>
    <row r="17" customFormat="false" ht="15" hidden="false" customHeight="false" outlineLevel="0" collapsed="false">
      <c r="A17" s="83" t="str">
        <f aca="false">기본설정!$E$5</f>
        <v>판교점</v>
      </c>
      <c r="B17" s="81" t="str">
        <f aca="false">IF(C17="","",IFERROR(INDEX(식자재단가!$B$4:$B$203,MATCH(C17,식자재단가!$C$4:$C$203,0)),""))</f>
        <v>채소·과일</v>
      </c>
      <c r="C17" s="80" t="s">
        <v>456</v>
      </c>
      <c r="D17" s="59" t="str">
        <f aca="false">IF(C17="","",IFERROR(INDEX(식자재단가!$F$4:$F$203,MATCH(C17,식자재단가!$C$4:$C$203,0)),""))</f>
        <v>kg</v>
      </c>
      <c r="E17" s="84" t="n">
        <f aca="false">IF(C17="",0,IFERROR(INDEX(식자재단가!$G$4:$G$203,MATCH(C17,식자재단가!$C$4:$C$203,0)),0))</f>
        <v>2500</v>
      </c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1" t="n">
        <f aca="false">N(INDEX(F17:R17,1,기본설정!$C$5+1))</f>
        <v>0</v>
      </c>
      <c r="T17" s="28" t="n">
        <f aca="false">S17*E17</f>
        <v>0</v>
      </c>
      <c r="U17" s="71" t="n">
        <f aca="false">N(INDEX(F17:R17,1,기본설정!$C$5))</f>
        <v>0</v>
      </c>
      <c r="V17" s="28" t="n">
        <f aca="false">U17*E17</f>
        <v>0</v>
      </c>
      <c r="W17" s="59" t="str">
        <f aca="false">IF(B17="","",IFERROR(INDEX(기본설정!$H$4:$H$14,MATCH(B17,기본설정!$G$4:$G$14,0)),""))</f>
        <v>식재료</v>
      </c>
    </row>
    <row r="18" customFormat="false" ht="15" hidden="false" customHeight="false" outlineLevel="0" collapsed="false">
      <c r="A18" s="83" t="str">
        <f aca="false">기본설정!$E$5</f>
        <v>판교점</v>
      </c>
      <c r="B18" s="81" t="str">
        <f aca="false">IF(C18="","",IFERROR(INDEX(식자재단가!$B$4:$B$203,MATCH(C18,식자재단가!$C$4:$C$203,0)),""))</f>
        <v>채소·과일</v>
      </c>
      <c r="C18" s="80" t="s">
        <v>458</v>
      </c>
      <c r="D18" s="59" t="str">
        <f aca="false">IF(C18="","",IFERROR(INDEX(식자재단가!$F$4:$F$203,MATCH(C18,식자재단가!$C$4:$C$203,0)),""))</f>
        <v>kg</v>
      </c>
      <c r="E18" s="84" t="n">
        <f aca="false">IF(C18="",0,IFERROR(INDEX(식자재단가!$G$4:$G$203,MATCH(C18,식자재단가!$C$4:$C$203,0)),0))</f>
        <v>6000</v>
      </c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1" t="n">
        <f aca="false">N(INDEX(F18:R18,1,기본설정!$C$5+1))</f>
        <v>0</v>
      </c>
      <c r="T18" s="28" t="n">
        <f aca="false">S18*E18</f>
        <v>0</v>
      </c>
      <c r="U18" s="71" t="n">
        <f aca="false">N(INDEX(F18:R18,1,기본설정!$C$5))</f>
        <v>0</v>
      </c>
      <c r="V18" s="28" t="n">
        <f aca="false">U18*E18</f>
        <v>0</v>
      </c>
      <c r="W18" s="59" t="str">
        <f aca="false">IF(B18="","",IFERROR(INDEX(기본설정!$H$4:$H$14,MATCH(B18,기본설정!$G$4:$G$14,0)),""))</f>
        <v>식재료</v>
      </c>
    </row>
    <row r="19" customFormat="false" ht="15" hidden="false" customHeight="false" outlineLevel="0" collapsed="false">
      <c r="A19" s="83" t="str">
        <f aca="false">기본설정!$E$5</f>
        <v>판교점</v>
      </c>
      <c r="B19" s="81" t="str">
        <f aca="false">IF(C19="","",IFERROR(INDEX(식자재단가!$B$4:$B$203,MATCH(C19,식자재단가!$C$4:$C$203,0)),""))</f>
        <v>채소·과일</v>
      </c>
      <c r="C19" s="80" t="s">
        <v>460</v>
      </c>
      <c r="D19" s="59" t="str">
        <f aca="false">IF(C19="","",IFERROR(INDEX(식자재단가!$F$4:$F$203,MATCH(C19,식자재단가!$C$4:$C$203,0)),""))</f>
        <v>kg</v>
      </c>
      <c r="E19" s="84" t="n">
        <f aca="false">IF(C19="",0,IFERROR(INDEX(식자재단가!$G$4:$G$203,MATCH(C19,식자재단가!$C$4:$C$203,0)),0))</f>
        <v>3500</v>
      </c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1" t="n">
        <f aca="false">N(INDEX(F19:R19,1,기본설정!$C$5+1))</f>
        <v>0</v>
      </c>
      <c r="T19" s="28" t="n">
        <f aca="false">S19*E19</f>
        <v>0</v>
      </c>
      <c r="U19" s="71" t="n">
        <f aca="false">N(INDEX(F19:R19,1,기본설정!$C$5))</f>
        <v>0</v>
      </c>
      <c r="V19" s="28" t="n">
        <f aca="false">U19*E19</f>
        <v>0</v>
      </c>
      <c r="W19" s="59" t="str">
        <f aca="false">IF(B19="","",IFERROR(INDEX(기본설정!$H$4:$H$14,MATCH(B19,기본설정!$G$4:$G$14,0)),""))</f>
        <v>식재료</v>
      </c>
    </row>
    <row r="20" customFormat="false" ht="15" hidden="false" customHeight="false" outlineLevel="0" collapsed="false">
      <c r="A20" s="83" t="str">
        <f aca="false">기본설정!$E$5</f>
        <v>판교점</v>
      </c>
      <c r="B20" s="81" t="str">
        <f aca="false">IF(C20="","",IFERROR(INDEX(식자재단가!$B$4:$B$203,MATCH(C20,식자재단가!$C$4:$C$203,0)),""))</f>
        <v>채소·과일</v>
      </c>
      <c r="C20" s="80" t="s">
        <v>462</v>
      </c>
      <c r="D20" s="59" t="str">
        <f aca="false">IF(C20="","",IFERROR(INDEX(식자재단가!$F$4:$F$203,MATCH(C20,식자재단가!$C$4:$C$203,0)),""))</f>
        <v>kg</v>
      </c>
      <c r="E20" s="84" t="n">
        <f aca="false">IF(C20="",0,IFERROR(INDEX(식자재단가!$G$4:$G$203,MATCH(C20,식자재단가!$C$4:$C$203,0)),0))</f>
        <v>1800</v>
      </c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1" t="n">
        <f aca="false">N(INDEX(F20:R20,1,기본설정!$C$5+1))</f>
        <v>0</v>
      </c>
      <c r="T20" s="28" t="n">
        <f aca="false">S20*E20</f>
        <v>0</v>
      </c>
      <c r="U20" s="71" t="n">
        <f aca="false">N(INDEX(F20:R20,1,기본설정!$C$5))</f>
        <v>0</v>
      </c>
      <c r="V20" s="28" t="n">
        <f aca="false">U20*E20</f>
        <v>0</v>
      </c>
      <c r="W20" s="59" t="str">
        <f aca="false">IF(B20="","",IFERROR(INDEX(기본설정!$H$4:$H$14,MATCH(B20,기본설정!$G$4:$G$14,0)),""))</f>
        <v>식재료</v>
      </c>
    </row>
    <row r="21" customFormat="false" ht="15" hidden="false" customHeight="false" outlineLevel="0" collapsed="false">
      <c r="A21" s="83" t="str">
        <f aca="false">기본설정!$E$5</f>
        <v>판교점</v>
      </c>
      <c r="B21" s="81" t="str">
        <f aca="false">IF(C21="","",IFERROR(INDEX(식자재단가!$B$4:$B$203,MATCH(C21,식자재단가!$C$4:$C$203,0)),""))</f>
        <v>채소·과일</v>
      </c>
      <c r="C21" s="80" t="s">
        <v>464</v>
      </c>
      <c r="D21" s="59" t="str">
        <f aca="false">IF(C21="","",IFERROR(INDEX(식자재단가!$F$4:$F$203,MATCH(C21,식자재단가!$C$4:$C$203,0)),""))</f>
        <v>kg</v>
      </c>
      <c r="E21" s="84" t="n">
        <f aca="false">IF(C21="",0,IFERROR(INDEX(식자재단가!$G$4:$G$203,MATCH(C21,식자재단가!$C$4:$C$203,0)),0))</f>
        <v>3500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1" t="n">
        <f aca="false">N(INDEX(F21:R21,1,기본설정!$C$5+1))</f>
        <v>0</v>
      </c>
      <c r="T21" s="28" t="n">
        <f aca="false">S21*E21</f>
        <v>0</v>
      </c>
      <c r="U21" s="71" t="n">
        <f aca="false">N(INDEX(F21:R21,1,기본설정!$C$5))</f>
        <v>0</v>
      </c>
      <c r="V21" s="28" t="n">
        <f aca="false">U21*E21</f>
        <v>0</v>
      </c>
      <c r="W21" s="59" t="str">
        <f aca="false">IF(B21="","",IFERROR(INDEX(기본설정!$H$4:$H$14,MATCH(B21,기본설정!$G$4:$G$14,0)),""))</f>
        <v>식재료</v>
      </c>
    </row>
    <row r="22" customFormat="false" ht="15" hidden="false" customHeight="false" outlineLevel="0" collapsed="false">
      <c r="A22" s="83" t="str">
        <f aca="false">기본설정!$E$5</f>
        <v>판교점</v>
      </c>
      <c r="B22" s="81" t="str">
        <f aca="false">IF(C22="","",IFERROR(INDEX(식자재단가!$B$4:$B$203,MATCH(C22,식자재단가!$C$4:$C$203,0)),""))</f>
        <v>채소·과일</v>
      </c>
      <c r="C22" s="80" t="s">
        <v>466</v>
      </c>
      <c r="D22" s="59" t="str">
        <f aca="false">IF(C22="","",IFERROR(INDEX(식자재단가!$F$4:$F$203,MATCH(C22,식자재단가!$C$4:$C$203,0)),""))</f>
        <v>kg</v>
      </c>
      <c r="E22" s="84" t="n">
        <f aca="false">IF(C22="",0,IFERROR(INDEX(식자재단가!$G$4:$G$203,MATCH(C22,식자재단가!$C$4:$C$203,0)),0))</f>
        <v>9000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1" t="n">
        <f aca="false">N(INDEX(F22:R22,1,기본설정!$C$5+1))</f>
        <v>0</v>
      </c>
      <c r="T22" s="28" t="n">
        <f aca="false">S22*E22</f>
        <v>0</v>
      </c>
      <c r="U22" s="71" t="n">
        <f aca="false">N(INDEX(F22:R22,1,기본설정!$C$5))</f>
        <v>0</v>
      </c>
      <c r="V22" s="28" t="n">
        <f aca="false">U22*E22</f>
        <v>0</v>
      </c>
      <c r="W22" s="59" t="str">
        <f aca="false">IF(B22="","",IFERROR(INDEX(기본설정!$H$4:$H$14,MATCH(B22,기본설정!$G$4:$G$14,0)),""))</f>
        <v>식재료</v>
      </c>
    </row>
    <row r="23" customFormat="false" ht="15" hidden="false" customHeight="false" outlineLevel="0" collapsed="false">
      <c r="A23" s="83" t="str">
        <f aca="false">기본설정!$E$5</f>
        <v>판교점</v>
      </c>
      <c r="B23" s="81" t="str">
        <f aca="false">IF(C23="","",IFERROR(INDEX(식자재단가!$B$4:$B$203,MATCH(C23,식자재단가!$C$4:$C$203,0)),""))</f>
        <v>채소·과일</v>
      </c>
      <c r="C23" s="80" t="s">
        <v>468</v>
      </c>
      <c r="D23" s="59" t="str">
        <f aca="false">IF(C23="","",IFERROR(INDEX(식자재단가!$F$4:$F$203,MATCH(C23,식자재단가!$C$4:$C$203,0)),""))</f>
        <v>kg</v>
      </c>
      <c r="E23" s="84" t="n">
        <f aca="false">IF(C23="",0,IFERROR(INDEX(식자재단가!$G$4:$G$203,MATCH(C23,식자재단가!$C$4:$C$203,0)),0))</f>
        <v>8000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1" t="n">
        <f aca="false">N(INDEX(F23:R23,1,기본설정!$C$5+1))</f>
        <v>0</v>
      </c>
      <c r="T23" s="28" t="n">
        <f aca="false">S23*E23</f>
        <v>0</v>
      </c>
      <c r="U23" s="71" t="n">
        <f aca="false">N(INDEX(F23:R23,1,기본설정!$C$5))</f>
        <v>0</v>
      </c>
      <c r="V23" s="28" t="n">
        <f aca="false">U23*E23</f>
        <v>0</v>
      </c>
      <c r="W23" s="59" t="str">
        <f aca="false">IF(B23="","",IFERROR(INDEX(기본설정!$H$4:$H$14,MATCH(B23,기본설정!$G$4:$G$14,0)),""))</f>
        <v>식재료</v>
      </c>
    </row>
    <row r="24" customFormat="false" ht="15" hidden="false" customHeight="false" outlineLevel="0" collapsed="false">
      <c r="A24" s="83" t="str">
        <f aca="false">기본설정!$E$5</f>
        <v>판교점</v>
      </c>
      <c r="B24" s="81" t="str">
        <f aca="false">IF(C24="","",IFERROR(INDEX(식자재단가!$B$4:$B$203,MATCH(C24,식자재단가!$C$4:$C$203,0)),""))</f>
        <v>채소·과일</v>
      </c>
      <c r="C24" s="80" t="s">
        <v>470</v>
      </c>
      <c r="D24" s="59" t="str">
        <f aca="false">IF(C24="","",IFERROR(INDEX(식자재단가!$F$4:$F$203,MATCH(C24,식자재단가!$C$4:$C$203,0)),""))</f>
        <v>kg</v>
      </c>
      <c r="E24" s="84" t="n">
        <f aca="false">IF(C24="",0,IFERROR(INDEX(식자재단가!$G$4:$G$203,MATCH(C24,식자재단가!$C$4:$C$203,0)),0))</f>
        <v>12000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1" t="n">
        <f aca="false">N(INDEX(F24:R24,1,기본설정!$C$5+1))</f>
        <v>0</v>
      </c>
      <c r="T24" s="28" t="n">
        <f aca="false">S24*E24</f>
        <v>0</v>
      </c>
      <c r="U24" s="71" t="n">
        <f aca="false">N(INDEX(F24:R24,1,기본설정!$C$5))</f>
        <v>0</v>
      </c>
      <c r="V24" s="28" t="n">
        <f aca="false">U24*E24</f>
        <v>0</v>
      </c>
      <c r="W24" s="59" t="str">
        <f aca="false">IF(B24="","",IFERROR(INDEX(기본설정!$H$4:$H$14,MATCH(B24,기본설정!$G$4:$G$14,0)),""))</f>
        <v>식재료</v>
      </c>
    </row>
    <row r="25" customFormat="false" ht="15" hidden="false" customHeight="false" outlineLevel="0" collapsed="false">
      <c r="A25" s="83" t="str">
        <f aca="false">기본설정!$E$5</f>
        <v>판교점</v>
      </c>
      <c r="B25" s="81" t="str">
        <f aca="false">IF(C25="","",IFERROR(INDEX(식자재단가!$B$4:$B$203,MATCH(C25,식자재단가!$C$4:$C$203,0)),""))</f>
        <v>채소·과일</v>
      </c>
      <c r="C25" s="80" t="s">
        <v>472</v>
      </c>
      <c r="D25" s="59" t="str">
        <f aca="false">IF(C25="","",IFERROR(INDEX(식자재단가!$F$4:$F$203,MATCH(C25,식자재단가!$C$4:$C$203,0)),""))</f>
        <v>kg</v>
      </c>
      <c r="E25" s="84" t="n">
        <f aca="false">IF(C25="",0,IFERROR(INDEX(식자재단가!$G$4:$G$203,MATCH(C25,식자재단가!$C$4:$C$203,0)),0))</f>
        <v>5000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1" t="n">
        <f aca="false">N(INDEX(F25:R25,1,기본설정!$C$5+1))</f>
        <v>0</v>
      </c>
      <c r="T25" s="28" t="n">
        <f aca="false">S25*E25</f>
        <v>0</v>
      </c>
      <c r="U25" s="71" t="n">
        <f aca="false">N(INDEX(F25:R25,1,기본설정!$C$5))</f>
        <v>0</v>
      </c>
      <c r="V25" s="28" t="n">
        <f aca="false">U25*E25</f>
        <v>0</v>
      </c>
      <c r="W25" s="59" t="str">
        <f aca="false">IF(B25="","",IFERROR(INDEX(기본설정!$H$4:$H$14,MATCH(B25,기본설정!$G$4:$G$14,0)),""))</f>
        <v>식재료</v>
      </c>
    </row>
    <row r="26" customFormat="false" ht="15" hidden="false" customHeight="false" outlineLevel="0" collapsed="false">
      <c r="A26" s="83" t="str">
        <f aca="false">기본설정!$E$5</f>
        <v>판교점</v>
      </c>
      <c r="B26" s="81" t="str">
        <f aca="false">IF(C26="","",IFERROR(INDEX(식자재단가!$B$4:$B$203,MATCH(C26,식자재단가!$C$4:$C$203,0)),""))</f>
        <v>채소·과일</v>
      </c>
      <c r="C26" s="80" t="s">
        <v>474</v>
      </c>
      <c r="D26" s="59" t="str">
        <f aca="false">IF(C26="","",IFERROR(INDEX(식자재단가!$F$4:$F$203,MATCH(C26,식자재단가!$C$4:$C$203,0)),""))</f>
        <v>kg</v>
      </c>
      <c r="E26" s="84" t="n">
        <f aca="false">IF(C26="",0,IFERROR(INDEX(식자재단가!$G$4:$G$203,MATCH(C26,식자재단가!$C$4:$C$203,0)),0))</f>
        <v>2500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1" t="n">
        <f aca="false">N(INDEX(F26:R26,1,기본설정!$C$5+1))</f>
        <v>0</v>
      </c>
      <c r="T26" s="28" t="n">
        <f aca="false">S26*E26</f>
        <v>0</v>
      </c>
      <c r="U26" s="71" t="n">
        <f aca="false">N(INDEX(F26:R26,1,기본설정!$C$5))</f>
        <v>0</v>
      </c>
      <c r="V26" s="28" t="n">
        <f aca="false">U26*E26</f>
        <v>0</v>
      </c>
      <c r="W26" s="59" t="str">
        <f aca="false">IF(B26="","",IFERROR(INDEX(기본설정!$H$4:$H$14,MATCH(B26,기본설정!$G$4:$G$14,0)),""))</f>
        <v>식재료</v>
      </c>
    </row>
    <row r="27" customFormat="false" ht="15" hidden="false" customHeight="false" outlineLevel="0" collapsed="false">
      <c r="A27" s="83" t="str">
        <f aca="false">기본설정!$E$5</f>
        <v>판교점</v>
      </c>
      <c r="B27" s="81" t="str">
        <f aca="false">IF(C27="","",IFERROR(INDEX(식자재단가!$B$4:$B$203,MATCH(C27,식자재단가!$C$4:$C$203,0)),""))</f>
        <v>채소·과일</v>
      </c>
      <c r="C27" s="80" t="s">
        <v>476</v>
      </c>
      <c r="D27" s="59" t="str">
        <f aca="false">IF(C27="","",IFERROR(INDEX(식자재단가!$F$4:$F$203,MATCH(C27,식자재단가!$C$4:$C$203,0)),""))</f>
        <v>kg</v>
      </c>
      <c r="E27" s="84" t="n">
        <f aca="false">IF(C27="",0,IFERROR(INDEX(식자재단가!$G$4:$G$203,MATCH(C27,식자재단가!$C$4:$C$203,0)),0))</f>
        <v>1500</v>
      </c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1" t="n">
        <f aca="false">N(INDEX(F27:R27,1,기본설정!$C$5+1))</f>
        <v>0</v>
      </c>
      <c r="T27" s="28" t="n">
        <f aca="false">S27*E27</f>
        <v>0</v>
      </c>
      <c r="U27" s="71" t="n">
        <f aca="false">N(INDEX(F27:R27,1,기본설정!$C$5))</f>
        <v>0</v>
      </c>
      <c r="V27" s="28" t="n">
        <f aca="false">U27*E27</f>
        <v>0</v>
      </c>
      <c r="W27" s="59" t="str">
        <f aca="false">IF(B27="","",IFERROR(INDEX(기본설정!$H$4:$H$14,MATCH(B27,기본설정!$G$4:$G$14,0)),""))</f>
        <v>식재료</v>
      </c>
    </row>
    <row r="28" customFormat="false" ht="15" hidden="false" customHeight="false" outlineLevel="0" collapsed="false">
      <c r="A28" s="83" t="str">
        <f aca="false">기본설정!$E$5</f>
        <v>판교점</v>
      </c>
      <c r="B28" s="81" t="str">
        <f aca="false">IF(C28="","",IFERROR(INDEX(식자재단가!$B$4:$B$203,MATCH(C28,식자재단가!$C$4:$C$203,0)),""))</f>
        <v>채소·과일</v>
      </c>
      <c r="C28" s="80" t="s">
        <v>478</v>
      </c>
      <c r="D28" s="59" t="str">
        <f aca="false">IF(C28="","",IFERROR(INDEX(식자재단가!$F$4:$F$203,MATCH(C28,식자재단가!$C$4:$C$203,0)),""))</f>
        <v>개</v>
      </c>
      <c r="E28" s="84" t="n">
        <f aca="false">IF(C28="",0,IFERROR(INDEX(식자재단가!$G$4:$G$203,MATCH(C28,식자재단가!$C$4:$C$203,0)),0))</f>
        <v>600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1" t="n">
        <f aca="false">N(INDEX(F28:R28,1,기본설정!$C$5+1))</f>
        <v>0</v>
      </c>
      <c r="T28" s="28" t="n">
        <f aca="false">S28*E28</f>
        <v>0</v>
      </c>
      <c r="U28" s="71" t="n">
        <f aca="false">N(INDEX(F28:R28,1,기본설정!$C$5))</f>
        <v>0</v>
      </c>
      <c r="V28" s="28" t="n">
        <f aca="false">U28*E28</f>
        <v>0</v>
      </c>
      <c r="W28" s="59" t="str">
        <f aca="false">IF(B28="","",IFERROR(INDEX(기본설정!$H$4:$H$14,MATCH(B28,기본설정!$G$4:$G$14,0)),""))</f>
        <v>식재료</v>
      </c>
    </row>
    <row r="29" customFormat="false" ht="15" hidden="false" customHeight="false" outlineLevel="0" collapsed="false">
      <c r="A29" s="83" t="str">
        <f aca="false">기본설정!$E$5</f>
        <v>판교점</v>
      </c>
      <c r="B29" s="81" t="str">
        <f aca="false">IF(C29="","",IFERROR(INDEX(식자재단가!$B$4:$B$203,MATCH(C29,식자재단가!$C$4:$C$203,0)),""))</f>
        <v>두부·계란·곡류·면</v>
      </c>
      <c r="C29" s="80" t="s">
        <v>480</v>
      </c>
      <c r="D29" s="59" t="str">
        <f aca="false">IF(C29="","",IFERROR(INDEX(식자재단가!$F$4:$F$203,MATCH(C29,식자재단가!$C$4:$C$203,0)),""))</f>
        <v>kg</v>
      </c>
      <c r="E29" s="84" t="n">
        <f aca="false">IF(C29="",0,IFERROR(INDEX(식자재단가!$G$4:$G$203,MATCH(C29,식자재단가!$C$4:$C$203,0)),0))</f>
        <v>3500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1" t="n">
        <f aca="false">N(INDEX(F29:R29,1,기본설정!$C$5+1))</f>
        <v>0</v>
      </c>
      <c r="T29" s="28" t="n">
        <f aca="false">S29*E29</f>
        <v>0</v>
      </c>
      <c r="U29" s="71" t="n">
        <f aca="false">N(INDEX(F29:R29,1,기본설정!$C$5))</f>
        <v>0</v>
      </c>
      <c r="V29" s="28" t="n">
        <f aca="false">U29*E29</f>
        <v>0</v>
      </c>
      <c r="W29" s="59" t="str">
        <f aca="false">IF(B29="","",IFERROR(INDEX(기본설정!$H$4:$H$14,MATCH(B29,기본설정!$G$4:$G$14,0)),""))</f>
        <v>식재료</v>
      </c>
    </row>
    <row r="30" customFormat="false" ht="15" hidden="false" customHeight="false" outlineLevel="0" collapsed="false">
      <c r="A30" s="83" t="str">
        <f aca="false">기본설정!$E$5</f>
        <v>판교점</v>
      </c>
      <c r="B30" s="81" t="str">
        <f aca="false">IF(C30="","",IFERROR(INDEX(식자재단가!$B$4:$B$203,MATCH(C30,식자재단가!$C$4:$C$203,0)),""))</f>
        <v>두부·계란·곡류·면</v>
      </c>
      <c r="C30" s="80" t="s">
        <v>483</v>
      </c>
      <c r="D30" s="59" t="str">
        <f aca="false">IF(C30="","",IFERROR(INDEX(식자재단가!$F$4:$F$203,MATCH(C30,식자재단가!$C$4:$C$203,0)),""))</f>
        <v>kg</v>
      </c>
      <c r="E30" s="84" t="n">
        <f aca="false">IF(C30="",0,IFERROR(INDEX(식자재단가!$G$4:$G$203,MATCH(C30,식자재단가!$C$4:$C$203,0)),0))</f>
        <v>9000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1" t="n">
        <f aca="false">N(INDEX(F30:R30,1,기본설정!$C$5+1))</f>
        <v>0</v>
      </c>
      <c r="T30" s="28" t="n">
        <f aca="false">S30*E30</f>
        <v>0</v>
      </c>
      <c r="U30" s="71" t="n">
        <f aca="false">N(INDEX(F30:R30,1,기본설정!$C$5))</f>
        <v>0</v>
      </c>
      <c r="V30" s="28" t="n">
        <f aca="false">U30*E30</f>
        <v>0</v>
      </c>
      <c r="W30" s="59" t="str">
        <f aca="false">IF(B30="","",IFERROR(INDEX(기본설정!$H$4:$H$14,MATCH(B30,기본설정!$G$4:$G$14,0)),""))</f>
        <v>식재료</v>
      </c>
    </row>
    <row r="31" customFormat="false" ht="15" hidden="false" customHeight="false" outlineLevel="0" collapsed="false">
      <c r="A31" s="83" t="str">
        <f aca="false">기본설정!$E$5</f>
        <v>판교점</v>
      </c>
      <c r="B31" s="81" t="str">
        <f aca="false">IF(C31="","",IFERROR(INDEX(식자재단가!$B$4:$B$203,MATCH(C31,식자재단가!$C$4:$C$203,0)),""))</f>
        <v>두부·계란·곡류·면</v>
      </c>
      <c r="C31" s="80" t="s">
        <v>486</v>
      </c>
      <c r="D31" s="59" t="str">
        <f aca="false">IF(C31="","",IFERROR(INDEX(식자재단가!$F$4:$F$203,MATCH(C31,식자재단가!$C$4:$C$203,0)),""))</f>
        <v>판</v>
      </c>
      <c r="E31" s="84" t="n">
        <f aca="false">IF(C31="",0,IFERROR(INDEX(식자재단가!$G$4:$G$203,MATCH(C31,식자재단가!$C$4:$C$203,0)),0))</f>
        <v>8000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1" t="n">
        <f aca="false">N(INDEX(F31:R31,1,기본설정!$C$5+1))</f>
        <v>0</v>
      </c>
      <c r="T31" s="28" t="n">
        <f aca="false">S31*E31</f>
        <v>0</v>
      </c>
      <c r="U31" s="71" t="n">
        <f aca="false">N(INDEX(F31:R31,1,기본설정!$C$5))</f>
        <v>0</v>
      </c>
      <c r="V31" s="28" t="n">
        <f aca="false">U31*E31</f>
        <v>0</v>
      </c>
      <c r="W31" s="59" t="str">
        <f aca="false">IF(B31="","",IFERROR(INDEX(기본설정!$H$4:$H$14,MATCH(B31,기본설정!$G$4:$G$14,0)),""))</f>
        <v>식재료</v>
      </c>
    </row>
    <row r="32" customFormat="false" ht="15" hidden="false" customHeight="false" outlineLevel="0" collapsed="false">
      <c r="A32" s="83" t="str">
        <f aca="false">기본설정!$E$5</f>
        <v>판교점</v>
      </c>
      <c r="B32" s="81" t="str">
        <f aca="false">IF(C32="","",IFERROR(INDEX(식자재단가!$B$4:$B$203,MATCH(C32,식자재단가!$C$4:$C$203,0)),""))</f>
        <v>두부·계란·곡류·면</v>
      </c>
      <c r="C32" s="80" t="s">
        <v>490</v>
      </c>
      <c r="D32" s="59" t="str">
        <f aca="false">IF(C32="","",IFERROR(INDEX(식자재단가!$F$4:$F$203,MATCH(C32,식자재단가!$C$4:$C$203,0)),""))</f>
        <v>포대</v>
      </c>
      <c r="E32" s="84" t="n">
        <f aca="false">IF(C32="",0,IFERROR(INDEX(식자재단가!$G$4:$G$203,MATCH(C32,식자재단가!$C$4:$C$203,0)),0))</f>
        <v>60000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1" t="n">
        <f aca="false">N(INDEX(F32:R32,1,기본설정!$C$5+1))</f>
        <v>0</v>
      </c>
      <c r="T32" s="28" t="n">
        <f aca="false">S32*E32</f>
        <v>0</v>
      </c>
      <c r="U32" s="71" t="n">
        <f aca="false">N(INDEX(F32:R32,1,기본설정!$C$5))</f>
        <v>0</v>
      </c>
      <c r="V32" s="28" t="n">
        <f aca="false">U32*E32</f>
        <v>0</v>
      </c>
      <c r="W32" s="59" t="str">
        <f aca="false">IF(B32="","",IFERROR(INDEX(기본설정!$H$4:$H$14,MATCH(B32,기본설정!$G$4:$G$14,0)),""))</f>
        <v>식재료</v>
      </c>
    </row>
    <row r="33" customFormat="false" ht="15" hidden="false" customHeight="false" outlineLevel="0" collapsed="false">
      <c r="A33" s="83" t="str">
        <f aca="false">기본설정!$E$5</f>
        <v>판교점</v>
      </c>
      <c r="B33" s="81" t="str">
        <f aca="false">IF(C33="","",IFERROR(INDEX(식자재단가!$B$4:$B$203,MATCH(C33,식자재단가!$C$4:$C$203,0)),""))</f>
        <v>두부·계란·곡류·면</v>
      </c>
      <c r="C33" s="80" t="s">
        <v>494</v>
      </c>
      <c r="D33" s="59" t="str">
        <f aca="false">IF(C33="","",IFERROR(INDEX(식자재단가!$F$4:$F$203,MATCH(C33,식자재단가!$C$4:$C$203,0)),""))</f>
        <v>봉</v>
      </c>
      <c r="E33" s="84" t="n">
        <f aca="false">IF(C33="",0,IFERROR(INDEX(식자재단가!$G$4:$G$203,MATCH(C33,식자재단가!$C$4:$C$203,0)),0))</f>
        <v>6000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1" t="n">
        <f aca="false">N(INDEX(F33:R33,1,기본설정!$C$5+1))</f>
        <v>0</v>
      </c>
      <c r="T33" s="28" t="n">
        <f aca="false">S33*E33</f>
        <v>0</v>
      </c>
      <c r="U33" s="71" t="n">
        <f aca="false">N(INDEX(F33:R33,1,기본설정!$C$5))</f>
        <v>0</v>
      </c>
      <c r="V33" s="28" t="n">
        <f aca="false">U33*E33</f>
        <v>0</v>
      </c>
      <c r="W33" s="59" t="str">
        <f aca="false">IF(B33="","",IFERROR(INDEX(기본설정!$H$4:$H$14,MATCH(B33,기본설정!$G$4:$G$14,0)),""))</f>
        <v>식재료</v>
      </c>
    </row>
    <row r="34" customFormat="false" ht="15" hidden="false" customHeight="false" outlineLevel="0" collapsed="false">
      <c r="A34" s="83" t="str">
        <f aca="false">기본설정!$E$5</f>
        <v>판교점</v>
      </c>
      <c r="B34" s="81" t="str">
        <f aca="false">IF(C34="","",IFERROR(INDEX(식자재단가!$B$4:$B$203,MATCH(C34,식자재단가!$C$4:$C$203,0)),""))</f>
        <v>두부·계란·곡류·면</v>
      </c>
      <c r="C34" s="80" t="s">
        <v>498</v>
      </c>
      <c r="D34" s="59" t="str">
        <f aca="false">IF(C34="","",IFERROR(INDEX(식자재단가!$F$4:$F$203,MATCH(C34,식자재단가!$C$4:$C$203,0)),""))</f>
        <v>봉</v>
      </c>
      <c r="E34" s="84" t="n">
        <f aca="false">IF(C34="",0,IFERROR(INDEX(식자재단가!$G$4:$G$203,MATCH(C34,식자재단가!$C$4:$C$203,0)),0))</f>
        <v>5000</v>
      </c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1" t="n">
        <f aca="false">N(INDEX(F34:R34,1,기본설정!$C$5+1))</f>
        <v>0</v>
      </c>
      <c r="T34" s="28" t="n">
        <f aca="false">S34*E34</f>
        <v>0</v>
      </c>
      <c r="U34" s="71" t="n">
        <f aca="false">N(INDEX(F34:R34,1,기본설정!$C$5))</f>
        <v>0</v>
      </c>
      <c r="V34" s="28" t="n">
        <f aca="false">U34*E34</f>
        <v>0</v>
      </c>
      <c r="W34" s="59" t="str">
        <f aca="false">IF(B34="","",IFERROR(INDEX(기본설정!$H$4:$H$14,MATCH(B34,기본설정!$G$4:$G$14,0)),""))</f>
        <v>식재료</v>
      </c>
    </row>
    <row r="35" customFormat="false" ht="15" hidden="false" customHeight="false" outlineLevel="0" collapsed="false">
      <c r="A35" s="83" t="str">
        <f aca="false">기본설정!$E$5</f>
        <v>판교점</v>
      </c>
      <c r="B35" s="81" t="str">
        <f aca="false">IF(C35="","",IFERROR(INDEX(식자재단가!$B$4:$B$203,MATCH(C35,식자재단가!$C$4:$C$203,0)),""))</f>
        <v>두부·계란·곡류·면</v>
      </c>
      <c r="C35" s="80" t="s">
        <v>501</v>
      </c>
      <c r="D35" s="59" t="str">
        <f aca="false">IF(C35="","",IFERROR(INDEX(식자재단가!$F$4:$F$203,MATCH(C35,식자재단가!$C$4:$C$203,0)),""))</f>
        <v>봉</v>
      </c>
      <c r="E35" s="84" t="n">
        <f aca="false">IF(C35="",0,IFERROR(INDEX(식자재단가!$G$4:$G$203,MATCH(C35,식자재단가!$C$4:$C$203,0)),0))</f>
        <v>6000</v>
      </c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1" t="n">
        <f aca="false">N(INDEX(F35:R35,1,기본설정!$C$5+1))</f>
        <v>0</v>
      </c>
      <c r="T35" s="28" t="n">
        <f aca="false">S35*E35</f>
        <v>0</v>
      </c>
      <c r="U35" s="71" t="n">
        <f aca="false">N(INDEX(F35:R35,1,기본설정!$C$5))</f>
        <v>0</v>
      </c>
      <c r="V35" s="28" t="n">
        <f aca="false">U35*E35</f>
        <v>0</v>
      </c>
      <c r="W35" s="59" t="str">
        <f aca="false">IF(B35="","",IFERROR(INDEX(기본설정!$H$4:$H$14,MATCH(B35,기본설정!$G$4:$G$14,0)),""))</f>
        <v>식재료</v>
      </c>
    </row>
    <row r="36" customFormat="false" ht="15" hidden="false" customHeight="false" outlineLevel="0" collapsed="false">
      <c r="A36" s="83" t="str">
        <f aca="false">기본설정!$E$5</f>
        <v>판교점</v>
      </c>
      <c r="B36" s="81" t="str">
        <f aca="false">IF(C36="","",IFERROR(INDEX(식자재단가!$B$4:$B$203,MATCH(C36,식자재단가!$C$4:$C$203,0)),""))</f>
        <v>냉동·가공식품</v>
      </c>
      <c r="C36" s="80" t="s">
        <v>503</v>
      </c>
      <c r="D36" s="59" t="str">
        <f aca="false">IF(C36="","",IFERROR(INDEX(식자재단가!$F$4:$F$203,MATCH(C36,식자재단가!$C$4:$C$203,0)),""))</f>
        <v>봉</v>
      </c>
      <c r="E36" s="84" t="n">
        <f aca="false">IF(C36="",0,IFERROR(INDEX(식자재단가!$G$4:$G$203,MATCH(C36,식자재단가!$C$4:$C$203,0)),0))</f>
        <v>7000</v>
      </c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1" t="n">
        <f aca="false">N(INDEX(F36:R36,1,기본설정!$C$5+1))</f>
        <v>0</v>
      </c>
      <c r="T36" s="28" t="n">
        <f aca="false">S36*E36</f>
        <v>0</v>
      </c>
      <c r="U36" s="71" t="n">
        <f aca="false">N(INDEX(F36:R36,1,기본설정!$C$5))</f>
        <v>0</v>
      </c>
      <c r="V36" s="28" t="n">
        <f aca="false">U36*E36</f>
        <v>0</v>
      </c>
      <c r="W36" s="59" t="str">
        <f aca="false">IF(B36="","",IFERROR(INDEX(기본설정!$H$4:$H$14,MATCH(B36,기본설정!$G$4:$G$14,0)),""))</f>
        <v>식재료</v>
      </c>
    </row>
    <row r="37" customFormat="false" ht="15" hidden="false" customHeight="false" outlineLevel="0" collapsed="false">
      <c r="A37" s="83" t="str">
        <f aca="false">기본설정!$E$5</f>
        <v>판교점</v>
      </c>
      <c r="B37" s="81" t="str">
        <f aca="false">IF(C37="","",IFERROR(INDEX(식자재단가!$B$4:$B$203,MATCH(C37,식자재단가!$C$4:$C$203,0)),""))</f>
        <v>냉동·가공식품</v>
      </c>
      <c r="C37" s="80" t="s">
        <v>505</v>
      </c>
      <c r="D37" s="59" t="str">
        <f aca="false">IF(C37="","",IFERROR(INDEX(식자재단가!$F$4:$F$203,MATCH(C37,식자재단가!$C$4:$C$203,0)),""))</f>
        <v>봉</v>
      </c>
      <c r="E37" s="84" t="n">
        <f aca="false">IF(C37="",0,IFERROR(INDEX(식자재단가!$G$4:$G$203,MATCH(C37,식자재단가!$C$4:$C$203,0)),0))</f>
        <v>7500</v>
      </c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1" t="n">
        <f aca="false">N(INDEX(F37:R37,1,기본설정!$C$5+1))</f>
        <v>0</v>
      </c>
      <c r="T37" s="28" t="n">
        <f aca="false">S37*E37</f>
        <v>0</v>
      </c>
      <c r="U37" s="71" t="n">
        <f aca="false">N(INDEX(F37:R37,1,기본설정!$C$5))</f>
        <v>0</v>
      </c>
      <c r="V37" s="28" t="n">
        <f aca="false">U37*E37</f>
        <v>0</v>
      </c>
      <c r="W37" s="59" t="str">
        <f aca="false">IF(B37="","",IFERROR(INDEX(기본설정!$H$4:$H$14,MATCH(B37,기본설정!$G$4:$G$14,0)),""))</f>
        <v>식재료</v>
      </c>
    </row>
    <row r="38" customFormat="false" ht="15" hidden="false" customHeight="false" outlineLevel="0" collapsed="false">
      <c r="A38" s="83" t="str">
        <f aca="false">기본설정!$E$5</f>
        <v>판교점</v>
      </c>
      <c r="B38" s="81" t="str">
        <f aca="false">IF(C38="","",IFERROR(INDEX(식자재단가!$B$4:$B$203,MATCH(C38,식자재단가!$C$4:$C$203,0)),""))</f>
        <v>냉동·가공식품</v>
      </c>
      <c r="C38" s="80" t="s">
        <v>508</v>
      </c>
      <c r="D38" s="59" t="str">
        <f aca="false">IF(C38="","",IFERROR(INDEX(식자재단가!$F$4:$F$203,MATCH(C38,식자재단가!$C$4:$C$203,0)),""))</f>
        <v>봉</v>
      </c>
      <c r="E38" s="84" t="n">
        <f aca="false">IF(C38="",0,IFERROR(INDEX(식자재단가!$G$4:$G$203,MATCH(C38,식자재단가!$C$4:$C$203,0)),0))</f>
        <v>8000</v>
      </c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1" t="n">
        <f aca="false">N(INDEX(F38:R38,1,기본설정!$C$5+1))</f>
        <v>0</v>
      </c>
      <c r="T38" s="28" t="n">
        <f aca="false">S38*E38</f>
        <v>0</v>
      </c>
      <c r="U38" s="71" t="n">
        <f aca="false">N(INDEX(F38:R38,1,기본설정!$C$5))</f>
        <v>0</v>
      </c>
      <c r="V38" s="28" t="n">
        <f aca="false">U38*E38</f>
        <v>0</v>
      </c>
      <c r="W38" s="59" t="str">
        <f aca="false">IF(B38="","",IFERROR(INDEX(기본설정!$H$4:$H$14,MATCH(B38,기본설정!$G$4:$G$14,0)),""))</f>
        <v>식재료</v>
      </c>
    </row>
    <row r="39" customFormat="false" ht="15" hidden="false" customHeight="false" outlineLevel="0" collapsed="false">
      <c r="A39" s="83" t="str">
        <f aca="false">기본설정!$E$5</f>
        <v>판교점</v>
      </c>
      <c r="B39" s="81" t="str">
        <f aca="false">IF(C39="","",IFERROR(INDEX(식자재단가!$B$4:$B$203,MATCH(C39,식자재단가!$C$4:$C$203,0)),""))</f>
        <v>양념·향신료·소스</v>
      </c>
      <c r="C39" s="80" t="s">
        <v>510</v>
      </c>
      <c r="D39" s="59" t="str">
        <f aca="false">IF(C39="","",IFERROR(INDEX(식자재단가!$F$4:$F$203,MATCH(C39,식자재단가!$C$4:$C$203,0)),""))</f>
        <v>봉</v>
      </c>
      <c r="E39" s="84" t="n">
        <f aca="false">IF(C39="",0,IFERROR(INDEX(식자재단가!$G$4:$G$203,MATCH(C39,식자재단가!$C$4:$C$203,0)),0))</f>
        <v>15000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1" t="n">
        <f aca="false">N(INDEX(F39:R39,1,기본설정!$C$5+1))</f>
        <v>0</v>
      </c>
      <c r="T39" s="28" t="n">
        <f aca="false">S39*E39</f>
        <v>0</v>
      </c>
      <c r="U39" s="71" t="n">
        <f aca="false">N(INDEX(F39:R39,1,기본설정!$C$5))</f>
        <v>0</v>
      </c>
      <c r="V39" s="28" t="n">
        <f aca="false">U39*E39</f>
        <v>0</v>
      </c>
      <c r="W39" s="59" t="str">
        <f aca="false">IF(B39="","",IFERROR(INDEX(기본설정!$H$4:$H$14,MATCH(B39,기본설정!$G$4:$G$14,0)),""))</f>
        <v>식재료</v>
      </c>
    </row>
    <row r="40" customFormat="false" ht="15" hidden="false" customHeight="false" outlineLevel="0" collapsed="false">
      <c r="A40" s="83" t="str">
        <f aca="false">기본설정!$E$5</f>
        <v>판교점</v>
      </c>
      <c r="B40" s="81" t="str">
        <f aca="false">IF(C40="","",IFERROR(INDEX(식자재단가!$B$4:$B$203,MATCH(C40,식자재단가!$C$4:$C$203,0)),""))</f>
        <v>양념·향신료·소스</v>
      </c>
      <c r="C40" s="80" t="s">
        <v>512</v>
      </c>
      <c r="D40" s="59" t="str">
        <f aca="false">IF(C40="","",IFERROR(INDEX(식자재단가!$F$4:$F$203,MATCH(C40,식자재단가!$C$4:$C$203,0)),""))</f>
        <v>봉</v>
      </c>
      <c r="E40" s="84" t="n">
        <f aca="false">IF(C40="",0,IFERROR(INDEX(식자재단가!$G$4:$G$203,MATCH(C40,식자재단가!$C$4:$C$203,0)),0))</f>
        <v>6000</v>
      </c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1" t="n">
        <f aca="false">N(INDEX(F40:R40,1,기본설정!$C$5+1))</f>
        <v>0</v>
      </c>
      <c r="T40" s="28" t="n">
        <f aca="false">S40*E40</f>
        <v>0</v>
      </c>
      <c r="U40" s="71" t="n">
        <f aca="false">N(INDEX(F40:R40,1,기본설정!$C$5))</f>
        <v>0</v>
      </c>
      <c r="V40" s="28" t="n">
        <f aca="false">U40*E40</f>
        <v>0</v>
      </c>
      <c r="W40" s="59" t="str">
        <f aca="false">IF(B40="","",IFERROR(INDEX(기본설정!$H$4:$H$14,MATCH(B40,기본설정!$G$4:$G$14,0)),""))</f>
        <v>식재료</v>
      </c>
    </row>
    <row r="41" customFormat="false" ht="15" hidden="false" customHeight="false" outlineLevel="0" collapsed="false">
      <c r="A41" s="83" t="str">
        <f aca="false">기본설정!$E$5</f>
        <v>판교점</v>
      </c>
      <c r="B41" s="81" t="str">
        <f aca="false">IF(C41="","",IFERROR(INDEX(식자재단가!$B$4:$B$203,MATCH(C41,식자재단가!$C$4:$C$203,0)),""))</f>
        <v>양념·향신료·소스</v>
      </c>
      <c r="C41" s="80" t="s">
        <v>515</v>
      </c>
      <c r="D41" s="59" t="str">
        <f aca="false">IF(C41="","",IFERROR(INDEX(식자재단가!$F$4:$F$203,MATCH(C41,식자재단가!$C$4:$C$203,0)),""))</f>
        <v>봉</v>
      </c>
      <c r="E41" s="84" t="n">
        <f aca="false">IF(C41="",0,IFERROR(INDEX(식자재단가!$G$4:$G$203,MATCH(C41,식자재단가!$C$4:$C$203,0)),0))</f>
        <v>7000</v>
      </c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1" t="n">
        <f aca="false">N(INDEX(F41:R41,1,기본설정!$C$5+1))</f>
        <v>0</v>
      </c>
      <c r="T41" s="28" t="n">
        <f aca="false">S41*E41</f>
        <v>0</v>
      </c>
      <c r="U41" s="71" t="n">
        <f aca="false">N(INDEX(F41:R41,1,기본설정!$C$5))</f>
        <v>0</v>
      </c>
      <c r="V41" s="28" t="n">
        <f aca="false">U41*E41</f>
        <v>0</v>
      </c>
      <c r="W41" s="59" t="str">
        <f aca="false">IF(B41="","",IFERROR(INDEX(기본설정!$H$4:$H$14,MATCH(B41,기본설정!$G$4:$G$14,0)),""))</f>
        <v>식재료</v>
      </c>
    </row>
    <row r="42" customFormat="false" ht="15" hidden="false" customHeight="false" outlineLevel="0" collapsed="false">
      <c r="A42" s="83" t="str">
        <f aca="false">기본설정!$E$5</f>
        <v>판교점</v>
      </c>
      <c r="B42" s="81" t="str">
        <f aca="false">IF(C42="","",IFERROR(INDEX(식자재단가!$B$4:$B$203,MATCH(C42,식자재단가!$C$4:$C$203,0)),""))</f>
        <v>양념·향신료·소스</v>
      </c>
      <c r="C42" s="80" t="s">
        <v>517</v>
      </c>
      <c r="D42" s="59" t="str">
        <f aca="false">IF(C42="","",IFERROR(INDEX(식자재단가!$F$4:$F$203,MATCH(C42,식자재단가!$C$4:$C$203,0)),""))</f>
        <v>통</v>
      </c>
      <c r="E42" s="84" t="n">
        <f aca="false">IF(C42="",0,IFERROR(INDEX(식자재단가!$G$4:$G$203,MATCH(C42,식자재단가!$C$4:$C$203,0)),0))</f>
        <v>8000</v>
      </c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1" t="n">
        <f aca="false">N(INDEX(F42:R42,1,기본설정!$C$5+1))</f>
        <v>0</v>
      </c>
      <c r="T42" s="28" t="n">
        <f aca="false">S42*E42</f>
        <v>0</v>
      </c>
      <c r="U42" s="71" t="n">
        <f aca="false">N(INDEX(F42:R42,1,기본설정!$C$5))</f>
        <v>0</v>
      </c>
      <c r="V42" s="28" t="n">
        <f aca="false">U42*E42</f>
        <v>0</v>
      </c>
      <c r="W42" s="59" t="str">
        <f aca="false">IF(B42="","",IFERROR(INDEX(기본설정!$H$4:$H$14,MATCH(B42,기본설정!$G$4:$G$14,0)),""))</f>
        <v>식재료</v>
      </c>
    </row>
    <row r="43" customFormat="false" ht="15" hidden="false" customHeight="false" outlineLevel="0" collapsed="false">
      <c r="A43" s="83" t="str">
        <f aca="false">기본설정!$E$5</f>
        <v>판교점</v>
      </c>
      <c r="B43" s="81" t="str">
        <f aca="false">IF(C43="","",IFERROR(INDEX(식자재단가!$B$4:$B$203,MATCH(C43,식자재단가!$C$4:$C$203,0)),""))</f>
        <v>양념·향신료·소스</v>
      </c>
      <c r="C43" s="80" t="s">
        <v>520</v>
      </c>
      <c r="D43" s="59" t="str">
        <f aca="false">IF(C43="","",IFERROR(INDEX(식자재단가!$F$4:$F$203,MATCH(C43,식자재단가!$C$4:$C$203,0)),""))</f>
        <v>통</v>
      </c>
      <c r="E43" s="84" t="n">
        <f aca="false">IF(C43="",0,IFERROR(INDEX(식자재단가!$G$4:$G$203,MATCH(C43,식자재단가!$C$4:$C$203,0)),0))</f>
        <v>6000</v>
      </c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1" t="n">
        <f aca="false">N(INDEX(F43:R43,1,기본설정!$C$5+1))</f>
        <v>0</v>
      </c>
      <c r="T43" s="28" t="n">
        <f aca="false">S43*E43</f>
        <v>0</v>
      </c>
      <c r="U43" s="71" t="n">
        <f aca="false">N(INDEX(F43:R43,1,기본설정!$C$5))</f>
        <v>0</v>
      </c>
      <c r="V43" s="28" t="n">
        <f aca="false">U43*E43</f>
        <v>0</v>
      </c>
      <c r="W43" s="59" t="str">
        <f aca="false">IF(B43="","",IFERROR(INDEX(기본설정!$H$4:$H$14,MATCH(B43,기본설정!$G$4:$G$14,0)),""))</f>
        <v>식재료</v>
      </c>
    </row>
    <row r="44" customFormat="false" ht="15" hidden="false" customHeight="false" outlineLevel="0" collapsed="false">
      <c r="A44" s="83" t="str">
        <f aca="false">기본설정!$E$5</f>
        <v>판교점</v>
      </c>
      <c r="B44" s="81" t="str">
        <f aca="false">IF(C44="","",IFERROR(INDEX(식자재단가!$B$4:$B$203,MATCH(C44,식자재단가!$C$4:$C$203,0)),""))</f>
        <v>양념·향신료·소스</v>
      </c>
      <c r="C44" s="80" t="s">
        <v>522</v>
      </c>
      <c r="D44" s="59" t="str">
        <f aca="false">IF(C44="","",IFERROR(INDEX(식자재단가!$F$4:$F$203,MATCH(C44,식자재단가!$C$4:$C$203,0)),""))</f>
        <v>병</v>
      </c>
      <c r="E44" s="84" t="n">
        <f aca="false">IF(C44="",0,IFERROR(INDEX(식자재단가!$G$4:$G$203,MATCH(C44,식자재단가!$C$4:$C$203,0)),0))</f>
        <v>6000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1" t="n">
        <f aca="false">N(INDEX(F44:R44,1,기본설정!$C$5+1))</f>
        <v>0</v>
      </c>
      <c r="T44" s="28" t="n">
        <f aca="false">S44*E44</f>
        <v>0</v>
      </c>
      <c r="U44" s="71" t="n">
        <f aca="false">N(INDEX(F44:R44,1,기본설정!$C$5))</f>
        <v>0</v>
      </c>
      <c r="V44" s="28" t="n">
        <f aca="false">U44*E44</f>
        <v>0</v>
      </c>
      <c r="W44" s="59" t="str">
        <f aca="false">IF(B44="","",IFERROR(INDEX(기본설정!$H$4:$H$14,MATCH(B44,기본설정!$G$4:$G$14,0)),""))</f>
        <v>식재료</v>
      </c>
    </row>
    <row r="45" customFormat="false" ht="15" hidden="false" customHeight="false" outlineLevel="0" collapsed="false">
      <c r="A45" s="83" t="str">
        <f aca="false">기본설정!$E$5</f>
        <v>판교점</v>
      </c>
      <c r="B45" s="81" t="str">
        <f aca="false">IF(C45="","",IFERROR(INDEX(식자재단가!$B$4:$B$203,MATCH(C45,식자재단가!$C$4:$C$203,0)),""))</f>
        <v>양념·향신료·소스</v>
      </c>
      <c r="C45" s="80" t="s">
        <v>527</v>
      </c>
      <c r="D45" s="59" t="str">
        <f aca="false">IF(C45="","",IFERROR(INDEX(식자재단가!$F$4:$F$203,MATCH(C45,식자재단가!$C$4:$C$203,0)),""))</f>
        <v>병</v>
      </c>
      <c r="E45" s="84" t="n">
        <f aca="false">IF(C45="",0,IFERROR(INDEX(식자재단가!$G$4:$G$203,MATCH(C45,식자재단가!$C$4:$C$203,0)),0))</f>
        <v>3000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1" t="n">
        <f aca="false">N(INDEX(F45:R45,1,기본설정!$C$5+1))</f>
        <v>0</v>
      </c>
      <c r="T45" s="28" t="n">
        <f aca="false">S45*E45</f>
        <v>0</v>
      </c>
      <c r="U45" s="71" t="n">
        <f aca="false">N(INDEX(F45:R45,1,기본설정!$C$5))</f>
        <v>0</v>
      </c>
      <c r="V45" s="28" t="n">
        <f aca="false">U45*E45</f>
        <v>0</v>
      </c>
      <c r="W45" s="59" t="str">
        <f aca="false">IF(B45="","",IFERROR(INDEX(기본설정!$H$4:$H$14,MATCH(B45,기본설정!$G$4:$G$14,0)),""))</f>
        <v>식재료</v>
      </c>
    </row>
    <row r="46" customFormat="false" ht="15" hidden="false" customHeight="false" outlineLevel="0" collapsed="false">
      <c r="A46" s="83" t="str">
        <f aca="false">기본설정!$E$5</f>
        <v>판교점</v>
      </c>
      <c r="B46" s="81" t="str">
        <f aca="false">IF(C46="","",IFERROR(INDEX(식자재단가!$B$4:$B$203,MATCH(C46,식자재단가!$C$4:$C$203,0)),""))</f>
        <v>양념·향신료·소스</v>
      </c>
      <c r="C46" s="80" t="s">
        <v>529</v>
      </c>
      <c r="D46" s="59" t="str">
        <f aca="false">IF(C46="","",IFERROR(INDEX(식자재단가!$F$4:$F$203,MATCH(C46,식자재단가!$C$4:$C$203,0)),""))</f>
        <v>봉</v>
      </c>
      <c r="E46" s="84" t="n">
        <f aca="false">IF(C46="",0,IFERROR(INDEX(식자재단가!$G$4:$G$203,MATCH(C46,식자재단가!$C$4:$C$203,0)),0))</f>
        <v>5000</v>
      </c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1" t="n">
        <f aca="false">N(INDEX(F46:R46,1,기본설정!$C$5+1))</f>
        <v>0</v>
      </c>
      <c r="T46" s="28" t="n">
        <f aca="false">S46*E46</f>
        <v>0</v>
      </c>
      <c r="U46" s="71" t="n">
        <f aca="false">N(INDEX(F46:R46,1,기본설정!$C$5))</f>
        <v>0</v>
      </c>
      <c r="V46" s="28" t="n">
        <f aca="false">U46*E46</f>
        <v>0</v>
      </c>
      <c r="W46" s="59" t="str">
        <f aca="false">IF(B46="","",IFERROR(INDEX(기본설정!$H$4:$H$14,MATCH(B46,기본설정!$G$4:$G$14,0)),""))</f>
        <v>식재료</v>
      </c>
    </row>
    <row r="47" customFormat="false" ht="15" hidden="false" customHeight="false" outlineLevel="0" collapsed="false">
      <c r="A47" s="83" t="str">
        <f aca="false">기본설정!$E$5</f>
        <v>판교점</v>
      </c>
      <c r="B47" s="81" t="str">
        <f aca="false">IF(C47="","",IFERROR(INDEX(식자재단가!$B$4:$B$203,MATCH(C47,식자재단가!$C$4:$C$203,0)),""))</f>
        <v>양념·향신료·소스</v>
      </c>
      <c r="C47" s="80" t="s">
        <v>532</v>
      </c>
      <c r="D47" s="59" t="str">
        <f aca="false">IF(C47="","",IFERROR(INDEX(식자재단가!$F$4:$F$203,MATCH(C47,식자재단가!$C$4:$C$203,0)),""))</f>
        <v>봉</v>
      </c>
      <c r="E47" s="84" t="n">
        <f aca="false">IF(C47="",0,IFERROR(INDEX(식자재단가!$G$4:$G$203,MATCH(C47,식자재단가!$C$4:$C$203,0)),0))</f>
        <v>18000</v>
      </c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1" t="n">
        <f aca="false">N(INDEX(F47:R47,1,기본설정!$C$5+1))</f>
        <v>0</v>
      </c>
      <c r="T47" s="28" t="n">
        <f aca="false">S47*E47</f>
        <v>0</v>
      </c>
      <c r="U47" s="71" t="n">
        <f aca="false">N(INDEX(F47:R47,1,기본설정!$C$5))</f>
        <v>0</v>
      </c>
      <c r="V47" s="28" t="n">
        <f aca="false">U47*E47</f>
        <v>0</v>
      </c>
      <c r="W47" s="59" t="str">
        <f aca="false">IF(B47="","",IFERROR(INDEX(기본설정!$H$4:$H$14,MATCH(B47,기본설정!$G$4:$G$14,0)),""))</f>
        <v>식재료</v>
      </c>
    </row>
    <row r="48" customFormat="false" ht="15" hidden="false" customHeight="false" outlineLevel="0" collapsed="false">
      <c r="A48" s="83" t="str">
        <f aca="false">기본설정!$E$5</f>
        <v>판교점</v>
      </c>
      <c r="B48" s="81" t="str">
        <f aca="false">IF(C48="","",IFERROR(INDEX(식자재단가!$B$4:$B$203,MATCH(C48,식자재단가!$C$4:$C$203,0)),""))</f>
        <v>양념·향신료·소스</v>
      </c>
      <c r="C48" s="80" t="s">
        <v>534</v>
      </c>
      <c r="D48" s="59" t="str">
        <f aca="false">IF(C48="","",IFERROR(INDEX(식자재단가!$F$4:$F$203,MATCH(C48,식자재단가!$C$4:$C$203,0)),""))</f>
        <v>봉</v>
      </c>
      <c r="E48" s="84" t="n">
        <f aca="false">IF(C48="",0,IFERROR(INDEX(식자재단가!$G$4:$G$203,MATCH(C48,식자재단가!$C$4:$C$203,0)),0))</f>
        <v>16000</v>
      </c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1" t="n">
        <f aca="false">N(INDEX(F48:R48,1,기본설정!$C$5+1))</f>
        <v>0</v>
      </c>
      <c r="T48" s="28" t="n">
        <f aca="false">S48*E48</f>
        <v>0</v>
      </c>
      <c r="U48" s="71" t="n">
        <f aca="false">N(INDEX(F48:R48,1,기본설정!$C$5))</f>
        <v>0</v>
      </c>
      <c r="V48" s="28" t="n">
        <f aca="false">U48*E48</f>
        <v>0</v>
      </c>
      <c r="W48" s="59" t="str">
        <f aca="false">IF(B48="","",IFERROR(INDEX(기본설정!$H$4:$H$14,MATCH(B48,기본설정!$G$4:$G$14,0)),""))</f>
        <v>식재료</v>
      </c>
    </row>
    <row r="49" customFormat="false" ht="15" hidden="false" customHeight="false" outlineLevel="0" collapsed="false">
      <c r="A49" s="83" t="str">
        <f aca="false">기본설정!$E$5</f>
        <v>판교점</v>
      </c>
      <c r="B49" s="81" t="str">
        <f aca="false">IF(C49="","",IFERROR(INDEX(식자재단가!$B$4:$B$203,MATCH(C49,식자재단가!$C$4:$C$203,0)),""))</f>
        <v>양념·향신료·소스</v>
      </c>
      <c r="C49" s="80" t="s">
        <v>536</v>
      </c>
      <c r="D49" s="59" t="str">
        <f aca="false">IF(C49="","",IFERROR(INDEX(식자재단가!$F$4:$F$203,MATCH(C49,식자재단가!$C$4:$C$203,0)),""))</f>
        <v>봉</v>
      </c>
      <c r="E49" s="84" t="n">
        <f aca="false">IF(C49="",0,IFERROR(INDEX(식자재단가!$G$4:$G$203,MATCH(C49,식자재단가!$C$4:$C$203,0)),0))</f>
        <v>30000</v>
      </c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1" t="n">
        <f aca="false">N(INDEX(F49:R49,1,기본설정!$C$5+1))</f>
        <v>0</v>
      </c>
      <c r="T49" s="28" t="n">
        <f aca="false">S49*E49</f>
        <v>0</v>
      </c>
      <c r="U49" s="71" t="n">
        <f aca="false">N(INDEX(F49:R49,1,기본설정!$C$5))</f>
        <v>0</v>
      </c>
      <c r="V49" s="28" t="n">
        <f aca="false">U49*E49</f>
        <v>0</v>
      </c>
      <c r="W49" s="59" t="str">
        <f aca="false">IF(B49="","",IFERROR(INDEX(기본설정!$H$4:$H$14,MATCH(B49,기본설정!$G$4:$G$14,0)),""))</f>
        <v>식재료</v>
      </c>
    </row>
    <row r="50" customFormat="false" ht="15" hidden="false" customHeight="false" outlineLevel="0" collapsed="false">
      <c r="A50" s="83" t="str">
        <f aca="false">기본설정!$E$5</f>
        <v>판교점</v>
      </c>
      <c r="B50" s="81" t="str">
        <f aca="false">IF(C50="","",IFERROR(INDEX(식자재단가!$B$4:$B$203,MATCH(C50,식자재단가!$C$4:$C$203,0)),""))</f>
        <v>양념·향신료·소스</v>
      </c>
      <c r="C50" s="80" t="s">
        <v>538</v>
      </c>
      <c r="D50" s="59" t="str">
        <f aca="false">IF(C50="","",IFERROR(INDEX(식자재단가!$F$4:$F$203,MATCH(C50,식자재단가!$C$4:$C$203,0)),""))</f>
        <v>봉</v>
      </c>
      <c r="E50" s="84" t="n">
        <f aca="false">IF(C50="",0,IFERROR(INDEX(식자재단가!$G$4:$G$203,MATCH(C50,식자재단가!$C$4:$C$203,0)),0))</f>
        <v>3500</v>
      </c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1" t="n">
        <f aca="false">N(INDEX(F50:R50,1,기본설정!$C$5+1))</f>
        <v>0</v>
      </c>
      <c r="T50" s="28" t="n">
        <f aca="false">S50*E50</f>
        <v>0</v>
      </c>
      <c r="U50" s="71" t="n">
        <f aca="false">N(INDEX(F50:R50,1,기본설정!$C$5))</f>
        <v>0</v>
      </c>
      <c r="V50" s="28" t="n">
        <f aca="false">U50*E50</f>
        <v>0</v>
      </c>
      <c r="W50" s="59" t="str">
        <f aca="false">IF(B50="","",IFERROR(INDEX(기본설정!$H$4:$H$14,MATCH(B50,기본설정!$G$4:$G$14,0)),""))</f>
        <v>식재료</v>
      </c>
    </row>
    <row r="51" customFormat="false" ht="15" hidden="false" customHeight="false" outlineLevel="0" collapsed="false">
      <c r="A51" s="83" t="str">
        <f aca="false">기본설정!$E$5</f>
        <v>판교점</v>
      </c>
      <c r="B51" s="81" t="str">
        <f aca="false">IF(C51="","",IFERROR(INDEX(식자재단가!$B$4:$B$203,MATCH(C51,식자재단가!$C$4:$C$203,0)),""))</f>
        <v>유지·기타식재료</v>
      </c>
      <c r="C51" s="80" t="s">
        <v>540</v>
      </c>
      <c r="D51" s="59" t="str">
        <f aca="false">IF(C51="","",IFERROR(INDEX(식자재단가!$F$4:$F$203,MATCH(C51,식자재단가!$C$4:$C$203,0)),""))</f>
        <v>말</v>
      </c>
      <c r="E51" s="84" t="n">
        <f aca="false">IF(C51="",0,IFERROR(INDEX(식자재단가!$G$4:$G$203,MATCH(C51,식자재단가!$C$4:$C$203,0)),0))</f>
        <v>55000</v>
      </c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1" t="n">
        <f aca="false">N(INDEX(F51:R51,1,기본설정!$C$5+1))</f>
        <v>0</v>
      </c>
      <c r="T51" s="28" t="n">
        <f aca="false">S51*E51</f>
        <v>0</v>
      </c>
      <c r="U51" s="71" t="n">
        <f aca="false">N(INDEX(F51:R51,1,기본설정!$C$5))</f>
        <v>0</v>
      </c>
      <c r="V51" s="28" t="n">
        <f aca="false">U51*E51</f>
        <v>0</v>
      </c>
      <c r="W51" s="59" t="str">
        <f aca="false">IF(B51="","",IFERROR(INDEX(기본설정!$H$4:$H$14,MATCH(B51,기본설정!$G$4:$G$14,0)),""))</f>
        <v>식재료</v>
      </c>
    </row>
    <row r="52" customFormat="false" ht="15" hidden="false" customHeight="false" outlineLevel="0" collapsed="false">
      <c r="A52" s="83" t="str">
        <f aca="false">기본설정!$E$5</f>
        <v>판교점</v>
      </c>
      <c r="B52" s="81" t="str">
        <f aca="false">IF(C52="","",IFERROR(INDEX(식자재단가!$B$4:$B$203,MATCH(C52,식자재단가!$C$4:$C$203,0)),""))</f>
        <v>유지·기타식재료</v>
      </c>
      <c r="C52" s="80" t="s">
        <v>544</v>
      </c>
      <c r="D52" s="59" t="str">
        <f aca="false">IF(C52="","",IFERROR(INDEX(식자재단가!$F$4:$F$203,MATCH(C52,식자재단가!$C$4:$C$203,0)),""))</f>
        <v>병</v>
      </c>
      <c r="E52" s="84" t="n">
        <f aca="false">IF(C52="",0,IFERROR(INDEX(식자재단가!$G$4:$G$203,MATCH(C52,식자재단가!$C$4:$C$203,0)),0))</f>
        <v>25000</v>
      </c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1" t="n">
        <f aca="false">N(INDEX(F52:R52,1,기본설정!$C$5+1))</f>
        <v>0</v>
      </c>
      <c r="T52" s="28" t="n">
        <f aca="false">S52*E52</f>
        <v>0</v>
      </c>
      <c r="U52" s="71" t="n">
        <f aca="false">N(INDEX(F52:R52,1,기본설정!$C$5))</f>
        <v>0</v>
      </c>
      <c r="V52" s="28" t="n">
        <f aca="false">U52*E52</f>
        <v>0</v>
      </c>
      <c r="W52" s="59" t="str">
        <f aca="false">IF(B52="","",IFERROR(INDEX(기본설정!$H$4:$H$14,MATCH(B52,기본설정!$G$4:$G$14,0)),""))</f>
        <v>식재료</v>
      </c>
    </row>
    <row r="53" customFormat="false" ht="15" hidden="false" customHeight="false" outlineLevel="0" collapsed="false">
      <c r="A53" s="83" t="str">
        <f aca="false">기본설정!$E$5</f>
        <v>판교점</v>
      </c>
      <c r="B53" s="81" t="str">
        <f aca="false">IF(C53="","",IFERROR(INDEX(식자재단가!$B$4:$B$203,MATCH(C53,식자재단가!$C$4:$C$203,0)),""))</f>
        <v>유지·기타식재료</v>
      </c>
      <c r="C53" s="80" t="s">
        <v>546</v>
      </c>
      <c r="D53" s="59" t="str">
        <f aca="false">IF(C53="","",IFERROR(INDEX(식자재단가!$F$4:$F$203,MATCH(C53,식자재단가!$C$4:$C$203,0)),""))</f>
        <v>봉</v>
      </c>
      <c r="E53" s="84" t="n">
        <f aca="false">IF(C53="",0,IFERROR(INDEX(식자재단가!$G$4:$G$203,MATCH(C53,식자재단가!$C$4:$C$203,0)),0))</f>
        <v>10000</v>
      </c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1" t="n">
        <f aca="false">N(INDEX(F53:R53,1,기본설정!$C$5+1))</f>
        <v>0</v>
      </c>
      <c r="T53" s="28" t="n">
        <f aca="false">S53*E53</f>
        <v>0</v>
      </c>
      <c r="U53" s="71" t="n">
        <f aca="false">N(INDEX(F53:R53,1,기본설정!$C$5))</f>
        <v>0</v>
      </c>
      <c r="V53" s="28" t="n">
        <f aca="false">U53*E53</f>
        <v>0</v>
      </c>
      <c r="W53" s="59" t="str">
        <f aca="false">IF(B53="","",IFERROR(INDEX(기본설정!$H$4:$H$14,MATCH(B53,기본설정!$G$4:$G$14,0)),""))</f>
        <v>식재료</v>
      </c>
    </row>
    <row r="54" customFormat="false" ht="15" hidden="false" customHeight="false" outlineLevel="0" collapsed="false">
      <c r="A54" s="83" t="str">
        <f aca="false">기본설정!$E$5</f>
        <v>판교점</v>
      </c>
      <c r="B54" s="81" t="str">
        <f aca="false">IF(C54="","",IFERROR(INDEX(식자재단가!$B$4:$B$203,MATCH(C54,식자재단가!$C$4:$C$203,0)),""))</f>
        <v>주류</v>
      </c>
      <c r="C54" s="80" t="s">
        <v>548</v>
      </c>
      <c r="D54" s="59" t="str">
        <f aca="false">IF(C54="","",IFERROR(INDEX(식자재단가!$F$4:$F$203,MATCH(C54,식자재단가!$C$4:$C$203,0)),""))</f>
        <v>병</v>
      </c>
      <c r="E54" s="84" t="n">
        <f aca="false">IF(C54="",0,IFERROR(INDEX(식자재단가!$G$4:$G$203,MATCH(C54,식자재단가!$C$4:$C$203,0)),0))</f>
        <v>12000</v>
      </c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1" t="n">
        <f aca="false">N(INDEX(F54:R54,1,기본설정!$C$5+1))</f>
        <v>0</v>
      </c>
      <c r="T54" s="28" t="n">
        <f aca="false">S54*E54</f>
        <v>0</v>
      </c>
      <c r="U54" s="71" t="n">
        <f aca="false">N(INDEX(F54:R54,1,기본설정!$C$5))</f>
        <v>0</v>
      </c>
      <c r="V54" s="28" t="n">
        <f aca="false">U54*E54</f>
        <v>0</v>
      </c>
      <c r="W54" s="59" t="str">
        <f aca="false">IF(B54="","",IFERROR(INDEX(기본설정!$H$4:$H$14,MATCH(B54,기본설정!$G$4:$G$14,0)),""))</f>
        <v>주류·음료</v>
      </c>
    </row>
    <row r="55" customFormat="false" ht="15" hidden="false" customHeight="false" outlineLevel="0" collapsed="false">
      <c r="A55" s="83" t="str">
        <f aca="false">기본설정!$E$5</f>
        <v>판교점</v>
      </c>
      <c r="B55" s="81" t="str">
        <f aca="false">IF(C55="","",IFERROR(INDEX(식자재단가!$B$4:$B$203,MATCH(C55,식자재단가!$C$4:$C$203,0)),""))</f>
        <v>주류</v>
      </c>
      <c r="C55" s="80" t="s">
        <v>552</v>
      </c>
      <c r="D55" s="59" t="str">
        <f aca="false">IF(C55="","",IFERROR(INDEX(식자재단가!$F$4:$F$203,MATCH(C55,식자재단가!$C$4:$C$203,0)),""))</f>
        <v>병</v>
      </c>
      <c r="E55" s="84" t="n">
        <f aca="false">IF(C55="",0,IFERROR(INDEX(식자재단가!$G$4:$G$203,MATCH(C55,식자재단가!$C$4:$C$203,0)),0))</f>
        <v>6500</v>
      </c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1" t="n">
        <f aca="false">N(INDEX(F55:R55,1,기본설정!$C$5+1))</f>
        <v>0</v>
      </c>
      <c r="T55" s="28" t="n">
        <f aca="false">S55*E55</f>
        <v>0</v>
      </c>
      <c r="U55" s="71" t="n">
        <f aca="false">N(INDEX(F55:R55,1,기본설정!$C$5))</f>
        <v>0</v>
      </c>
      <c r="V55" s="28" t="n">
        <f aca="false">U55*E55</f>
        <v>0</v>
      </c>
      <c r="W55" s="59" t="str">
        <f aca="false">IF(B55="","",IFERROR(INDEX(기본설정!$H$4:$H$14,MATCH(B55,기본설정!$G$4:$G$14,0)),""))</f>
        <v>주류·음료</v>
      </c>
    </row>
    <row r="56" customFormat="false" ht="15" hidden="false" customHeight="false" outlineLevel="0" collapsed="false">
      <c r="A56" s="83" t="str">
        <f aca="false">기본설정!$E$5</f>
        <v>판교점</v>
      </c>
      <c r="B56" s="81" t="str">
        <f aca="false">IF(C56="","",IFERROR(INDEX(식자재단가!$B$4:$B$203,MATCH(C56,식자재단가!$C$4:$C$203,0)),""))</f>
        <v>주류</v>
      </c>
      <c r="C56" s="80" t="s">
        <v>554</v>
      </c>
      <c r="D56" s="59" t="str">
        <f aca="false">IF(C56="","",IFERROR(INDEX(식자재단가!$F$4:$F$203,MATCH(C56,식자재단가!$C$4:$C$203,0)),""))</f>
        <v>병</v>
      </c>
      <c r="E56" s="84" t="n">
        <f aca="false">IF(C56="",0,IFERROR(INDEX(식자재단가!$G$4:$G$203,MATCH(C56,식자재단가!$C$4:$C$203,0)),0))</f>
        <v>3800</v>
      </c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1" t="n">
        <f aca="false">N(INDEX(F56:R56,1,기본설정!$C$5+1))</f>
        <v>0</v>
      </c>
      <c r="T56" s="28" t="n">
        <f aca="false">S56*E56</f>
        <v>0</v>
      </c>
      <c r="U56" s="71" t="n">
        <f aca="false">N(INDEX(F56:R56,1,기본설정!$C$5))</f>
        <v>0</v>
      </c>
      <c r="V56" s="28" t="n">
        <f aca="false">U56*E56</f>
        <v>0</v>
      </c>
      <c r="W56" s="59" t="str">
        <f aca="false">IF(B56="","",IFERROR(INDEX(기본설정!$H$4:$H$14,MATCH(B56,기본설정!$G$4:$G$14,0)),""))</f>
        <v>주류·음료</v>
      </c>
    </row>
    <row r="57" customFormat="false" ht="15" hidden="false" customHeight="false" outlineLevel="0" collapsed="false">
      <c r="A57" s="83" t="str">
        <f aca="false">기본설정!$E$5</f>
        <v>판교점</v>
      </c>
      <c r="B57" s="81" t="str">
        <f aca="false">IF(C57="","",IFERROR(INDEX(식자재단가!$B$4:$B$203,MATCH(C57,식자재단가!$C$4:$C$203,0)),""))</f>
        <v>주류</v>
      </c>
      <c r="C57" s="80" t="s">
        <v>556</v>
      </c>
      <c r="D57" s="59" t="str">
        <f aca="false">IF(C57="","",IFERROR(INDEX(식자재단가!$F$4:$F$203,MATCH(C57,식자재단가!$C$4:$C$203,0)),""))</f>
        <v>병</v>
      </c>
      <c r="E57" s="84" t="n">
        <f aca="false">IF(C57="",0,IFERROR(INDEX(식자재단가!$G$4:$G$203,MATCH(C57,식자재단가!$C$4:$C$203,0)),0))</f>
        <v>8000</v>
      </c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1" t="n">
        <f aca="false">N(INDEX(F57:R57,1,기본설정!$C$5+1))</f>
        <v>0</v>
      </c>
      <c r="T57" s="28" t="n">
        <f aca="false">S57*E57</f>
        <v>0</v>
      </c>
      <c r="U57" s="71" t="n">
        <f aca="false">N(INDEX(F57:R57,1,기본설정!$C$5))</f>
        <v>0</v>
      </c>
      <c r="V57" s="28" t="n">
        <f aca="false">U57*E57</f>
        <v>0</v>
      </c>
      <c r="W57" s="59" t="str">
        <f aca="false">IF(B57="","",IFERROR(INDEX(기본설정!$H$4:$H$14,MATCH(B57,기본설정!$G$4:$G$14,0)),""))</f>
        <v>주류·음료</v>
      </c>
    </row>
    <row r="58" customFormat="false" ht="15" hidden="false" customHeight="false" outlineLevel="0" collapsed="false">
      <c r="A58" s="83" t="str">
        <f aca="false">기본설정!$E$5</f>
        <v>판교점</v>
      </c>
      <c r="B58" s="81" t="str">
        <f aca="false">IF(C58="","",IFERROR(INDEX(식자재단가!$B$4:$B$203,MATCH(C58,식자재단가!$C$4:$C$203,0)),""))</f>
        <v>주류</v>
      </c>
      <c r="C58" s="80" t="s">
        <v>559</v>
      </c>
      <c r="D58" s="59" t="str">
        <f aca="false">IF(C58="","",IFERROR(INDEX(식자재단가!$F$4:$F$203,MATCH(C58,식자재단가!$C$4:$C$203,0)),""))</f>
        <v>병</v>
      </c>
      <c r="E58" s="84" t="n">
        <f aca="false">IF(C58="",0,IFERROR(INDEX(식자재단가!$G$4:$G$203,MATCH(C58,식자재단가!$C$4:$C$203,0)),0))</f>
        <v>4800</v>
      </c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1" t="n">
        <f aca="false">N(INDEX(F58:R58,1,기본설정!$C$5+1))</f>
        <v>0</v>
      </c>
      <c r="T58" s="28" t="n">
        <f aca="false">S58*E58</f>
        <v>0</v>
      </c>
      <c r="U58" s="71" t="n">
        <f aca="false">N(INDEX(F58:R58,1,기본설정!$C$5))</f>
        <v>0</v>
      </c>
      <c r="V58" s="28" t="n">
        <f aca="false">U58*E58</f>
        <v>0</v>
      </c>
      <c r="W58" s="59" t="str">
        <f aca="false">IF(B58="","",IFERROR(INDEX(기본설정!$H$4:$H$14,MATCH(B58,기본설정!$G$4:$G$14,0)),""))</f>
        <v>주류·음료</v>
      </c>
    </row>
    <row r="59" customFormat="false" ht="15" hidden="false" customHeight="false" outlineLevel="0" collapsed="false">
      <c r="A59" s="83" t="str">
        <f aca="false">기본설정!$E$5</f>
        <v>판교점</v>
      </c>
      <c r="B59" s="81" t="str">
        <f aca="false">IF(C59="","",IFERROR(INDEX(식자재단가!$B$4:$B$203,MATCH(C59,식자재단가!$C$4:$C$203,0)),""))</f>
        <v>주류</v>
      </c>
      <c r="C59" s="80" t="s">
        <v>561</v>
      </c>
      <c r="D59" s="59" t="str">
        <f aca="false">IF(C59="","",IFERROR(INDEX(식자재단가!$F$4:$F$203,MATCH(C59,식자재단가!$C$4:$C$203,0)),""))</f>
        <v>병</v>
      </c>
      <c r="E59" s="84" t="n">
        <f aca="false">IF(C59="",0,IFERROR(INDEX(식자재단가!$G$4:$G$203,MATCH(C59,식자재단가!$C$4:$C$203,0)),0))</f>
        <v>17000</v>
      </c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1" t="n">
        <f aca="false">N(INDEX(F59:R59,1,기본설정!$C$5+1))</f>
        <v>0</v>
      </c>
      <c r="T59" s="28" t="n">
        <f aca="false">S59*E59</f>
        <v>0</v>
      </c>
      <c r="U59" s="71" t="n">
        <f aca="false">N(INDEX(F59:R59,1,기본설정!$C$5))</f>
        <v>0</v>
      </c>
      <c r="V59" s="28" t="n">
        <f aca="false">U59*E59</f>
        <v>0</v>
      </c>
      <c r="W59" s="59" t="str">
        <f aca="false">IF(B59="","",IFERROR(INDEX(기본설정!$H$4:$H$14,MATCH(B59,기본설정!$G$4:$G$14,0)),""))</f>
        <v>주류·음료</v>
      </c>
    </row>
    <row r="60" customFormat="false" ht="15" hidden="false" customHeight="false" outlineLevel="0" collapsed="false">
      <c r="A60" s="83" t="str">
        <f aca="false">기본설정!$E$5</f>
        <v>판교점</v>
      </c>
      <c r="B60" s="81" t="str">
        <f aca="false">IF(C60="","",IFERROR(INDEX(식자재단가!$B$4:$B$203,MATCH(C60,식자재단가!$C$4:$C$203,0)),""))</f>
        <v>주류</v>
      </c>
      <c r="C60" s="80" t="s">
        <v>564</v>
      </c>
      <c r="D60" s="59" t="str">
        <f aca="false">IF(C60="","",IFERROR(INDEX(식자재단가!$F$4:$F$203,MATCH(C60,식자재단가!$C$4:$C$203,0)),""))</f>
        <v>병</v>
      </c>
      <c r="E60" s="84" t="n">
        <f aca="false">IF(C60="",0,IFERROR(INDEX(식자재단가!$G$4:$G$203,MATCH(C60,식자재단가!$C$4:$C$203,0)),0))</f>
        <v>9500</v>
      </c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1" t="n">
        <f aca="false">N(INDEX(F60:R60,1,기본설정!$C$5+1))</f>
        <v>0</v>
      </c>
      <c r="T60" s="28" t="n">
        <f aca="false">S60*E60</f>
        <v>0</v>
      </c>
      <c r="U60" s="71" t="n">
        <f aca="false">N(INDEX(F60:R60,1,기본설정!$C$5))</f>
        <v>0</v>
      </c>
      <c r="V60" s="28" t="n">
        <f aca="false">U60*E60</f>
        <v>0</v>
      </c>
      <c r="W60" s="59" t="str">
        <f aca="false">IF(B60="","",IFERROR(INDEX(기본설정!$H$4:$H$14,MATCH(B60,기본설정!$G$4:$G$14,0)),""))</f>
        <v>주류·음료</v>
      </c>
    </row>
    <row r="61" customFormat="false" ht="15" hidden="false" customHeight="false" outlineLevel="0" collapsed="false">
      <c r="A61" s="83" t="str">
        <f aca="false">기본설정!$E$5</f>
        <v>판교점</v>
      </c>
      <c r="B61" s="81" t="str">
        <f aca="false">IF(C61="","",IFERROR(INDEX(식자재단가!$B$4:$B$203,MATCH(C61,식자재단가!$C$4:$C$203,0)),""))</f>
        <v>주류</v>
      </c>
      <c r="C61" s="80" t="s">
        <v>566</v>
      </c>
      <c r="D61" s="59" t="str">
        <f aca="false">IF(C61="","",IFERROR(INDEX(식자재단가!$F$4:$F$203,MATCH(C61,식자재단가!$C$4:$C$203,0)),""))</f>
        <v>병</v>
      </c>
      <c r="E61" s="84" t="n">
        <f aca="false">IF(C61="",0,IFERROR(INDEX(식자재단가!$G$4:$G$203,MATCH(C61,식자재단가!$C$4:$C$203,0)),0))</f>
        <v>2600</v>
      </c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1" t="n">
        <f aca="false">N(INDEX(F61:R61,1,기본설정!$C$5+1))</f>
        <v>0</v>
      </c>
      <c r="T61" s="28" t="n">
        <f aca="false">S61*E61</f>
        <v>0</v>
      </c>
      <c r="U61" s="71" t="n">
        <f aca="false">N(INDEX(F61:R61,1,기본설정!$C$5))</f>
        <v>0</v>
      </c>
      <c r="V61" s="28" t="n">
        <f aca="false">U61*E61</f>
        <v>0</v>
      </c>
      <c r="W61" s="59" t="str">
        <f aca="false">IF(B61="","",IFERROR(INDEX(기본설정!$H$4:$H$14,MATCH(B61,기본설정!$G$4:$G$14,0)),""))</f>
        <v>주류·음료</v>
      </c>
    </row>
    <row r="62" customFormat="false" ht="15" hidden="false" customHeight="false" outlineLevel="0" collapsed="false">
      <c r="A62" s="83" t="str">
        <f aca="false">기본설정!$E$5</f>
        <v>판교점</v>
      </c>
      <c r="B62" s="81" t="str">
        <f aca="false">IF(C62="","",IFERROR(INDEX(식자재단가!$B$4:$B$203,MATCH(C62,식자재단가!$C$4:$C$203,0)),""))</f>
        <v>주류</v>
      </c>
      <c r="C62" s="80" t="s">
        <v>569</v>
      </c>
      <c r="D62" s="59" t="str">
        <f aca="false">IF(C62="","",IFERROR(INDEX(식자재단가!$F$4:$F$203,MATCH(C62,식자재단가!$C$4:$C$203,0)),""))</f>
        <v>병</v>
      </c>
      <c r="E62" s="84" t="n">
        <f aca="false">IF(C62="",0,IFERROR(INDEX(식자재단가!$G$4:$G$203,MATCH(C62,식자재단가!$C$4:$C$203,0)),0))</f>
        <v>2000</v>
      </c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1" t="n">
        <f aca="false">N(INDEX(F62:R62,1,기본설정!$C$5+1))</f>
        <v>0</v>
      </c>
      <c r="T62" s="28" t="n">
        <f aca="false">S62*E62</f>
        <v>0</v>
      </c>
      <c r="U62" s="71" t="n">
        <f aca="false">N(INDEX(F62:R62,1,기본설정!$C$5))</f>
        <v>0</v>
      </c>
      <c r="V62" s="28" t="n">
        <f aca="false">U62*E62</f>
        <v>0</v>
      </c>
      <c r="W62" s="59" t="str">
        <f aca="false">IF(B62="","",IFERROR(INDEX(기본설정!$H$4:$H$14,MATCH(B62,기본설정!$G$4:$G$14,0)),""))</f>
        <v>주류·음료</v>
      </c>
    </row>
    <row r="63" customFormat="false" ht="15" hidden="false" customHeight="false" outlineLevel="0" collapsed="false">
      <c r="A63" s="83" t="str">
        <f aca="false">기본설정!$E$5</f>
        <v>판교점</v>
      </c>
      <c r="B63" s="81" t="str">
        <f aca="false">IF(C63="","",IFERROR(INDEX(식자재단가!$B$4:$B$203,MATCH(C63,식자재단가!$C$4:$C$203,0)),""))</f>
        <v>주류</v>
      </c>
      <c r="C63" s="80" t="s">
        <v>572</v>
      </c>
      <c r="D63" s="59" t="str">
        <f aca="false">IF(C63="","",IFERROR(INDEX(식자재단가!$F$4:$F$203,MATCH(C63,식자재단가!$C$4:$C$203,0)),""))</f>
        <v>병</v>
      </c>
      <c r="E63" s="84" t="n">
        <f aca="false">IF(C63="",0,IFERROR(INDEX(식자재단가!$G$4:$G$203,MATCH(C63,식자재단가!$C$4:$C$203,0)),0))</f>
        <v>26000</v>
      </c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1" t="n">
        <f aca="false">N(INDEX(F63:R63,1,기본설정!$C$5+1))</f>
        <v>0</v>
      </c>
      <c r="T63" s="28" t="n">
        <f aca="false">S63*E63</f>
        <v>0</v>
      </c>
      <c r="U63" s="71" t="n">
        <f aca="false">N(INDEX(F63:R63,1,기본설정!$C$5))</f>
        <v>0</v>
      </c>
      <c r="V63" s="28" t="n">
        <f aca="false">U63*E63</f>
        <v>0</v>
      </c>
      <c r="W63" s="59" t="str">
        <f aca="false">IF(B63="","",IFERROR(INDEX(기본설정!$H$4:$H$14,MATCH(B63,기본설정!$G$4:$G$14,0)),""))</f>
        <v>주류·음료</v>
      </c>
    </row>
    <row r="64" customFormat="false" ht="15" hidden="false" customHeight="false" outlineLevel="0" collapsed="false">
      <c r="A64" s="83" t="str">
        <f aca="false">기본설정!$E$5</f>
        <v>판교점</v>
      </c>
      <c r="B64" s="81" t="str">
        <f aca="false">IF(C64="","",IFERROR(INDEX(식자재단가!$B$4:$B$203,MATCH(C64,식자재단가!$C$4:$C$203,0)),""))</f>
        <v>주류</v>
      </c>
      <c r="C64" s="80" t="s">
        <v>575</v>
      </c>
      <c r="D64" s="59" t="str">
        <f aca="false">IF(C64="","",IFERROR(INDEX(식자재단가!$F$4:$F$203,MATCH(C64,식자재단가!$C$4:$C$203,0)),""))</f>
        <v>병</v>
      </c>
      <c r="E64" s="84" t="n">
        <f aca="false">IF(C64="",0,IFERROR(INDEX(식자재단가!$G$4:$G$203,MATCH(C64,식자재단가!$C$4:$C$203,0)),0))</f>
        <v>28000</v>
      </c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1" t="n">
        <f aca="false">N(INDEX(F64:R64,1,기본설정!$C$5+1))</f>
        <v>0</v>
      </c>
      <c r="T64" s="28" t="n">
        <f aca="false">S64*E64</f>
        <v>0</v>
      </c>
      <c r="U64" s="71" t="n">
        <f aca="false">N(INDEX(F64:R64,1,기본설정!$C$5))</f>
        <v>0</v>
      </c>
      <c r="V64" s="28" t="n">
        <f aca="false">U64*E64</f>
        <v>0</v>
      </c>
      <c r="W64" s="59" t="str">
        <f aca="false">IF(B64="","",IFERROR(INDEX(기본설정!$H$4:$H$14,MATCH(B64,기본설정!$G$4:$G$14,0)),""))</f>
        <v>주류·음료</v>
      </c>
    </row>
    <row r="65" customFormat="false" ht="15" hidden="false" customHeight="false" outlineLevel="0" collapsed="false">
      <c r="A65" s="83" t="str">
        <f aca="false">기본설정!$E$5</f>
        <v>판교점</v>
      </c>
      <c r="B65" s="81" t="str">
        <f aca="false">IF(C65="","",IFERROR(INDEX(식자재단가!$B$4:$B$203,MATCH(C65,식자재단가!$C$4:$C$203,0)),""))</f>
        <v>주류</v>
      </c>
      <c r="C65" s="80" t="s">
        <v>577</v>
      </c>
      <c r="D65" s="59" t="str">
        <f aca="false">IF(C65="","",IFERROR(INDEX(식자재단가!$F$4:$F$203,MATCH(C65,식자재단가!$C$4:$C$203,0)),""))</f>
        <v>병</v>
      </c>
      <c r="E65" s="84" t="n">
        <f aca="false">IF(C65="",0,IFERROR(INDEX(식자재단가!$G$4:$G$203,MATCH(C65,식자재단가!$C$4:$C$203,0)),0))</f>
        <v>22000</v>
      </c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1" t="n">
        <f aca="false">N(INDEX(F65:R65,1,기본설정!$C$5+1))</f>
        <v>0</v>
      </c>
      <c r="T65" s="28" t="n">
        <f aca="false">S65*E65</f>
        <v>0</v>
      </c>
      <c r="U65" s="71" t="n">
        <f aca="false">N(INDEX(F65:R65,1,기본설정!$C$5))</f>
        <v>0</v>
      </c>
      <c r="V65" s="28" t="n">
        <f aca="false">U65*E65</f>
        <v>0</v>
      </c>
      <c r="W65" s="59" t="str">
        <f aca="false">IF(B65="","",IFERROR(INDEX(기본설정!$H$4:$H$14,MATCH(B65,기본설정!$G$4:$G$14,0)),""))</f>
        <v>주류·음료</v>
      </c>
    </row>
    <row r="66" customFormat="false" ht="15" hidden="false" customHeight="false" outlineLevel="0" collapsed="false">
      <c r="A66" s="83" t="str">
        <f aca="false">기본설정!$E$5</f>
        <v>판교점</v>
      </c>
      <c r="B66" s="81" t="str">
        <f aca="false">IF(C66="","",IFERROR(INDEX(식자재단가!$B$4:$B$203,MATCH(C66,식자재단가!$C$4:$C$203,0)),""))</f>
        <v>주류</v>
      </c>
      <c r="C66" s="80" t="s">
        <v>579</v>
      </c>
      <c r="D66" s="59" t="str">
        <f aca="false">IF(C66="","",IFERROR(INDEX(식자재단가!$F$4:$F$203,MATCH(C66,식자재단가!$C$4:$C$203,0)),""))</f>
        <v>병</v>
      </c>
      <c r="E66" s="84" t="n">
        <f aca="false">IF(C66="",0,IFERROR(INDEX(식자재단가!$G$4:$G$203,MATCH(C66,식자재단가!$C$4:$C$203,0)),0))</f>
        <v>16000</v>
      </c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1" t="n">
        <f aca="false">N(INDEX(F66:R66,1,기본설정!$C$5+1))</f>
        <v>0</v>
      </c>
      <c r="T66" s="28" t="n">
        <f aca="false">S66*E66</f>
        <v>0</v>
      </c>
      <c r="U66" s="71" t="n">
        <f aca="false">N(INDEX(F66:R66,1,기본설정!$C$5))</f>
        <v>0</v>
      </c>
      <c r="V66" s="28" t="n">
        <f aca="false">U66*E66</f>
        <v>0</v>
      </c>
      <c r="W66" s="59" t="str">
        <f aca="false">IF(B66="","",IFERROR(INDEX(기본설정!$H$4:$H$14,MATCH(B66,기본설정!$G$4:$G$14,0)),""))</f>
        <v>주류·음료</v>
      </c>
    </row>
    <row r="67" customFormat="false" ht="15" hidden="false" customHeight="false" outlineLevel="0" collapsed="false">
      <c r="A67" s="83" t="str">
        <f aca="false">기본설정!$E$5</f>
        <v>판교점</v>
      </c>
      <c r="B67" s="81" t="str">
        <f aca="false">IF(C67="","",IFERROR(INDEX(식자재단가!$B$4:$B$203,MATCH(C67,식자재단가!$C$4:$C$203,0)),""))</f>
        <v>주류</v>
      </c>
      <c r="C67" s="80" t="s">
        <v>581</v>
      </c>
      <c r="D67" s="59" t="str">
        <f aca="false">IF(C67="","",IFERROR(INDEX(식자재단가!$F$4:$F$203,MATCH(C67,식자재단가!$C$4:$C$203,0)),""))</f>
        <v>병</v>
      </c>
      <c r="E67" s="84" t="n">
        <f aca="false">IF(C67="",0,IFERROR(INDEX(식자재단가!$G$4:$G$203,MATCH(C67,식자재단가!$C$4:$C$203,0)),0))</f>
        <v>30000</v>
      </c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1" t="n">
        <f aca="false">N(INDEX(F67:R67,1,기본설정!$C$5+1))</f>
        <v>0</v>
      </c>
      <c r="T67" s="28" t="n">
        <f aca="false">S67*E67</f>
        <v>0</v>
      </c>
      <c r="U67" s="71" t="n">
        <f aca="false">N(INDEX(F67:R67,1,기본설정!$C$5))</f>
        <v>0</v>
      </c>
      <c r="V67" s="28" t="n">
        <f aca="false">U67*E67</f>
        <v>0</v>
      </c>
      <c r="W67" s="59" t="str">
        <f aca="false">IF(B67="","",IFERROR(INDEX(기본설정!$H$4:$H$14,MATCH(B67,기본설정!$G$4:$G$14,0)),""))</f>
        <v>주류·음료</v>
      </c>
    </row>
    <row r="68" customFormat="false" ht="15" hidden="false" customHeight="false" outlineLevel="0" collapsed="false">
      <c r="A68" s="83" t="str">
        <f aca="false">기본설정!$E$5</f>
        <v>판교점</v>
      </c>
      <c r="B68" s="81" t="str">
        <f aca="false">IF(C68="","",IFERROR(INDEX(식자재단가!$B$4:$B$203,MATCH(C68,식자재단가!$C$4:$C$203,0)),""))</f>
        <v>주류</v>
      </c>
      <c r="C68" s="80" t="s">
        <v>583</v>
      </c>
      <c r="D68" s="59" t="str">
        <f aca="false">IF(C68="","",IFERROR(INDEX(식자재단가!$F$4:$F$203,MATCH(C68,식자재단가!$C$4:$C$203,0)),""))</f>
        <v>병</v>
      </c>
      <c r="E68" s="84" t="n">
        <f aca="false">IF(C68="",0,IFERROR(INDEX(식자재단가!$G$4:$G$203,MATCH(C68,식자재단가!$C$4:$C$203,0)),0))</f>
        <v>12000</v>
      </c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1" t="n">
        <f aca="false">N(INDEX(F68:R68,1,기본설정!$C$5+1))</f>
        <v>0</v>
      </c>
      <c r="T68" s="28" t="n">
        <f aca="false">S68*E68</f>
        <v>0</v>
      </c>
      <c r="U68" s="71" t="n">
        <f aca="false">N(INDEX(F68:R68,1,기본설정!$C$5))</f>
        <v>0</v>
      </c>
      <c r="V68" s="28" t="n">
        <f aca="false">U68*E68</f>
        <v>0</v>
      </c>
      <c r="W68" s="59" t="str">
        <f aca="false">IF(B68="","",IFERROR(INDEX(기본설정!$H$4:$H$14,MATCH(B68,기본설정!$G$4:$G$14,0)),""))</f>
        <v>주류·음료</v>
      </c>
    </row>
    <row r="69" customFormat="false" ht="15" hidden="false" customHeight="false" outlineLevel="0" collapsed="false">
      <c r="A69" s="83" t="str">
        <f aca="false">기본설정!$E$5</f>
        <v>판교점</v>
      </c>
      <c r="B69" s="81" t="str">
        <f aca="false">IF(C69="","",IFERROR(INDEX(식자재단가!$B$4:$B$203,MATCH(C69,식자재단가!$C$4:$C$203,0)),""))</f>
        <v>음료·얼음</v>
      </c>
      <c r="C69" s="80" t="s">
        <v>586</v>
      </c>
      <c r="D69" s="59" t="str">
        <f aca="false">IF(C69="","",IFERROR(INDEX(식자재단가!$F$4:$F$203,MATCH(C69,식자재단가!$C$4:$C$203,0)),""))</f>
        <v>병</v>
      </c>
      <c r="E69" s="84" t="n">
        <f aca="false">IF(C69="",0,IFERROR(INDEX(식자재단가!$G$4:$G$203,MATCH(C69,식자재단가!$C$4:$C$203,0)),0))</f>
        <v>1500</v>
      </c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1" t="n">
        <f aca="false">N(INDEX(F69:R69,1,기본설정!$C$5+1))</f>
        <v>0</v>
      </c>
      <c r="T69" s="28" t="n">
        <f aca="false">S69*E69</f>
        <v>0</v>
      </c>
      <c r="U69" s="71" t="n">
        <f aca="false">N(INDEX(F69:R69,1,기본설정!$C$5))</f>
        <v>0</v>
      </c>
      <c r="V69" s="28" t="n">
        <f aca="false">U69*E69</f>
        <v>0</v>
      </c>
      <c r="W69" s="59" t="str">
        <f aca="false">IF(B69="","",IFERROR(INDEX(기본설정!$H$4:$H$14,MATCH(B69,기본설정!$G$4:$G$14,0)),""))</f>
        <v>주류·음료</v>
      </c>
    </row>
    <row r="70" customFormat="false" ht="15" hidden="false" customHeight="false" outlineLevel="0" collapsed="false">
      <c r="A70" s="83" t="str">
        <f aca="false">기본설정!$E$5</f>
        <v>판교점</v>
      </c>
      <c r="B70" s="81" t="str">
        <f aca="false">IF(C70="","",IFERROR(INDEX(식자재단가!$B$4:$B$203,MATCH(C70,식자재단가!$C$4:$C$203,0)),""))</f>
        <v>음료·얼음</v>
      </c>
      <c r="C70" s="80" t="s">
        <v>588</v>
      </c>
      <c r="D70" s="59" t="str">
        <f aca="false">IF(C70="","",IFERROR(INDEX(식자재단가!$F$4:$F$203,MATCH(C70,식자재단가!$C$4:$C$203,0)),""))</f>
        <v>캔</v>
      </c>
      <c r="E70" s="84" t="n">
        <f aca="false">IF(C70="",0,IFERROR(INDEX(식자재단가!$G$4:$G$203,MATCH(C70,식자재단가!$C$4:$C$203,0)),0))</f>
        <v>900</v>
      </c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1" t="n">
        <f aca="false">N(INDEX(F70:R70,1,기본설정!$C$5+1))</f>
        <v>0</v>
      </c>
      <c r="T70" s="28" t="n">
        <f aca="false">S70*E70</f>
        <v>0</v>
      </c>
      <c r="U70" s="71" t="n">
        <f aca="false">N(INDEX(F70:R70,1,기본설정!$C$5))</f>
        <v>0</v>
      </c>
      <c r="V70" s="28" t="n">
        <f aca="false">U70*E70</f>
        <v>0</v>
      </c>
      <c r="W70" s="59" t="str">
        <f aca="false">IF(B70="","",IFERROR(INDEX(기본설정!$H$4:$H$14,MATCH(B70,기본설정!$G$4:$G$14,0)),""))</f>
        <v>주류·음료</v>
      </c>
    </row>
    <row r="71" customFormat="false" ht="15" hidden="false" customHeight="false" outlineLevel="0" collapsed="false">
      <c r="A71" s="83" t="str">
        <f aca="false">기본설정!$E$5</f>
        <v>판교점</v>
      </c>
      <c r="B71" s="81" t="str">
        <f aca="false">IF(C71="","",IFERROR(INDEX(식자재단가!$B$4:$B$203,MATCH(C71,식자재단가!$C$4:$C$203,0)),""))</f>
        <v>음료·얼음</v>
      </c>
      <c r="C71" s="80" t="s">
        <v>591</v>
      </c>
      <c r="D71" s="59" t="str">
        <f aca="false">IF(C71="","",IFERROR(INDEX(식자재단가!$F$4:$F$203,MATCH(C71,식자재단가!$C$4:$C$203,0)),""))</f>
        <v>캔</v>
      </c>
      <c r="E71" s="84" t="n">
        <f aca="false">IF(C71="",0,IFERROR(INDEX(식자재단가!$G$4:$G$203,MATCH(C71,식자재단가!$C$4:$C$203,0)),0))</f>
        <v>900</v>
      </c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1" t="n">
        <f aca="false">N(INDEX(F71:R71,1,기본설정!$C$5+1))</f>
        <v>0</v>
      </c>
      <c r="T71" s="28" t="n">
        <f aca="false">S71*E71</f>
        <v>0</v>
      </c>
      <c r="U71" s="71" t="n">
        <f aca="false">N(INDEX(F71:R71,1,기본설정!$C$5))</f>
        <v>0</v>
      </c>
      <c r="V71" s="28" t="n">
        <f aca="false">U71*E71</f>
        <v>0</v>
      </c>
      <c r="W71" s="59" t="str">
        <f aca="false">IF(B71="","",IFERROR(INDEX(기본설정!$H$4:$H$14,MATCH(B71,기본설정!$G$4:$G$14,0)),""))</f>
        <v>주류·음료</v>
      </c>
    </row>
    <row r="72" customFormat="false" ht="15" hidden="false" customHeight="false" outlineLevel="0" collapsed="false">
      <c r="A72" s="83" t="str">
        <f aca="false">기본설정!$E$5</f>
        <v>판교점</v>
      </c>
      <c r="B72" s="81" t="str">
        <f aca="false">IF(C72="","",IFERROR(INDEX(식자재단가!$B$4:$B$203,MATCH(C72,식자재단가!$C$4:$C$203,0)),""))</f>
        <v>음료·얼음</v>
      </c>
      <c r="C72" s="80" t="s">
        <v>593</v>
      </c>
      <c r="D72" s="59" t="str">
        <f aca="false">IF(C72="","",IFERROR(INDEX(식자재단가!$F$4:$F$203,MATCH(C72,식자재단가!$C$4:$C$203,0)),""))</f>
        <v>봉</v>
      </c>
      <c r="E72" s="84" t="n">
        <f aca="false">IF(C72="",0,IFERROR(INDEX(식자재단가!$G$4:$G$203,MATCH(C72,식자재단가!$C$4:$C$203,0)),0))</f>
        <v>3000</v>
      </c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1" t="n">
        <f aca="false">N(INDEX(F72:R72,1,기본설정!$C$5+1))</f>
        <v>0</v>
      </c>
      <c r="T72" s="28" t="n">
        <f aca="false">S72*E72</f>
        <v>0</v>
      </c>
      <c r="U72" s="71" t="n">
        <f aca="false">N(INDEX(F72:R72,1,기본설정!$C$5))</f>
        <v>0</v>
      </c>
      <c r="V72" s="28" t="n">
        <f aca="false">U72*E72</f>
        <v>0</v>
      </c>
      <c r="W72" s="59" t="str">
        <f aca="false">IF(B72="","",IFERROR(INDEX(기본설정!$H$4:$H$14,MATCH(B72,기본설정!$G$4:$G$14,0)),""))</f>
        <v>주류·음료</v>
      </c>
    </row>
    <row r="73" customFormat="false" ht="15" hidden="false" customHeight="false" outlineLevel="0" collapsed="false">
      <c r="A73" s="83" t="str">
        <f aca="false">기본설정!$E$5</f>
        <v>판교점</v>
      </c>
      <c r="B73" s="81" t="str">
        <f aca="false">IF(C73="","",IFERROR(INDEX(식자재단가!$B$4:$B$203,MATCH(C73,식자재단가!$C$4:$C$203,0)),""))</f>
        <v>숯·소모품·포장</v>
      </c>
      <c r="C73" s="80" t="s">
        <v>595</v>
      </c>
      <c r="D73" s="59" t="str">
        <f aca="false">IF(C73="","",IFERROR(INDEX(식자재단가!$F$4:$F$203,MATCH(C73,식자재단가!$C$4:$C$203,0)),""))</f>
        <v>박스</v>
      </c>
      <c r="E73" s="84" t="n">
        <f aca="false">IF(C73="",0,IFERROR(INDEX(식자재단가!$G$4:$G$203,MATCH(C73,식자재단가!$C$4:$C$203,0)),0))</f>
        <v>25000</v>
      </c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1" t="n">
        <f aca="false">N(INDEX(F73:R73,1,기본설정!$C$5+1))</f>
        <v>0</v>
      </c>
      <c r="T73" s="28" t="n">
        <f aca="false">S73*E73</f>
        <v>0</v>
      </c>
      <c r="U73" s="71" t="n">
        <f aca="false">N(INDEX(F73:R73,1,기본설정!$C$5))</f>
        <v>0</v>
      </c>
      <c r="V73" s="28" t="n">
        <f aca="false">U73*E73</f>
        <v>0</v>
      </c>
      <c r="W73" s="59" t="str">
        <f aca="false">IF(B73="","",IFERROR(INDEX(기본설정!$H$4:$H$14,MATCH(B73,기본설정!$G$4:$G$14,0)),""))</f>
        <v>소모품</v>
      </c>
    </row>
    <row r="74" customFormat="false" ht="15" hidden="false" customHeight="false" outlineLevel="0" collapsed="false">
      <c r="A74" s="83" t="str">
        <f aca="false">기본설정!$E$5</f>
        <v>판교점</v>
      </c>
      <c r="B74" s="81" t="str">
        <f aca="false">IF(C74="","",IFERROR(INDEX(식자재단가!$B$4:$B$203,MATCH(C74,식자재단가!$C$4:$C$203,0)),""))</f>
        <v>숯·소모품·포장</v>
      </c>
      <c r="C74" s="80" t="s">
        <v>599</v>
      </c>
      <c r="D74" s="59" t="str">
        <f aca="false">IF(C74="","",IFERROR(INDEX(식자재단가!$F$4:$F$203,MATCH(C74,식자재단가!$C$4:$C$203,0)),""))</f>
        <v>박스</v>
      </c>
      <c r="E74" s="84" t="n">
        <f aca="false">IF(C74="",0,IFERROR(INDEX(식자재단가!$G$4:$G$203,MATCH(C74,식자재단가!$C$4:$C$203,0)),0))</f>
        <v>20000</v>
      </c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1" t="n">
        <f aca="false">N(INDEX(F74:R74,1,기본설정!$C$5+1))</f>
        <v>0</v>
      </c>
      <c r="T74" s="28" t="n">
        <f aca="false">S74*E74</f>
        <v>0</v>
      </c>
      <c r="U74" s="71" t="n">
        <f aca="false">N(INDEX(F74:R74,1,기본설정!$C$5))</f>
        <v>0</v>
      </c>
      <c r="V74" s="28" t="n">
        <f aca="false">U74*E74</f>
        <v>0</v>
      </c>
      <c r="W74" s="59" t="str">
        <f aca="false">IF(B74="","",IFERROR(INDEX(기본설정!$H$4:$H$14,MATCH(B74,기본설정!$G$4:$G$14,0)),""))</f>
        <v>소모품</v>
      </c>
    </row>
    <row r="75" customFormat="false" ht="15" hidden="false" customHeight="false" outlineLevel="0" collapsed="false">
      <c r="A75" s="83" t="str">
        <f aca="false">기본설정!$E$5</f>
        <v>판교점</v>
      </c>
      <c r="B75" s="81" t="str">
        <f aca="false">IF(C75="","",IFERROR(INDEX(식자재단가!$B$4:$B$203,MATCH(C75,식자재단가!$C$4:$C$203,0)),""))</f>
        <v>숯·소모품·포장</v>
      </c>
      <c r="C75" s="80" t="s">
        <v>603</v>
      </c>
      <c r="D75" s="59" t="str">
        <f aca="false">IF(C75="","",IFERROR(INDEX(식자재단가!$F$4:$F$203,MATCH(C75,식자재단가!$C$4:$C$203,0)),""))</f>
        <v>박스</v>
      </c>
      <c r="E75" s="84" t="n">
        <f aca="false">IF(C75="",0,IFERROR(INDEX(식자재단가!$G$4:$G$203,MATCH(C75,식자재단가!$C$4:$C$203,0)),0))</f>
        <v>8000</v>
      </c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1" t="n">
        <f aca="false">N(INDEX(F75:R75,1,기본설정!$C$5+1))</f>
        <v>0</v>
      </c>
      <c r="T75" s="28" t="n">
        <f aca="false">S75*E75</f>
        <v>0</v>
      </c>
      <c r="U75" s="71" t="n">
        <f aca="false">N(INDEX(F75:R75,1,기본설정!$C$5))</f>
        <v>0</v>
      </c>
      <c r="V75" s="28" t="n">
        <f aca="false">U75*E75</f>
        <v>0</v>
      </c>
      <c r="W75" s="59" t="str">
        <f aca="false">IF(B75="","",IFERROR(INDEX(기본설정!$H$4:$H$14,MATCH(B75,기본설정!$G$4:$G$14,0)),""))</f>
        <v>소모품</v>
      </c>
    </row>
    <row r="76" customFormat="false" ht="15" hidden="false" customHeight="false" outlineLevel="0" collapsed="false">
      <c r="A76" s="83" t="str">
        <f aca="false">기본설정!$E$5</f>
        <v>판교점</v>
      </c>
      <c r="B76" s="81" t="str">
        <f aca="false">IF(C76="","",IFERROR(INDEX(식자재단가!$B$4:$B$203,MATCH(C76,식자재단가!$C$4:$C$203,0)),""))</f>
        <v>숯·소모품·포장</v>
      </c>
      <c r="C76" s="80" t="s">
        <v>606</v>
      </c>
      <c r="D76" s="59" t="str">
        <f aca="false">IF(C76="","",IFERROR(INDEX(식자재단가!$F$4:$F$203,MATCH(C76,식자재단가!$C$4:$C$203,0)),""))</f>
        <v>박스</v>
      </c>
      <c r="E76" s="84" t="n">
        <f aca="false">IF(C76="",0,IFERROR(INDEX(식자재단가!$G$4:$G$203,MATCH(C76,식자재단가!$C$4:$C$203,0)),0))</f>
        <v>25000</v>
      </c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1" t="n">
        <f aca="false">N(INDEX(F76:R76,1,기본설정!$C$5+1))</f>
        <v>0</v>
      </c>
      <c r="T76" s="28" t="n">
        <f aca="false">S76*E76</f>
        <v>0</v>
      </c>
      <c r="U76" s="71" t="n">
        <f aca="false">N(INDEX(F76:R76,1,기본설정!$C$5))</f>
        <v>0</v>
      </c>
      <c r="V76" s="28" t="n">
        <f aca="false">U76*E76</f>
        <v>0</v>
      </c>
      <c r="W76" s="59" t="str">
        <f aca="false">IF(B76="","",IFERROR(INDEX(기본설정!$H$4:$H$14,MATCH(B76,기본설정!$G$4:$G$14,0)),""))</f>
        <v>소모품</v>
      </c>
    </row>
    <row r="77" customFormat="false" ht="15" hidden="false" customHeight="false" outlineLevel="0" collapsed="false">
      <c r="A77" s="83" t="str">
        <f aca="false">기본설정!$E$6</f>
        <v>모란점</v>
      </c>
      <c r="B77" s="81" t="str">
        <f aca="false">IF(C77="","",IFERROR(INDEX(식자재단가!$B$4:$B$203,MATCH(C77,식자재단가!$C$4:$C$203,0)),""))</f>
        <v>양고기</v>
      </c>
      <c r="C77" s="80" t="s">
        <v>415</v>
      </c>
      <c r="D77" s="59" t="str">
        <f aca="false">IF(C77="","",IFERROR(INDEX(식자재단가!$F$4:$F$203,MATCH(C77,식자재단가!$C$4:$C$203,0)),""))</f>
        <v>kg</v>
      </c>
      <c r="E77" s="84" t="n">
        <f aca="false">IF(C77="",0,IFERROR(INDEX(식자재단가!$G$4:$G$203,MATCH(C77,식자재단가!$C$4:$C$203,0)),0))</f>
        <v>14000</v>
      </c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1" t="n">
        <f aca="false">N(INDEX(F77:R77,1,기본설정!$C$5+1))</f>
        <v>0</v>
      </c>
      <c r="T77" s="28" t="n">
        <f aca="false">S77*E77</f>
        <v>0</v>
      </c>
      <c r="U77" s="71" t="n">
        <f aca="false">N(INDEX(F77:R77,1,기본설정!$C$5))</f>
        <v>0</v>
      </c>
      <c r="V77" s="28" t="n">
        <f aca="false">U77*E77</f>
        <v>0</v>
      </c>
      <c r="W77" s="59" t="str">
        <f aca="false">IF(B77="","",IFERROR(INDEX(기본설정!$H$4:$H$14,MATCH(B77,기본설정!$G$4:$G$14,0)),""))</f>
        <v>식재료</v>
      </c>
    </row>
    <row r="78" customFormat="false" ht="15" hidden="false" customHeight="false" outlineLevel="0" collapsed="false">
      <c r="A78" s="83" t="str">
        <f aca="false">기본설정!$E$6</f>
        <v>모란점</v>
      </c>
      <c r="B78" s="81" t="str">
        <f aca="false">IF(C78="","",IFERROR(INDEX(식자재단가!$B$4:$B$203,MATCH(C78,식자재단가!$C$4:$C$203,0)),""))</f>
        <v>양고기</v>
      </c>
      <c r="C78" s="80" t="s">
        <v>421</v>
      </c>
      <c r="D78" s="59" t="str">
        <f aca="false">IF(C78="","",IFERROR(INDEX(식자재단가!$F$4:$F$203,MATCH(C78,식자재단가!$C$4:$C$203,0)),""))</f>
        <v>kg</v>
      </c>
      <c r="E78" s="84" t="n">
        <f aca="false">IF(C78="",0,IFERROR(INDEX(식자재단가!$G$4:$G$203,MATCH(C78,식자재단가!$C$4:$C$203,0)),0))</f>
        <v>32000</v>
      </c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1" t="n">
        <f aca="false">N(INDEX(F78:R78,1,기본설정!$C$5+1))</f>
        <v>0</v>
      </c>
      <c r="T78" s="28" t="n">
        <f aca="false">S78*E78</f>
        <v>0</v>
      </c>
      <c r="U78" s="71" t="n">
        <f aca="false">N(INDEX(F78:R78,1,기본설정!$C$5))</f>
        <v>0</v>
      </c>
      <c r="V78" s="28" t="n">
        <f aca="false">U78*E78</f>
        <v>0</v>
      </c>
      <c r="W78" s="59" t="str">
        <f aca="false">IF(B78="","",IFERROR(INDEX(기본설정!$H$4:$H$14,MATCH(B78,기본설정!$G$4:$G$14,0)),""))</f>
        <v>식재료</v>
      </c>
    </row>
    <row r="79" customFormat="false" ht="15" hidden="false" customHeight="false" outlineLevel="0" collapsed="false">
      <c r="A79" s="83" t="str">
        <f aca="false">기본설정!$E$6</f>
        <v>모란점</v>
      </c>
      <c r="B79" s="81" t="str">
        <f aca="false">IF(C79="","",IFERROR(INDEX(식자재단가!$B$4:$B$203,MATCH(C79,식자재단가!$C$4:$C$203,0)),""))</f>
        <v>양고기</v>
      </c>
      <c r="C79" s="80" t="s">
        <v>423</v>
      </c>
      <c r="D79" s="59" t="str">
        <f aca="false">IF(C79="","",IFERROR(INDEX(식자재단가!$F$4:$F$203,MATCH(C79,식자재단가!$C$4:$C$203,0)),""))</f>
        <v>박스</v>
      </c>
      <c r="E79" s="84" t="n">
        <f aca="false">IF(C79="",0,IFERROR(INDEX(식자재단가!$G$4:$G$203,MATCH(C79,식자재단가!$C$4:$C$203,0)),0))</f>
        <v>45000</v>
      </c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1" t="n">
        <f aca="false">N(INDEX(F79:R79,1,기본설정!$C$5+1))</f>
        <v>0</v>
      </c>
      <c r="T79" s="28" t="n">
        <f aca="false">S79*E79</f>
        <v>0</v>
      </c>
      <c r="U79" s="71" t="n">
        <f aca="false">N(INDEX(F79:R79,1,기본설정!$C$5))</f>
        <v>0</v>
      </c>
      <c r="V79" s="28" t="n">
        <f aca="false">U79*E79</f>
        <v>0</v>
      </c>
      <c r="W79" s="59" t="str">
        <f aca="false">IF(B79="","",IFERROR(INDEX(기본설정!$H$4:$H$14,MATCH(B79,기본설정!$G$4:$G$14,0)),""))</f>
        <v>식재료</v>
      </c>
    </row>
    <row r="80" customFormat="false" ht="15" hidden="false" customHeight="false" outlineLevel="0" collapsed="false">
      <c r="A80" s="83" t="str">
        <f aca="false">기본설정!$E$6</f>
        <v>모란점</v>
      </c>
      <c r="B80" s="81" t="str">
        <f aca="false">IF(C80="","",IFERROR(INDEX(식자재단가!$B$4:$B$203,MATCH(C80,식자재단가!$C$4:$C$203,0)),""))</f>
        <v>양고기</v>
      </c>
      <c r="C80" s="80" t="s">
        <v>429</v>
      </c>
      <c r="D80" s="59" t="str">
        <f aca="false">IF(C80="","",IFERROR(INDEX(식자재단가!$F$4:$F$203,MATCH(C80,식자재단가!$C$4:$C$203,0)),""))</f>
        <v>박스</v>
      </c>
      <c r="E80" s="84" t="n">
        <f aca="false">IF(C80="",0,IFERROR(INDEX(식자재단가!$G$4:$G$203,MATCH(C80,식자재단가!$C$4:$C$203,0)),0))</f>
        <v>52000</v>
      </c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1" t="n">
        <f aca="false">N(INDEX(F80:R80,1,기본설정!$C$5+1))</f>
        <v>0</v>
      </c>
      <c r="T80" s="28" t="n">
        <f aca="false">S80*E80</f>
        <v>0</v>
      </c>
      <c r="U80" s="71" t="n">
        <f aca="false">N(INDEX(F80:R80,1,기본설정!$C$5))</f>
        <v>0</v>
      </c>
      <c r="V80" s="28" t="n">
        <f aca="false">U80*E80</f>
        <v>0</v>
      </c>
      <c r="W80" s="59" t="str">
        <f aca="false">IF(B80="","",IFERROR(INDEX(기본설정!$H$4:$H$14,MATCH(B80,기본설정!$G$4:$G$14,0)),""))</f>
        <v>식재료</v>
      </c>
    </row>
    <row r="81" customFormat="false" ht="15" hidden="false" customHeight="false" outlineLevel="0" collapsed="false">
      <c r="A81" s="83" t="str">
        <f aca="false">기본설정!$E$6</f>
        <v>모란점</v>
      </c>
      <c r="B81" s="81" t="str">
        <f aca="false">IF(C81="","",IFERROR(INDEX(식자재단가!$B$4:$B$203,MATCH(C81,식자재단가!$C$4:$C$203,0)),""))</f>
        <v>양고기</v>
      </c>
      <c r="C81" s="80" t="s">
        <v>431</v>
      </c>
      <c r="D81" s="59" t="str">
        <f aca="false">IF(C81="","",IFERROR(INDEX(식자재단가!$F$4:$F$203,MATCH(C81,식자재단가!$C$4:$C$203,0)),""))</f>
        <v>박스</v>
      </c>
      <c r="E81" s="84" t="n">
        <f aca="false">IF(C81="",0,IFERROR(INDEX(식자재단가!$G$4:$G$203,MATCH(C81,식자재단가!$C$4:$C$203,0)),0))</f>
        <v>62000</v>
      </c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1" t="n">
        <f aca="false">N(INDEX(F81:R81,1,기본설정!$C$5+1))</f>
        <v>0</v>
      </c>
      <c r="T81" s="28" t="n">
        <f aca="false">S81*E81</f>
        <v>0</v>
      </c>
      <c r="U81" s="71" t="n">
        <f aca="false">N(INDEX(F81:R81,1,기본설정!$C$5))</f>
        <v>0</v>
      </c>
      <c r="V81" s="28" t="n">
        <f aca="false">U81*E81</f>
        <v>0</v>
      </c>
      <c r="W81" s="59" t="str">
        <f aca="false">IF(B81="","",IFERROR(INDEX(기본설정!$H$4:$H$14,MATCH(B81,기본설정!$G$4:$G$14,0)),""))</f>
        <v>식재료</v>
      </c>
    </row>
    <row r="82" customFormat="false" ht="15" hidden="false" customHeight="false" outlineLevel="0" collapsed="false">
      <c r="A82" s="83" t="str">
        <f aca="false">기본설정!$E$6</f>
        <v>모란점</v>
      </c>
      <c r="B82" s="81" t="str">
        <f aca="false">IF(C82="","",IFERROR(INDEX(식자재단가!$B$4:$B$203,MATCH(C82,식자재단가!$C$4:$C$203,0)),""))</f>
        <v>양고기</v>
      </c>
      <c r="C82" s="80" t="s">
        <v>433</v>
      </c>
      <c r="D82" s="59" t="str">
        <f aca="false">IF(C82="","",IFERROR(INDEX(식자재단가!$F$4:$F$203,MATCH(C82,식자재단가!$C$4:$C$203,0)),""))</f>
        <v>kg</v>
      </c>
      <c r="E82" s="84" t="n">
        <f aca="false">IF(C82="",0,IFERROR(INDEX(식자재단가!$G$4:$G$203,MATCH(C82,식자재단가!$C$4:$C$203,0)),0))</f>
        <v>18000</v>
      </c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1" t="n">
        <f aca="false">N(INDEX(F82:R82,1,기본설정!$C$5+1))</f>
        <v>0</v>
      </c>
      <c r="T82" s="28" t="n">
        <f aca="false">S82*E82</f>
        <v>0</v>
      </c>
      <c r="U82" s="71" t="n">
        <f aca="false">N(INDEX(F82:R82,1,기본설정!$C$5))</f>
        <v>0</v>
      </c>
      <c r="V82" s="28" t="n">
        <f aca="false">U82*E82</f>
        <v>0</v>
      </c>
      <c r="W82" s="59" t="str">
        <f aca="false">IF(B82="","",IFERROR(INDEX(기본설정!$H$4:$H$14,MATCH(B82,기본설정!$G$4:$G$14,0)),""))</f>
        <v>식재료</v>
      </c>
    </row>
    <row r="83" customFormat="false" ht="15" hidden="false" customHeight="false" outlineLevel="0" collapsed="false">
      <c r="A83" s="83" t="str">
        <f aca="false">기본설정!$E$6</f>
        <v>모란점</v>
      </c>
      <c r="B83" s="81" t="str">
        <f aca="false">IF(C83="","",IFERROR(INDEX(식자재단가!$B$4:$B$203,MATCH(C83,식자재단가!$C$4:$C$203,0)),""))</f>
        <v>기타육류</v>
      </c>
      <c r="C83" s="80" t="s">
        <v>435</v>
      </c>
      <c r="D83" s="59" t="str">
        <f aca="false">IF(C83="","",IFERROR(INDEX(식자재단가!$F$4:$F$203,MATCH(C83,식자재단가!$C$4:$C$203,0)),""))</f>
        <v>kg</v>
      </c>
      <c r="E83" s="84" t="n">
        <f aca="false">IF(C83="",0,IFERROR(INDEX(식자재단가!$G$4:$G$203,MATCH(C83,식자재단가!$C$4:$C$203,0)),0))</f>
        <v>11000</v>
      </c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1" t="n">
        <f aca="false">N(INDEX(F83:R83,1,기본설정!$C$5+1))</f>
        <v>0</v>
      </c>
      <c r="T83" s="28" t="n">
        <f aca="false">S83*E83</f>
        <v>0</v>
      </c>
      <c r="U83" s="71" t="n">
        <f aca="false">N(INDEX(F83:R83,1,기본설정!$C$5))</f>
        <v>0</v>
      </c>
      <c r="V83" s="28" t="n">
        <f aca="false">U83*E83</f>
        <v>0</v>
      </c>
      <c r="W83" s="59" t="str">
        <f aca="false">IF(B83="","",IFERROR(INDEX(기본설정!$H$4:$H$14,MATCH(B83,기본설정!$G$4:$G$14,0)),""))</f>
        <v>식재료</v>
      </c>
    </row>
    <row r="84" customFormat="false" ht="15" hidden="false" customHeight="false" outlineLevel="0" collapsed="false">
      <c r="A84" s="83" t="str">
        <f aca="false">기본설정!$E$6</f>
        <v>모란점</v>
      </c>
      <c r="B84" s="81" t="str">
        <f aca="false">IF(C84="","",IFERROR(INDEX(식자재단가!$B$4:$B$203,MATCH(C84,식자재단가!$C$4:$C$203,0)),""))</f>
        <v>기타육류</v>
      </c>
      <c r="C84" s="80" t="s">
        <v>439</v>
      </c>
      <c r="D84" s="59" t="str">
        <f aca="false">IF(C84="","",IFERROR(INDEX(식자재단가!$F$4:$F$203,MATCH(C84,식자재단가!$C$4:$C$203,0)),""))</f>
        <v>kg</v>
      </c>
      <c r="E84" s="84" t="n">
        <f aca="false">IF(C84="",0,IFERROR(INDEX(식자재단가!$G$4:$G$203,MATCH(C84,식자재단가!$C$4:$C$203,0)),0))</f>
        <v>9000</v>
      </c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1" t="n">
        <f aca="false">N(INDEX(F84:R84,1,기본설정!$C$5+1))</f>
        <v>0</v>
      </c>
      <c r="T84" s="28" t="n">
        <f aca="false">S84*E84</f>
        <v>0</v>
      </c>
      <c r="U84" s="71" t="n">
        <f aca="false">N(INDEX(F84:R84,1,기본설정!$C$5))</f>
        <v>0</v>
      </c>
      <c r="V84" s="28" t="n">
        <f aca="false">U84*E84</f>
        <v>0</v>
      </c>
      <c r="W84" s="59" t="str">
        <f aca="false">IF(B84="","",IFERROR(INDEX(기본설정!$H$4:$H$14,MATCH(B84,기본설정!$G$4:$G$14,0)),""))</f>
        <v>식재료</v>
      </c>
    </row>
    <row r="85" customFormat="false" ht="15" hidden="false" customHeight="false" outlineLevel="0" collapsed="false">
      <c r="A85" s="83" t="str">
        <f aca="false">기본설정!$E$6</f>
        <v>모란점</v>
      </c>
      <c r="B85" s="81" t="str">
        <f aca="false">IF(C85="","",IFERROR(INDEX(식자재단가!$B$4:$B$203,MATCH(C85,식자재단가!$C$4:$C$203,0)),""))</f>
        <v>수산물</v>
      </c>
      <c r="C85" s="80" t="s">
        <v>441</v>
      </c>
      <c r="D85" s="59" t="str">
        <f aca="false">IF(C85="","",IFERROR(INDEX(식자재단가!$F$4:$F$203,MATCH(C85,식자재단가!$C$4:$C$203,0)),""))</f>
        <v>박스</v>
      </c>
      <c r="E85" s="84" t="n">
        <f aca="false">IF(C85="",0,IFERROR(INDEX(식자재단가!$G$4:$G$203,MATCH(C85,식자재단가!$C$4:$C$203,0)),0))</f>
        <v>35000</v>
      </c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1" t="n">
        <f aca="false">N(INDEX(F85:R85,1,기본설정!$C$5+1))</f>
        <v>0</v>
      </c>
      <c r="T85" s="28" t="n">
        <f aca="false">S85*E85</f>
        <v>0</v>
      </c>
      <c r="U85" s="71" t="n">
        <f aca="false">N(INDEX(F85:R85,1,기본설정!$C$5))</f>
        <v>0</v>
      </c>
      <c r="V85" s="28" t="n">
        <f aca="false">U85*E85</f>
        <v>0</v>
      </c>
      <c r="W85" s="59" t="str">
        <f aca="false">IF(B85="","",IFERROR(INDEX(기본설정!$H$4:$H$14,MATCH(B85,기본설정!$G$4:$G$14,0)),""))</f>
        <v>식재료</v>
      </c>
    </row>
    <row r="86" customFormat="false" ht="15" hidden="false" customHeight="false" outlineLevel="0" collapsed="false">
      <c r="A86" s="83" t="str">
        <f aca="false">기본설정!$E$6</f>
        <v>모란점</v>
      </c>
      <c r="B86" s="81" t="str">
        <f aca="false">IF(C86="","",IFERROR(INDEX(식자재단가!$B$4:$B$203,MATCH(C86,식자재단가!$C$4:$C$203,0)),""))</f>
        <v>수산물</v>
      </c>
      <c r="C86" s="80" t="s">
        <v>444</v>
      </c>
      <c r="D86" s="59" t="str">
        <f aca="false">IF(C86="","",IFERROR(INDEX(식자재단가!$F$4:$F$203,MATCH(C86,식자재단가!$C$4:$C$203,0)),""))</f>
        <v>kg</v>
      </c>
      <c r="E86" s="84" t="n">
        <f aca="false">IF(C86="",0,IFERROR(INDEX(식자재단가!$G$4:$G$203,MATCH(C86,식자재단가!$C$4:$C$203,0)),0))</f>
        <v>24000</v>
      </c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1" t="n">
        <f aca="false">N(INDEX(F86:R86,1,기본설정!$C$5+1))</f>
        <v>0</v>
      </c>
      <c r="T86" s="28" t="n">
        <f aca="false">S86*E86</f>
        <v>0</v>
      </c>
      <c r="U86" s="71" t="n">
        <f aca="false">N(INDEX(F86:R86,1,기본설정!$C$5))</f>
        <v>0</v>
      </c>
      <c r="V86" s="28" t="n">
        <f aca="false">U86*E86</f>
        <v>0</v>
      </c>
      <c r="W86" s="59" t="str">
        <f aca="false">IF(B86="","",IFERROR(INDEX(기본설정!$H$4:$H$14,MATCH(B86,기본설정!$G$4:$G$14,0)),""))</f>
        <v>식재료</v>
      </c>
    </row>
    <row r="87" customFormat="false" ht="15" hidden="false" customHeight="false" outlineLevel="0" collapsed="false">
      <c r="A87" s="83" t="str">
        <f aca="false">기본설정!$E$6</f>
        <v>모란점</v>
      </c>
      <c r="B87" s="81" t="str">
        <f aca="false">IF(C87="","",IFERROR(INDEX(식자재단가!$B$4:$B$203,MATCH(C87,식자재단가!$C$4:$C$203,0)),""))</f>
        <v>수산물</v>
      </c>
      <c r="C87" s="80" t="s">
        <v>448</v>
      </c>
      <c r="D87" s="59" t="str">
        <f aca="false">IF(C87="","",IFERROR(INDEX(식자재단가!$F$4:$F$203,MATCH(C87,식자재단가!$C$4:$C$203,0)),""))</f>
        <v>kg</v>
      </c>
      <c r="E87" s="84" t="n">
        <f aca="false">IF(C87="",0,IFERROR(INDEX(식자재단가!$G$4:$G$203,MATCH(C87,식자재단가!$C$4:$C$203,0)),0))</f>
        <v>18000</v>
      </c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1" t="n">
        <f aca="false">N(INDEX(F87:R87,1,기본설정!$C$5+1))</f>
        <v>0</v>
      </c>
      <c r="T87" s="28" t="n">
        <f aca="false">S87*E87</f>
        <v>0</v>
      </c>
      <c r="U87" s="71" t="n">
        <f aca="false">N(INDEX(F87:R87,1,기본설정!$C$5))</f>
        <v>0</v>
      </c>
      <c r="V87" s="28" t="n">
        <f aca="false">U87*E87</f>
        <v>0</v>
      </c>
      <c r="W87" s="59" t="str">
        <f aca="false">IF(B87="","",IFERROR(INDEX(기본설정!$H$4:$H$14,MATCH(B87,기본설정!$G$4:$G$14,0)),""))</f>
        <v>식재료</v>
      </c>
    </row>
    <row r="88" customFormat="false" ht="15" hidden="false" customHeight="false" outlineLevel="0" collapsed="false">
      <c r="A88" s="83" t="str">
        <f aca="false">기본설정!$E$6</f>
        <v>모란점</v>
      </c>
      <c r="B88" s="81" t="str">
        <f aca="false">IF(C88="","",IFERROR(INDEX(식자재단가!$B$4:$B$203,MATCH(C88,식자재단가!$C$4:$C$203,0)),""))</f>
        <v>채소·과일</v>
      </c>
      <c r="C88" s="80" t="s">
        <v>451</v>
      </c>
      <c r="D88" s="59" t="str">
        <f aca="false">IF(C88="","",IFERROR(INDEX(식자재단가!$F$4:$F$203,MATCH(C88,식자재단가!$C$4:$C$203,0)),""))</f>
        <v>kg</v>
      </c>
      <c r="E88" s="84" t="n">
        <f aca="false">IF(C88="",0,IFERROR(INDEX(식자재단가!$G$4:$G$203,MATCH(C88,식자재단가!$C$4:$C$203,0)),0))</f>
        <v>4500</v>
      </c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1" t="n">
        <f aca="false">N(INDEX(F88:R88,1,기본설정!$C$5+1))</f>
        <v>0</v>
      </c>
      <c r="T88" s="28" t="n">
        <f aca="false">S88*E88</f>
        <v>0</v>
      </c>
      <c r="U88" s="71" t="n">
        <f aca="false">N(INDEX(F88:R88,1,기본설정!$C$5))</f>
        <v>0</v>
      </c>
      <c r="V88" s="28" t="n">
        <f aca="false">U88*E88</f>
        <v>0</v>
      </c>
      <c r="W88" s="59" t="str">
        <f aca="false">IF(B88="","",IFERROR(INDEX(기본설정!$H$4:$H$14,MATCH(B88,기본설정!$G$4:$G$14,0)),""))</f>
        <v>식재료</v>
      </c>
    </row>
    <row r="89" customFormat="false" ht="15" hidden="false" customHeight="false" outlineLevel="0" collapsed="false">
      <c r="A89" s="83" t="str">
        <f aca="false">기본설정!$E$6</f>
        <v>모란점</v>
      </c>
      <c r="B89" s="81" t="str">
        <f aca="false">IF(C89="","",IFERROR(INDEX(식자재단가!$B$4:$B$203,MATCH(C89,식자재단가!$C$4:$C$203,0)),""))</f>
        <v>채소·과일</v>
      </c>
      <c r="C89" s="80" t="s">
        <v>454</v>
      </c>
      <c r="D89" s="59" t="str">
        <f aca="false">IF(C89="","",IFERROR(INDEX(식자재단가!$F$4:$F$203,MATCH(C89,식자재단가!$C$4:$C$203,0)),""))</f>
        <v>kg</v>
      </c>
      <c r="E89" s="84" t="n">
        <f aca="false">IF(C89="",0,IFERROR(INDEX(식자재단가!$G$4:$G$203,MATCH(C89,식자재단가!$C$4:$C$203,0)),0))</f>
        <v>5000</v>
      </c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1" t="n">
        <f aca="false">N(INDEX(F89:R89,1,기본설정!$C$5+1))</f>
        <v>0</v>
      </c>
      <c r="T89" s="28" t="n">
        <f aca="false">S89*E89</f>
        <v>0</v>
      </c>
      <c r="U89" s="71" t="n">
        <f aca="false">N(INDEX(F89:R89,1,기본설정!$C$5))</f>
        <v>0</v>
      </c>
      <c r="V89" s="28" t="n">
        <f aca="false">U89*E89</f>
        <v>0</v>
      </c>
      <c r="W89" s="59" t="str">
        <f aca="false">IF(B89="","",IFERROR(INDEX(기본설정!$H$4:$H$14,MATCH(B89,기본설정!$G$4:$G$14,0)),""))</f>
        <v>식재료</v>
      </c>
    </row>
    <row r="90" customFormat="false" ht="15" hidden="false" customHeight="false" outlineLevel="0" collapsed="false">
      <c r="A90" s="83" t="str">
        <f aca="false">기본설정!$E$6</f>
        <v>모란점</v>
      </c>
      <c r="B90" s="81" t="str">
        <f aca="false">IF(C90="","",IFERROR(INDEX(식자재단가!$B$4:$B$203,MATCH(C90,식자재단가!$C$4:$C$203,0)),""))</f>
        <v>채소·과일</v>
      </c>
      <c r="C90" s="80" t="s">
        <v>456</v>
      </c>
      <c r="D90" s="59" t="str">
        <f aca="false">IF(C90="","",IFERROR(INDEX(식자재단가!$F$4:$F$203,MATCH(C90,식자재단가!$C$4:$C$203,0)),""))</f>
        <v>kg</v>
      </c>
      <c r="E90" s="84" t="n">
        <f aca="false">IF(C90="",0,IFERROR(INDEX(식자재단가!$G$4:$G$203,MATCH(C90,식자재단가!$C$4:$C$203,0)),0))</f>
        <v>2500</v>
      </c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1" t="n">
        <f aca="false">N(INDEX(F90:R90,1,기본설정!$C$5+1))</f>
        <v>0</v>
      </c>
      <c r="T90" s="28" t="n">
        <f aca="false">S90*E90</f>
        <v>0</v>
      </c>
      <c r="U90" s="71" t="n">
        <f aca="false">N(INDEX(F90:R90,1,기본설정!$C$5))</f>
        <v>0</v>
      </c>
      <c r="V90" s="28" t="n">
        <f aca="false">U90*E90</f>
        <v>0</v>
      </c>
      <c r="W90" s="59" t="str">
        <f aca="false">IF(B90="","",IFERROR(INDEX(기본설정!$H$4:$H$14,MATCH(B90,기본설정!$G$4:$G$14,0)),""))</f>
        <v>식재료</v>
      </c>
    </row>
    <row r="91" customFormat="false" ht="15" hidden="false" customHeight="false" outlineLevel="0" collapsed="false">
      <c r="A91" s="83" t="str">
        <f aca="false">기본설정!$E$6</f>
        <v>모란점</v>
      </c>
      <c r="B91" s="81" t="str">
        <f aca="false">IF(C91="","",IFERROR(INDEX(식자재단가!$B$4:$B$203,MATCH(C91,식자재단가!$C$4:$C$203,0)),""))</f>
        <v>채소·과일</v>
      </c>
      <c r="C91" s="80" t="s">
        <v>458</v>
      </c>
      <c r="D91" s="59" t="str">
        <f aca="false">IF(C91="","",IFERROR(INDEX(식자재단가!$F$4:$F$203,MATCH(C91,식자재단가!$C$4:$C$203,0)),""))</f>
        <v>kg</v>
      </c>
      <c r="E91" s="84" t="n">
        <f aca="false">IF(C91="",0,IFERROR(INDEX(식자재단가!$G$4:$G$203,MATCH(C91,식자재단가!$C$4:$C$203,0)),0))</f>
        <v>6000</v>
      </c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1" t="n">
        <f aca="false">N(INDEX(F91:R91,1,기본설정!$C$5+1))</f>
        <v>0</v>
      </c>
      <c r="T91" s="28" t="n">
        <f aca="false">S91*E91</f>
        <v>0</v>
      </c>
      <c r="U91" s="71" t="n">
        <f aca="false">N(INDEX(F91:R91,1,기본설정!$C$5))</f>
        <v>0</v>
      </c>
      <c r="V91" s="28" t="n">
        <f aca="false">U91*E91</f>
        <v>0</v>
      </c>
      <c r="W91" s="59" t="str">
        <f aca="false">IF(B91="","",IFERROR(INDEX(기본설정!$H$4:$H$14,MATCH(B91,기본설정!$G$4:$G$14,0)),""))</f>
        <v>식재료</v>
      </c>
    </row>
    <row r="92" customFormat="false" ht="15" hidden="false" customHeight="false" outlineLevel="0" collapsed="false">
      <c r="A92" s="83" t="str">
        <f aca="false">기본설정!$E$6</f>
        <v>모란점</v>
      </c>
      <c r="B92" s="81" t="str">
        <f aca="false">IF(C92="","",IFERROR(INDEX(식자재단가!$B$4:$B$203,MATCH(C92,식자재단가!$C$4:$C$203,0)),""))</f>
        <v>채소·과일</v>
      </c>
      <c r="C92" s="80" t="s">
        <v>460</v>
      </c>
      <c r="D92" s="59" t="str">
        <f aca="false">IF(C92="","",IFERROR(INDEX(식자재단가!$F$4:$F$203,MATCH(C92,식자재단가!$C$4:$C$203,0)),""))</f>
        <v>kg</v>
      </c>
      <c r="E92" s="84" t="n">
        <f aca="false">IF(C92="",0,IFERROR(INDEX(식자재단가!$G$4:$G$203,MATCH(C92,식자재단가!$C$4:$C$203,0)),0))</f>
        <v>3500</v>
      </c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1" t="n">
        <f aca="false">N(INDEX(F92:R92,1,기본설정!$C$5+1))</f>
        <v>0</v>
      </c>
      <c r="T92" s="28" t="n">
        <f aca="false">S92*E92</f>
        <v>0</v>
      </c>
      <c r="U92" s="71" t="n">
        <f aca="false">N(INDEX(F92:R92,1,기본설정!$C$5))</f>
        <v>0</v>
      </c>
      <c r="V92" s="28" t="n">
        <f aca="false">U92*E92</f>
        <v>0</v>
      </c>
      <c r="W92" s="59" t="str">
        <f aca="false">IF(B92="","",IFERROR(INDEX(기본설정!$H$4:$H$14,MATCH(B92,기본설정!$G$4:$G$14,0)),""))</f>
        <v>식재료</v>
      </c>
    </row>
    <row r="93" customFormat="false" ht="15" hidden="false" customHeight="false" outlineLevel="0" collapsed="false">
      <c r="A93" s="83" t="str">
        <f aca="false">기본설정!$E$6</f>
        <v>모란점</v>
      </c>
      <c r="B93" s="81" t="str">
        <f aca="false">IF(C93="","",IFERROR(INDEX(식자재단가!$B$4:$B$203,MATCH(C93,식자재단가!$C$4:$C$203,0)),""))</f>
        <v>채소·과일</v>
      </c>
      <c r="C93" s="80" t="s">
        <v>462</v>
      </c>
      <c r="D93" s="59" t="str">
        <f aca="false">IF(C93="","",IFERROR(INDEX(식자재단가!$F$4:$F$203,MATCH(C93,식자재단가!$C$4:$C$203,0)),""))</f>
        <v>kg</v>
      </c>
      <c r="E93" s="84" t="n">
        <f aca="false">IF(C93="",0,IFERROR(INDEX(식자재단가!$G$4:$G$203,MATCH(C93,식자재단가!$C$4:$C$203,0)),0))</f>
        <v>1800</v>
      </c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1" t="n">
        <f aca="false">N(INDEX(F93:R93,1,기본설정!$C$5+1))</f>
        <v>0</v>
      </c>
      <c r="T93" s="28" t="n">
        <f aca="false">S93*E93</f>
        <v>0</v>
      </c>
      <c r="U93" s="71" t="n">
        <f aca="false">N(INDEX(F93:R93,1,기본설정!$C$5))</f>
        <v>0</v>
      </c>
      <c r="V93" s="28" t="n">
        <f aca="false">U93*E93</f>
        <v>0</v>
      </c>
      <c r="W93" s="59" t="str">
        <f aca="false">IF(B93="","",IFERROR(INDEX(기본설정!$H$4:$H$14,MATCH(B93,기본설정!$G$4:$G$14,0)),""))</f>
        <v>식재료</v>
      </c>
    </row>
    <row r="94" customFormat="false" ht="15" hidden="false" customHeight="false" outlineLevel="0" collapsed="false">
      <c r="A94" s="83" t="str">
        <f aca="false">기본설정!$E$6</f>
        <v>모란점</v>
      </c>
      <c r="B94" s="81" t="str">
        <f aca="false">IF(C94="","",IFERROR(INDEX(식자재단가!$B$4:$B$203,MATCH(C94,식자재단가!$C$4:$C$203,0)),""))</f>
        <v>채소·과일</v>
      </c>
      <c r="C94" s="80" t="s">
        <v>464</v>
      </c>
      <c r="D94" s="59" t="str">
        <f aca="false">IF(C94="","",IFERROR(INDEX(식자재단가!$F$4:$F$203,MATCH(C94,식자재단가!$C$4:$C$203,0)),""))</f>
        <v>kg</v>
      </c>
      <c r="E94" s="84" t="n">
        <f aca="false">IF(C94="",0,IFERROR(INDEX(식자재단가!$G$4:$G$203,MATCH(C94,식자재단가!$C$4:$C$203,0)),0))</f>
        <v>3500</v>
      </c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1" t="n">
        <f aca="false">N(INDEX(F94:R94,1,기본설정!$C$5+1))</f>
        <v>0</v>
      </c>
      <c r="T94" s="28" t="n">
        <f aca="false">S94*E94</f>
        <v>0</v>
      </c>
      <c r="U94" s="71" t="n">
        <f aca="false">N(INDEX(F94:R94,1,기본설정!$C$5))</f>
        <v>0</v>
      </c>
      <c r="V94" s="28" t="n">
        <f aca="false">U94*E94</f>
        <v>0</v>
      </c>
      <c r="W94" s="59" t="str">
        <f aca="false">IF(B94="","",IFERROR(INDEX(기본설정!$H$4:$H$14,MATCH(B94,기본설정!$G$4:$G$14,0)),""))</f>
        <v>식재료</v>
      </c>
    </row>
    <row r="95" customFormat="false" ht="15" hidden="false" customHeight="false" outlineLevel="0" collapsed="false">
      <c r="A95" s="83" t="str">
        <f aca="false">기본설정!$E$6</f>
        <v>모란점</v>
      </c>
      <c r="B95" s="81" t="str">
        <f aca="false">IF(C95="","",IFERROR(INDEX(식자재단가!$B$4:$B$203,MATCH(C95,식자재단가!$C$4:$C$203,0)),""))</f>
        <v>채소·과일</v>
      </c>
      <c r="C95" s="80" t="s">
        <v>466</v>
      </c>
      <c r="D95" s="59" t="str">
        <f aca="false">IF(C95="","",IFERROR(INDEX(식자재단가!$F$4:$F$203,MATCH(C95,식자재단가!$C$4:$C$203,0)),""))</f>
        <v>kg</v>
      </c>
      <c r="E95" s="84" t="n">
        <f aca="false">IF(C95="",0,IFERROR(INDEX(식자재단가!$G$4:$G$203,MATCH(C95,식자재단가!$C$4:$C$203,0)),0))</f>
        <v>9000</v>
      </c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1" t="n">
        <f aca="false">N(INDEX(F95:R95,1,기본설정!$C$5+1))</f>
        <v>0</v>
      </c>
      <c r="T95" s="28" t="n">
        <f aca="false">S95*E95</f>
        <v>0</v>
      </c>
      <c r="U95" s="71" t="n">
        <f aca="false">N(INDEX(F95:R95,1,기본설정!$C$5))</f>
        <v>0</v>
      </c>
      <c r="V95" s="28" t="n">
        <f aca="false">U95*E95</f>
        <v>0</v>
      </c>
      <c r="W95" s="59" t="str">
        <f aca="false">IF(B95="","",IFERROR(INDEX(기본설정!$H$4:$H$14,MATCH(B95,기본설정!$G$4:$G$14,0)),""))</f>
        <v>식재료</v>
      </c>
    </row>
    <row r="96" customFormat="false" ht="15" hidden="false" customHeight="false" outlineLevel="0" collapsed="false">
      <c r="A96" s="83" t="str">
        <f aca="false">기본설정!$E$6</f>
        <v>모란점</v>
      </c>
      <c r="B96" s="81" t="str">
        <f aca="false">IF(C96="","",IFERROR(INDEX(식자재단가!$B$4:$B$203,MATCH(C96,식자재단가!$C$4:$C$203,0)),""))</f>
        <v>채소·과일</v>
      </c>
      <c r="C96" s="80" t="s">
        <v>468</v>
      </c>
      <c r="D96" s="59" t="str">
        <f aca="false">IF(C96="","",IFERROR(INDEX(식자재단가!$F$4:$F$203,MATCH(C96,식자재단가!$C$4:$C$203,0)),""))</f>
        <v>kg</v>
      </c>
      <c r="E96" s="84" t="n">
        <f aca="false">IF(C96="",0,IFERROR(INDEX(식자재단가!$G$4:$G$203,MATCH(C96,식자재단가!$C$4:$C$203,0)),0))</f>
        <v>8000</v>
      </c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1" t="n">
        <f aca="false">N(INDEX(F96:R96,1,기본설정!$C$5+1))</f>
        <v>0</v>
      </c>
      <c r="T96" s="28" t="n">
        <f aca="false">S96*E96</f>
        <v>0</v>
      </c>
      <c r="U96" s="71" t="n">
        <f aca="false">N(INDEX(F96:R96,1,기본설정!$C$5))</f>
        <v>0</v>
      </c>
      <c r="V96" s="28" t="n">
        <f aca="false">U96*E96</f>
        <v>0</v>
      </c>
      <c r="W96" s="59" t="str">
        <f aca="false">IF(B96="","",IFERROR(INDEX(기본설정!$H$4:$H$14,MATCH(B96,기본설정!$G$4:$G$14,0)),""))</f>
        <v>식재료</v>
      </c>
    </row>
    <row r="97" customFormat="false" ht="15" hidden="false" customHeight="false" outlineLevel="0" collapsed="false">
      <c r="A97" s="83" t="str">
        <f aca="false">기본설정!$E$6</f>
        <v>모란점</v>
      </c>
      <c r="B97" s="81" t="str">
        <f aca="false">IF(C97="","",IFERROR(INDEX(식자재단가!$B$4:$B$203,MATCH(C97,식자재단가!$C$4:$C$203,0)),""))</f>
        <v>채소·과일</v>
      </c>
      <c r="C97" s="80" t="s">
        <v>470</v>
      </c>
      <c r="D97" s="59" t="str">
        <f aca="false">IF(C97="","",IFERROR(INDEX(식자재단가!$F$4:$F$203,MATCH(C97,식자재단가!$C$4:$C$203,0)),""))</f>
        <v>kg</v>
      </c>
      <c r="E97" s="84" t="n">
        <f aca="false">IF(C97="",0,IFERROR(INDEX(식자재단가!$G$4:$G$203,MATCH(C97,식자재단가!$C$4:$C$203,0)),0))</f>
        <v>12000</v>
      </c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1" t="n">
        <f aca="false">N(INDEX(F97:R97,1,기본설정!$C$5+1))</f>
        <v>0</v>
      </c>
      <c r="T97" s="28" t="n">
        <f aca="false">S97*E97</f>
        <v>0</v>
      </c>
      <c r="U97" s="71" t="n">
        <f aca="false">N(INDEX(F97:R97,1,기본설정!$C$5))</f>
        <v>0</v>
      </c>
      <c r="V97" s="28" t="n">
        <f aca="false">U97*E97</f>
        <v>0</v>
      </c>
      <c r="W97" s="59" t="str">
        <f aca="false">IF(B97="","",IFERROR(INDEX(기본설정!$H$4:$H$14,MATCH(B97,기본설정!$G$4:$G$14,0)),""))</f>
        <v>식재료</v>
      </c>
    </row>
    <row r="98" customFormat="false" ht="15" hidden="false" customHeight="false" outlineLevel="0" collapsed="false">
      <c r="A98" s="83" t="str">
        <f aca="false">기본설정!$E$6</f>
        <v>모란점</v>
      </c>
      <c r="B98" s="81" t="str">
        <f aca="false">IF(C98="","",IFERROR(INDEX(식자재단가!$B$4:$B$203,MATCH(C98,식자재단가!$C$4:$C$203,0)),""))</f>
        <v>채소·과일</v>
      </c>
      <c r="C98" s="80" t="s">
        <v>472</v>
      </c>
      <c r="D98" s="59" t="str">
        <f aca="false">IF(C98="","",IFERROR(INDEX(식자재단가!$F$4:$F$203,MATCH(C98,식자재단가!$C$4:$C$203,0)),""))</f>
        <v>kg</v>
      </c>
      <c r="E98" s="84" t="n">
        <f aca="false">IF(C98="",0,IFERROR(INDEX(식자재단가!$G$4:$G$203,MATCH(C98,식자재단가!$C$4:$C$203,0)),0))</f>
        <v>5000</v>
      </c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1" t="n">
        <f aca="false">N(INDEX(F98:R98,1,기본설정!$C$5+1))</f>
        <v>0</v>
      </c>
      <c r="T98" s="28" t="n">
        <f aca="false">S98*E98</f>
        <v>0</v>
      </c>
      <c r="U98" s="71" t="n">
        <f aca="false">N(INDEX(F98:R98,1,기본설정!$C$5))</f>
        <v>0</v>
      </c>
      <c r="V98" s="28" t="n">
        <f aca="false">U98*E98</f>
        <v>0</v>
      </c>
      <c r="W98" s="59" t="str">
        <f aca="false">IF(B98="","",IFERROR(INDEX(기본설정!$H$4:$H$14,MATCH(B98,기본설정!$G$4:$G$14,0)),""))</f>
        <v>식재료</v>
      </c>
    </row>
    <row r="99" customFormat="false" ht="15" hidden="false" customHeight="false" outlineLevel="0" collapsed="false">
      <c r="A99" s="83" t="str">
        <f aca="false">기본설정!$E$6</f>
        <v>모란점</v>
      </c>
      <c r="B99" s="81" t="str">
        <f aca="false">IF(C99="","",IFERROR(INDEX(식자재단가!$B$4:$B$203,MATCH(C99,식자재단가!$C$4:$C$203,0)),""))</f>
        <v>채소·과일</v>
      </c>
      <c r="C99" s="80" t="s">
        <v>474</v>
      </c>
      <c r="D99" s="59" t="str">
        <f aca="false">IF(C99="","",IFERROR(INDEX(식자재단가!$F$4:$F$203,MATCH(C99,식자재단가!$C$4:$C$203,0)),""))</f>
        <v>kg</v>
      </c>
      <c r="E99" s="84" t="n">
        <f aca="false">IF(C99="",0,IFERROR(INDEX(식자재단가!$G$4:$G$203,MATCH(C99,식자재단가!$C$4:$C$203,0)),0))</f>
        <v>2500</v>
      </c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1" t="n">
        <f aca="false">N(INDEX(F99:R99,1,기본설정!$C$5+1))</f>
        <v>0</v>
      </c>
      <c r="T99" s="28" t="n">
        <f aca="false">S99*E99</f>
        <v>0</v>
      </c>
      <c r="U99" s="71" t="n">
        <f aca="false">N(INDEX(F99:R99,1,기본설정!$C$5))</f>
        <v>0</v>
      </c>
      <c r="V99" s="28" t="n">
        <f aca="false">U99*E99</f>
        <v>0</v>
      </c>
      <c r="W99" s="59" t="str">
        <f aca="false">IF(B99="","",IFERROR(INDEX(기본설정!$H$4:$H$14,MATCH(B99,기본설정!$G$4:$G$14,0)),""))</f>
        <v>식재료</v>
      </c>
    </row>
    <row r="100" customFormat="false" ht="15" hidden="false" customHeight="false" outlineLevel="0" collapsed="false">
      <c r="A100" s="83" t="str">
        <f aca="false">기본설정!$E$6</f>
        <v>모란점</v>
      </c>
      <c r="B100" s="81" t="str">
        <f aca="false">IF(C100="","",IFERROR(INDEX(식자재단가!$B$4:$B$203,MATCH(C100,식자재단가!$C$4:$C$203,0)),""))</f>
        <v>채소·과일</v>
      </c>
      <c r="C100" s="80" t="s">
        <v>476</v>
      </c>
      <c r="D100" s="59" t="str">
        <f aca="false">IF(C100="","",IFERROR(INDEX(식자재단가!$F$4:$F$203,MATCH(C100,식자재단가!$C$4:$C$203,0)),""))</f>
        <v>kg</v>
      </c>
      <c r="E100" s="84" t="n">
        <f aca="false">IF(C100="",0,IFERROR(INDEX(식자재단가!$G$4:$G$203,MATCH(C100,식자재단가!$C$4:$C$203,0)),0))</f>
        <v>1500</v>
      </c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1" t="n">
        <f aca="false">N(INDEX(F100:R100,1,기본설정!$C$5+1))</f>
        <v>0</v>
      </c>
      <c r="T100" s="28" t="n">
        <f aca="false">S100*E100</f>
        <v>0</v>
      </c>
      <c r="U100" s="71" t="n">
        <f aca="false">N(INDEX(F100:R100,1,기본설정!$C$5))</f>
        <v>0</v>
      </c>
      <c r="V100" s="28" t="n">
        <f aca="false">U100*E100</f>
        <v>0</v>
      </c>
      <c r="W100" s="59" t="str">
        <f aca="false">IF(B100="","",IFERROR(INDEX(기본설정!$H$4:$H$14,MATCH(B100,기본설정!$G$4:$G$14,0)),""))</f>
        <v>식재료</v>
      </c>
    </row>
    <row r="101" customFormat="false" ht="15" hidden="false" customHeight="false" outlineLevel="0" collapsed="false">
      <c r="A101" s="83" t="str">
        <f aca="false">기본설정!$E$6</f>
        <v>모란점</v>
      </c>
      <c r="B101" s="81" t="str">
        <f aca="false">IF(C101="","",IFERROR(INDEX(식자재단가!$B$4:$B$203,MATCH(C101,식자재단가!$C$4:$C$203,0)),""))</f>
        <v>채소·과일</v>
      </c>
      <c r="C101" s="80" t="s">
        <v>478</v>
      </c>
      <c r="D101" s="59" t="str">
        <f aca="false">IF(C101="","",IFERROR(INDEX(식자재단가!$F$4:$F$203,MATCH(C101,식자재단가!$C$4:$C$203,0)),""))</f>
        <v>개</v>
      </c>
      <c r="E101" s="84" t="n">
        <f aca="false">IF(C101="",0,IFERROR(INDEX(식자재단가!$G$4:$G$203,MATCH(C101,식자재단가!$C$4:$C$203,0)),0))</f>
        <v>600</v>
      </c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1" t="n">
        <f aca="false">N(INDEX(F101:R101,1,기본설정!$C$5+1))</f>
        <v>0</v>
      </c>
      <c r="T101" s="28" t="n">
        <f aca="false">S101*E101</f>
        <v>0</v>
      </c>
      <c r="U101" s="71" t="n">
        <f aca="false">N(INDEX(F101:R101,1,기본설정!$C$5))</f>
        <v>0</v>
      </c>
      <c r="V101" s="28" t="n">
        <f aca="false">U101*E101</f>
        <v>0</v>
      </c>
      <c r="W101" s="59" t="str">
        <f aca="false">IF(B101="","",IFERROR(INDEX(기본설정!$H$4:$H$14,MATCH(B101,기본설정!$G$4:$G$14,0)),""))</f>
        <v>식재료</v>
      </c>
    </row>
    <row r="102" customFormat="false" ht="15" hidden="false" customHeight="false" outlineLevel="0" collapsed="false">
      <c r="A102" s="83" t="str">
        <f aca="false">기본설정!$E$6</f>
        <v>모란점</v>
      </c>
      <c r="B102" s="81" t="str">
        <f aca="false">IF(C102="","",IFERROR(INDEX(식자재단가!$B$4:$B$203,MATCH(C102,식자재단가!$C$4:$C$203,0)),""))</f>
        <v>두부·계란·곡류·면</v>
      </c>
      <c r="C102" s="80" t="s">
        <v>480</v>
      </c>
      <c r="D102" s="59" t="str">
        <f aca="false">IF(C102="","",IFERROR(INDEX(식자재단가!$F$4:$F$203,MATCH(C102,식자재단가!$C$4:$C$203,0)),""))</f>
        <v>kg</v>
      </c>
      <c r="E102" s="84" t="n">
        <f aca="false">IF(C102="",0,IFERROR(INDEX(식자재단가!$G$4:$G$203,MATCH(C102,식자재단가!$C$4:$C$203,0)),0))</f>
        <v>3500</v>
      </c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1" t="n">
        <f aca="false">N(INDEX(F102:R102,1,기본설정!$C$5+1))</f>
        <v>0</v>
      </c>
      <c r="T102" s="28" t="n">
        <f aca="false">S102*E102</f>
        <v>0</v>
      </c>
      <c r="U102" s="71" t="n">
        <f aca="false">N(INDEX(F102:R102,1,기본설정!$C$5))</f>
        <v>0</v>
      </c>
      <c r="V102" s="28" t="n">
        <f aca="false">U102*E102</f>
        <v>0</v>
      </c>
      <c r="W102" s="59" t="str">
        <f aca="false">IF(B102="","",IFERROR(INDEX(기본설정!$H$4:$H$14,MATCH(B102,기본설정!$G$4:$G$14,0)),""))</f>
        <v>식재료</v>
      </c>
    </row>
    <row r="103" customFormat="false" ht="15" hidden="false" customHeight="false" outlineLevel="0" collapsed="false">
      <c r="A103" s="83" t="str">
        <f aca="false">기본설정!$E$6</f>
        <v>모란점</v>
      </c>
      <c r="B103" s="81" t="str">
        <f aca="false">IF(C103="","",IFERROR(INDEX(식자재단가!$B$4:$B$203,MATCH(C103,식자재단가!$C$4:$C$203,0)),""))</f>
        <v>두부·계란·곡류·면</v>
      </c>
      <c r="C103" s="80" t="s">
        <v>483</v>
      </c>
      <c r="D103" s="59" t="str">
        <f aca="false">IF(C103="","",IFERROR(INDEX(식자재단가!$F$4:$F$203,MATCH(C103,식자재단가!$C$4:$C$203,0)),""))</f>
        <v>kg</v>
      </c>
      <c r="E103" s="84" t="n">
        <f aca="false">IF(C103="",0,IFERROR(INDEX(식자재단가!$G$4:$G$203,MATCH(C103,식자재단가!$C$4:$C$203,0)),0))</f>
        <v>9000</v>
      </c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1" t="n">
        <f aca="false">N(INDEX(F103:R103,1,기본설정!$C$5+1))</f>
        <v>0</v>
      </c>
      <c r="T103" s="28" t="n">
        <f aca="false">S103*E103</f>
        <v>0</v>
      </c>
      <c r="U103" s="71" t="n">
        <f aca="false">N(INDEX(F103:R103,1,기본설정!$C$5))</f>
        <v>0</v>
      </c>
      <c r="V103" s="28" t="n">
        <f aca="false">U103*E103</f>
        <v>0</v>
      </c>
      <c r="W103" s="59" t="str">
        <f aca="false">IF(B103="","",IFERROR(INDEX(기본설정!$H$4:$H$14,MATCH(B103,기본설정!$G$4:$G$14,0)),""))</f>
        <v>식재료</v>
      </c>
    </row>
    <row r="104" customFormat="false" ht="15" hidden="false" customHeight="false" outlineLevel="0" collapsed="false">
      <c r="A104" s="83" t="str">
        <f aca="false">기본설정!$E$6</f>
        <v>모란점</v>
      </c>
      <c r="B104" s="81" t="str">
        <f aca="false">IF(C104="","",IFERROR(INDEX(식자재단가!$B$4:$B$203,MATCH(C104,식자재단가!$C$4:$C$203,0)),""))</f>
        <v>두부·계란·곡류·면</v>
      </c>
      <c r="C104" s="80" t="s">
        <v>486</v>
      </c>
      <c r="D104" s="59" t="str">
        <f aca="false">IF(C104="","",IFERROR(INDEX(식자재단가!$F$4:$F$203,MATCH(C104,식자재단가!$C$4:$C$203,0)),""))</f>
        <v>판</v>
      </c>
      <c r="E104" s="84" t="n">
        <f aca="false">IF(C104="",0,IFERROR(INDEX(식자재단가!$G$4:$G$203,MATCH(C104,식자재단가!$C$4:$C$203,0)),0))</f>
        <v>8000</v>
      </c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1" t="n">
        <f aca="false">N(INDEX(F104:R104,1,기본설정!$C$5+1))</f>
        <v>0</v>
      </c>
      <c r="T104" s="28" t="n">
        <f aca="false">S104*E104</f>
        <v>0</v>
      </c>
      <c r="U104" s="71" t="n">
        <f aca="false">N(INDEX(F104:R104,1,기본설정!$C$5))</f>
        <v>0</v>
      </c>
      <c r="V104" s="28" t="n">
        <f aca="false">U104*E104</f>
        <v>0</v>
      </c>
      <c r="W104" s="59" t="str">
        <f aca="false">IF(B104="","",IFERROR(INDEX(기본설정!$H$4:$H$14,MATCH(B104,기본설정!$G$4:$G$14,0)),""))</f>
        <v>식재료</v>
      </c>
    </row>
    <row r="105" customFormat="false" ht="15" hidden="false" customHeight="false" outlineLevel="0" collapsed="false">
      <c r="A105" s="83" t="str">
        <f aca="false">기본설정!$E$6</f>
        <v>모란점</v>
      </c>
      <c r="B105" s="81" t="str">
        <f aca="false">IF(C105="","",IFERROR(INDEX(식자재단가!$B$4:$B$203,MATCH(C105,식자재단가!$C$4:$C$203,0)),""))</f>
        <v>두부·계란·곡류·면</v>
      </c>
      <c r="C105" s="80" t="s">
        <v>490</v>
      </c>
      <c r="D105" s="59" t="str">
        <f aca="false">IF(C105="","",IFERROR(INDEX(식자재단가!$F$4:$F$203,MATCH(C105,식자재단가!$C$4:$C$203,0)),""))</f>
        <v>포대</v>
      </c>
      <c r="E105" s="84" t="n">
        <f aca="false">IF(C105="",0,IFERROR(INDEX(식자재단가!$G$4:$G$203,MATCH(C105,식자재단가!$C$4:$C$203,0)),0))</f>
        <v>60000</v>
      </c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1" t="n">
        <f aca="false">N(INDEX(F105:R105,1,기본설정!$C$5+1))</f>
        <v>0</v>
      </c>
      <c r="T105" s="28" t="n">
        <f aca="false">S105*E105</f>
        <v>0</v>
      </c>
      <c r="U105" s="71" t="n">
        <f aca="false">N(INDEX(F105:R105,1,기본설정!$C$5))</f>
        <v>0</v>
      </c>
      <c r="V105" s="28" t="n">
        <f aca="false">U105*E105</f>
        <v>0</v>
      </c>
      <c r="W105" s="59" t="str">
        <f aca="false">IF(B105="","",IFERROR(INDEX(기본설정!$H$4:$H$14,MATCH(B105,기본설정!$G$4:$G$14,0)),""))</f>
        <v>식재료</v>
      </c>
    </row>
    <row r="106" customFormat="false" ht="15" hidden="false" customHeight="false" outlineLevel="0" collapsed="false">
      <c r="A106" s="83" t="str">
        <f aca="false">기본설정!$E$6</f>
        <v>모란점</v>
      </c>
      <c r="B106" s="81" t="str">
        <f aca="false">IF(C106="","",IFERROR(INDEX(식자재단가!$B$4:$B$203,MATCH(C106,식자재단가!$C$4:$C$203,0)),""))</f>
        <v>두부·계란·곡류·면</v>
      </c>
      <c r="C106" s="80" t="s">
        <v>494</v>
      </c>
      <c r="D106" s="59" t="str">
        <f aca="false">IF(C106="","",IFERROR(INDEX(식자재단가!$F$4:$F$203,MATCH(C106,식자재단가!$C$4:$C$203,0)),""))</f>
        <v>봉</v>
      </c>
      <c r="E106" s="84" t="n">
        <f aca="false">IF(C106="",0,IFERROR(INDEX(식자재단가!$G$4:$G$203,MATCH(C106,식자재단가!$C$4:$C$203,0)),0))</f>
        <v>6000</v>
      </c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1" t="n">
        <f aca="false">N(INDEX(F106:R106,1,기본설정!$C$5+1))</f>
        <v>0</v>
      </c>
      <c r="T106" s="28" t="n">
        <f aca="false">S106*E106</f>
        <v>0</v>
      </c>
      <c r="U106" s="71" t="n">
        <f aca="false">N(INDEX(F106:R106,1,기본설정!$C$5))</f>
        <v>0</v>
      </c>
      <c r="V106" s="28" t="n">
        <f aca="false">U106*E106</f>
        <v>0</v>
      </c>
      <c r="W106" s="59" t="str">
        <f aca="false">IF(B106="","",IFERROR(INDEX(기본설정!$H$4:$H$14,MATCH(B106,기본설정!$G$4:$G$14,0)),""))</f>
        <v>식재료</v>
      </c>
    </row>
    <row r="107" customFormat="false" ht="15" hidden="false" customHeight="false" outlineLevel="0" collapsed="false">
      <c r="A107" s="83" t="str">
        <f aca="false">기본설정!$E$6</f>
        <v>모란점</v>
      </c>
      <c r="B107" s="81" t="str">
        <f aca="false">IF(C107="","",IFERROR(INDEX(식자재단가!$B$4:$B$203,MATCH(C107,식자재단가!$C$4:$C$203,0)),""))</f>
        <v>두부·계란·곡류·면</v>
      </c>
      <c r="C107" s="80" t="s">
        <v>498</v>
      </c>
      <c r="D107" s="59" t="str">
        <f aca="false">IF(C107="","",IFERROR(INDEX(식자재단가!$F$4:$F$203,MATCH(C107,식자재단가!$C$4:$C$203,0)),""))</f>
        <v>봉</v>
      </c>
      <c r="E107" s="84" t="n">
        <f aca="false">IF(C107="",0,IFERROR(INDEX(식자재단가!$G$4:$G$203,MATCH(C107,식자재단가!$C$4:$C$203,0)),0))</f>
        <v>5000</v>
      </c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1" t="n">
        <f aca="false">N(INDEX(F107:R107,1,기본설정!$C$5+1))</f>
        <v>0</v>
      </c>
      <c r="T107" s="28" t="n">
        <f aca="false">S107*E107</f>
        <v>0</v>
      </c>
      <c r="U107" s="71" t="n">
        <f aca="false">N(INDEX(F107:R107,1,기본설정!$C$5))</f>
        <v>0</v>
      </c>
      <c r="V107" s="28" t="n">
        <f aca="false">U107*E107</f>
        <v>0</v>
      </c>
      <c r="W107" s="59" t="str">
        <f aca="false">IF(B107="","",IFERROR(INDEX(기본설정!$H$4:$H$14,MATCH(B107,기본설정!$G$4:$G$14,0)),""))</f>
        <v>식재료</v>
      </c>
    </row>
    <row r="108" customFormat="false" ht="15" hidden="false" customHeight="false" outlineLevel="0" collapsed="false">
      <c r="A108" s="83" t="str">
        <f aca="false">기본설정!$E$6</f>
        <v>모란점</v>
      </c>
      <c r="B108" s="81" t="str">
        <f aca="false">IF(C108="","",IFERROR(INDEX(식자재단가!$B$4:$B$203,MATCH(C108,식자재단가!$C$4:$C$203,0)),""))</f>
        <v>두부·계란·곡류·면</v>
      </c>
      <c r="C108" s="80" t="s">
        <v>501</v>
      </c>
      <c r="D108" s="59" t="str">
        <f aca="false">IF(C108="","",IFERROR(INDEX(식자재단가!$F$4:$F$203,MATCH(C108,식자재단가!$C$4:$C$203,0)),""))</f>
        <v>봉</v>
      </c>
      <c r="E108" s="84" t="n">
        <f aca="false">IF(C108="",0,IFERROR(INDEX(식자재단가!$G$4:$G$203,MATCH(C108,식자재단가!$C$4:$C$203,0)),0))</f>
        <v>6000</v>
      </c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1" t="n">
        <f aca="false">N(INDEX(F108:R108,1,기본설정!$C$5+1))</f>
        <v>0</v>
      </c>
      <c r="T108" s="28" t="n">
        <f aca="false">S108*E108</f>
        <v>0</v>
      </c>
      <c r="U108" s="71" t="n">
        <f aca="false">N(INDEX(F108:R108,1,기본설정!$C$5))</f>
        <v>0</v>
      </c>
      <c r="V108" s="28" t="n">
        <f aca="false">U108*E108</f>
        <v>0</v>
      </c>
      <c r="W108" s="59" t="str">
        <f aca="false">IF(B108="","",IFERROR(INDEX(기본설정!$H$4:$H$14,MATCH(B108,기본설정!$G$4:$G$14,0)),""))</f>
        <v>식재료</v>
      </c>
    </row>
    <row r="109" customFormat="false" ht="15" hidden="false" customHeight="false" outlineLevel="0" collapsed="false">
      <c r="A109" s="83" t="str">
        <f aca="false">기본설정!$E$6</f>
        <v>모란점</v>
      </c>
      <c r="B109" s="81" t="str">
        <f aca="false">IF(C109="","",IFERROR(INDEX(식자재단가!$B$4:$B$203,MATCH(C109,식자재단가!$C$4:$C$203,0)),""))</f>
        <v>냉동·가공식품</v>
      </c>
      <c r="C109" s="80" t="s">
        <v>503</v>
      </c>
      <c r="D109" s="59" t="str">
        <f aca="false">IF(C109="","",IFERROR(INDEX(식자재단가!$F$4:$F$203,MATCH(C109,식자재단가!$C$4:$C$203,0)),""))</f>
        <v>봉</v>
      </c>
      <c r="E109" s="84" t="n">
        <f aca="false">IF(C109="",0,IFERROR(INDEX(식자재단가!$G$4:$G$203,MATCH(C109,식자재단가!$C$4:$C$203,0)),0))</f>
        <v>7000</v>
      </c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1" t="n">
        <f aca="false">N(INDEX(F109:R109,1,기본설정!$C$5+1))</f>
        <v>0</v>
      </c>
      <c r="T109" s="28" t="n">
        <f aca="false">S109*E109</f>
        <v>0</v>
      </c>
      <c r="U109" s="71" t="n">
        <f aca="false">N(INDEX(F109:R109,1,기본설정!$C$5))</f>
        <v>0</v>
      </c>
      <c r="V109" s="28" t="n">
        <f aca="false">U109*E109</f>
        <v>0</v>
      </c>
      <c r="W109" s="59" t="str">
        <f aca="false">IF(B109="","",IFERROR(INDEX(기본설정!$H$4:$H$14,MATCH(B109,기본설정!$G$4:$G$14,0)),""))</f>
        <v>식재료</v>
      </c>
    </row>
    <row r="110" customFormat="false" ht="15" hidden="false" customHeight="false" outlineLevel="0" collapsed="false">
      <c r="A110" s="83" t="str">
        <f aca="false">기본설정!$E$6</f>
        <v>모란점</v>
      </c>
      <c r="B110" s="81" t="str">
        <f aca="false">IF(C110="","",IFERROR(INDEX(식자재단가!$B$4:$B$203,MATCH(C110,식자재단가!$C$4:$C$203,0)),""))</f>
        <v>냉동·가공식품</v>
      </c>
      <c r="C110" s="80" t="s">
        <v>505</v>
      </c>
      <c r="D110" s="59" t="str">
        <f aca="false">IF(C110="","",IFERROR(INDEX(식자재단가!$F$4:$F$203,MATCH(C110,식자재단가!$C$4:$C$203,0)),""))</f>
        <v>봉</v>
      </c>
      <c r="E110" s="84" t="n">
        <f aca="false">IF(C110="",0,IFERROR(INDEX(식자재단가!$G$4:$G$203,MATCH(C110,식자재단가!$C$4:$C$203,0)),0))</f>
        <v>7500</v>
      </c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1" t="n">
        <f aca="false">N(INDEX(F110:R110,1,기본설정!$C$5+1))</f>
        <v>0</v>
      </c>
      <c r="T110" s="28" t="n">
        <f aca="false">S110*E110</f>
        <v>0</v>
      </c>
      <c r="U110" s="71" t="n">
        <f aca="false">N(INDEX(F110:R110,1,기본설정!$C$5))</f>
        <v>0</v>
      </c>
      <c r="V110" s="28" t="n">
        <f aca="false">U110*E110</f>
        <v>0</v>
      </c>
      <c r="W110" s="59" t="str">
        <f aca="false">IF(B110="","",IFERROR(INDEX(기본설정!$H$4:$H$14,MATCH(B110,기본설정!$G$4:$G$14,0)),""))</f>
        <v>식재료</v>
      </c>
    </row>
    <row r="111" customFormat="false" ht="15" hidden="false" customHeight="false" outlineLevel="0" collapsed="false">
      <c r="A111" s="83" t="str">
        <f aca="false">기본설정!$E$6</f>
        <v>모란점</v>
      </c>
      <c r="B111" s="81" t="str">
        <f aca="false">IF(C111="","",IFERROR(INDEX(식자재단가!$B$4:$B$203,MATCH(C111,식자재단가!$C$4:$C$203,0)),""))</f>
        <v>냉동·가공식품</v>
      </c>
      <c r="C111" s="80" t="s">
        <v>508</v>
      </c>
      <c r="D111" s="59" t="str">
        <f aca="false">IF(C111="","",IFERROR(INDEX(식자재단가!$F$4:$F$203,MATCH(C111,식자재단가!$C$4:$C$203,0)),""))</f>
        <v>봉</v>
      </c>
      <c r="E111" s="84" t="n">
        <f aca="false">IF(C111="",0,IFERROR(INDEX(식자재단가!$G$4:$G$203,MATCH(C111,식자재단가!$C$4:$C$203,0)),0))</f>
        <v>8000</v>
      </c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1" t="n">
        <f aca="false">N(INDEX(F111:R111,1,기본설정!$C$5+1))</f>
        <v>0</v>
      </c>
      <c r="T111" s="28" t="n">
        <f aca="false">S111*E111</f>
        <v>0</v>
      </c>
      <c r="U111" s="71" t="n">
        <f aca="false">N(INDEX(F111:R111,1,기본설정!$C$5))</f>
        <v>0</v>
      </c>
      <c r="V111" s="28" t="n">
        <f aca="false">U111*E111</f>
        <v>0</v>
      </c>
      <c r="W111" s="59" t="str">
        <f aca="false">IF(B111="","",IFERROR(INDEX(기본설정!$H$4:$H$14,MATCH(B111,기본설정!$G$4:$G$14,0)),""))</f>
        <v>식재료</v>
      </c>
    </row>
    <row r="112" customFormat="false" ht="15" hidden="false" customHeight="false" outlineLevel="0" collapsed="false">
      <c r="A112" s="83" t="str">
        <f aca="false">기본설정!$E$6</f>
        <v>모란점</v>
      </c>
      <c r="B112" s="81" t="str">
        <f aca="false">IF(C112="","",IFERROR(INDEX(식자재단가!$B$4:$B$203,MATCH(C112,식자재단가!$C$4:$C$203,0)),""))</f>
        <v>양념·향신료·소스</v>
      </c>
      <c r="C112" s="80" t="s">
        <v>510</v>
      </c>
      <c r="D112" s="59" t="str">
        <f aca="false">IF(C112="","",IFERROR(INDEX(식자재단가!$F$4:$F$203,MATCH(C112,식자재단가!$C$4:$C$203,0)),""))</f>
        <v>봉</v>
      </c>
      <c r="E112" s="84" t="n">
        <f aca="false">IF(C112="",0,IFERROR(INDEX(식자재단가!$G$4:$G$203,MATCH(C112,식자재단가!$C$4:$C$203,0)),0))</f>
        <v>15000</v>
      </c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1" t="n">
        <f aca="false">N(INDEX(F112:R112,1,기본설정!$C$5+1))</f>
        <v>0</v>
      </c>
      <c r="T112" s="28" t="n">
        <f aca="false">S112*E112</f>
        <v>0</v>
      </c>
      <c r="U112" s="71" t="n">
        <f aca="false">N(INDEX(F112:R112,1,기본설정!$C$5))</f>
        <v>0</v>
      </c>
      <c r="V112" s="28" t="n">
        <f aca="false">U112*E112</f>
        <v>0</v>
      </c>
      <c r="W112" s="59" t="str">
        <f aca="false">IF(B112="","",IFERROR(INDEX(기본설정!$H$4:$H$14,MATCH(B112,기본설정!$G$4:$G$14,0)),""))</f>
        <v>식재료</v>
      </c>
    </row>
    <row r="113" customFormat="false" ht="15" hidden="false" customHeight="false" outlineLevel="0" collapsed="false">
      <c r="A113" s="83" t="str">
        <f aca="false">기본설정!$E$6</f>
        <v>모란점</v>
      </c>
      <c r="B113" s="81" t="str">
        <f aca="false">IF(C113="","",IFERROR(INDEX(식자재단가!$B$4:$B$203,MATCH(C113,식자재단가!$C$4:$C$203,0)),""))</f>
        <v>양념·향신료·소스</v>
      </c>
      <c r="C113" s="80" t="s">
        <v>512</v>
      </c>
      <c r="D113" s="59" t="str">
        <f aca="false">IF(C113="","",IFERROR(INDEX(식자재단가!$F$4:$F$203,MATCH(C113,식자재단가!$C$4:$C$203,0)),""))</f>
        <v>봉</v>
      </c>
      <c r="E113" s="84" t="n">
        <f aca="false">IF(C113="",0,IFERROR(INDEX(식자재단가!$G$4:$G$203,MATCH(C113,식자재단가!$C$4:$C$203,0)),0))</f>
        <v>6000</v>
      </c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1" t="n">
        <f aca="false">N(INDEX(F113:R113,1,기본설정!$C$5+1))</f>
        <v>0</v>
      </c>
      <c r="T113" s="28" t="n">
        <f aca="false">S113*E113</f>
        <v>0</v>
      </c>
      <c r="U113" s="71" t="n">
        <f aca="false">N(INDEX(F113:R113,1,기본설정!$C$5))</f>
        <v>0</v>
      </c>
      <c r="V113" s="28" t="n">
        <f aca="false">U113*E113</f>
        <v>0</v>
      </c>
      <c r="W113" s="59" t="str">
        <f aca="false">IF(B113="","",IFERROR(INDEX(기본설정!$H$4:$H$14,MATCH(B113,기본설정!$G$4:$G$14,0)),""))</f>
        <v>식재료</v>
      </c>
    </row>
    <row r="114" customFormat="false" ht="15" hidden="false" customHeight="false" outlineLevel="0" collapsed="false">
      <c r="A114" s="83" t="str">
        <f aca="false">기본설정!$E$6</f>
        <v>모란점</v>
      </c>
      <c r="B114" s="81" t="str">
        <f aca="false">IF(C114="","",IFERROR(INDEX(식자재단가!$B$4:$B$203,MATCH(C114,식자재단가!$C$4:$C$203,0)),""))</f>
        <v>양념·향신료·소스</v>
      </c>
      <c r="C114" s="80" t="s">
        <v>515</v>
      </c>
      <c r="D114" s="59" t="str">
        <f aca="false">IF(C114="","",IFERROR(INDEX(식자재단가!$F$4:$F$203,MATCH(C114,식자재단가!$C$4:$C$203,0)),""))</f>
        <v>봉</v>
      </c>
      <c r="E114" s="84" t="n">
        <f aca="false">IF(C114="",0,IFERROR(INDEX(식자재단가!$G$4:$G$203,MATCH(C114,식자재단가!$C$4:$C$203,0)),0))</f>
        <v>7000</v>
      </c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1" t="n">
        <f aca="false">N(INDEX(F114:R114,1,기본설정!$C$5+1))</f>
        <v>0</v>
      </c>
      <c r="T114" s="28" t="n">
        <f aca="false">S114*E114</f>
        <v>0</v>
      </c>
      <c r="U114" s="71" t="n">
        <f aca="false">N(INDEX(F114:R114,1,기본설정!$C$5))</f>
        <v>0</v>
      </c>
      <c r="V114" s="28" t="n">
        <f aca="false">U114*E114</f>
        <v>0</v>
      </c>
      <c r="W114" s="59" t="str">
        <f aca="false">IF(B114="","",IFERROR(INDEX(기본설정!$H$4:$H$14,MATCH(B114,기본설정!$G$4:$G$14,0)),""))</f>
        <v>식재료</v>
      </c>
    </row>
    <row r="115" customFormat="false" ht="15" hidden="false" customHeight="false" outlineLevel="0" collapsed="false">
      <c r="A115" s="83" t="str">
        <f aca="false">기본설정!$E$6</f>
        <v>모란점</v>
      </c>
      <c r="B115" s="81" t="str">
        <f aca="false">IF(C115="","",IFERROR(INDEX(식자재단가!$B$4:$B$203,MATCH(C115,식자재단가!$C$4:$C$203,0)),""))</f>
        <v>양념·향신료·소스</v>
      </c>
      <c r="C115" s="80" t="s">
        <v>517</v>
      </c>
      <c r="D115" s="59" t="str">
        <f aca="false">IF(C115="","",IFERROR(INDEX(식자재단가!$F$4:$F$203,MATCH(C115,식자재단가!$C$4:$C$203,0)),""))</f>
        <v>통</v>
      </c>
      <c r="E115" s="84" t="n">
        <f aca="false">IF(C115="",0,IFERROR(INDEX(식자재단가!$G$4:$G$203,MATCH(C115,식자재단가!$C$4:$C$203,0)),0))</f>
        <v>8000</v>
      </c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1" t="n">
        <f aca="false">N(INDEX(F115:R115,1,기본설정!$C$5+1))</f>
        <v>0</v>
      </c>
      <c r="T115" s="28" t="n">
        <f aca="false">S115*E115</f>
        <v>0</v>
      </c>
      <c r="U115" s="71" t="n">
        <f aca="false">N(INDEX(F115:R115,1,기본설정!$C$5))</f>
        <v>0</v>
      </c>
      <c r="V115" s="28" t="n">
        <f aca="false">U115*E115</f>
        <v>0</v>
      </c>
      <c r="W115" s="59" t="str">
        <f aca="false">IF(B115="","",IFERROR(INDEX(기본설정!$H$4:$H$14,MATCH(B115,기본설정!$G$4:$G$14,0)),""))</f>
        <v>식재료</v>
      </c>
    </row>
    <row r="116" customFormat="false" ht="15" hidden="false" customHeight="false" outlineLevel="0" collapsed="false">
      <c r="A116" s="83" t="str">
        <f aca="false">기본설정!$E$6</f>
        <v>모란점</v>
      </c>
      <c r="B116" s="81" t="str">
        <f aca="false">IF(C116="","",IFERROR(INDEX(식자재단가!$B$4:$B$203,MATCH(C116,식자재단가!$C$4:$C$203,0)),""))</f>
        <v>양념·향신료·소스</v>
      </c>
      <c r="C116" s="80" t="s">
        <v>520</v>
      </c>
      <c r="D116" s="59" t="str">
        <f aca="false">IF(C116="","",IFERROR(INDEX(식자재단가!$F$4:$F$203,MATCH(C116,식자재단가!$C$4:$C$203,0)),""))</f>
        <v>통</v>
      </c>
      <c r="E116" s="84" t="n">
        <f aca="false">IF(C116="",0,IFERROR(INDEX(식자재단가!$G$4:$G$203,MATCH(C116,식자재단가!$C$4:$C$203,0)),0))</f>
        <v>6000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1" t="n">
        <f aca="false">N(INDEX(F116:R116,1,기본설정!$C$5+1))</f>
        <v>0</v>
      </c>
      <c r="T116" s="28" t="n">
        <f aca="false">S116*E116</f>
        <v>0</v>
      </c>
      <c r="U116" s="71" t="n">
        <f aca="false">N(INDEX(F116:R116,1,기본설정!$C$5))</f>
        <v>0</v>
      </c>
      <c r="V116" s="28" t="n">
        <f aca="false">U116*E116</f>
        <v>0</v>
      </c>
      <c r="W116" s="59" t="str">
        <f aca="false">IF(B116="","",IFERROR(INDEX(기본설정!$H$4:$H$14,MATCH(B116,기본설정!$G$4:$G$14,0)),""))</f>
        <v>식재료</v>
      </c>
    </row>
    <row r="117" customFormat="false" ht="15" hidden="false" customHeight="false" outlineLevel="0" collapsed="false">
      <c r="A117" s="83" t="str">
        <f aca="false">기본설정!$E$6</f>
        <v>모란점</v>
      </c>
      <c r="B117" s="81" t="str">
        <f aca="false">IF(C117="","",IFERROR(INDEX(식자재단가!$B$4:$B$203,MATCH(C117,식자재단가!$C$4:$C$203,0)),""))</f>
        <v>양념·향신료·소스</v>
      </c>
      <c r="C117" s="80" t="s">
        <v>522</v>
      </c>
      <c r="D117" s="59" t="str">
        <f aca="false">IF(C117="","",IFERROR(INDEX(식자재단가!$F$4:$F$203,MATCH(C117,식자재단가!$C$4:$C$203,0)),""))</f>
        <v>병</v>
      </c>
      <c r="E117" s="84" t="n">
        <f aca="false">IF(C117="",0,IFERROR(INDEX(식자재단가!$G$4:$G$203,MATCH(C117,식자재단가!$C$4:$C$203,0)),0))</f>
        <v>6000</v>
      </c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1" t="n">
        <f aca="false">N(INDEX(F117:R117,1,기본설정!$C$5+1))</f>
        <v>0</v>
      </c>
      <c r="T117" s="28" t="n">
        <f aca="false">S117*E117</f>
        <v>0</v>
      </c>
      <c r="U117" s="71" t="n">
        <f aca="false">N(INDEX(F117:R117,1,기본설정!$C$5))</f>
        <v>0</v>
      </c>
      <c r="V117" s="28" t="n">
        <f aca="false">U117*E117</f>
        <v>0</v>
      </c>
      <c r="W117" s="59" t="str">
        <f aca="false">IF(B117="","",IFERROR(INDEX(기본설정!$H$4:$H$14,MATCH(B117,기본설정!$G$4:$G$14,0)),""))</f>
        <v>식재료</v>
      </c>
    </row>
    <row r="118" customFormat="false" ht="15" hidden="false" customHeight="false" outlineLevel="0" collapsed="false">
      <c r="A118" s="83" t="str">
        <f aca="false">기본설정!$E$6</f>
        <v>모란점</v>
      </c>
      <c r="B118" s="81" t="str">
        <f aca="false">IF(C118="","",IFERROR(INDEX(식자재단가!$B$4:$B$203,MATCH(C118,식자재단가!$C$4:$C$203,0)),""))</f>
        <v>양념·향신료·소스</v>
      </c>
      <c r="C118" s="80" t="s">
        <v>527</v>
      </c>
      <c r="D118" s="59" t="str">
        <f aca="false">IF(C118="","",IFERROR(INDEX(식자재단가!$F$4:$F$203,MATCH(C118,식자재단가!$C$4:$C$203,0)),""))</f>
        <v>병</v>
      </c>
      <c r="E118" s="84" t="n">
        <f aca="false">IF(C118="",0,IFERROR(INDEX(식자재단가!$G$4:$G$203,MATCH(C118,식자재단가!$C$4:$C$203,0)),0))</f>
        <v>3000</v>
      </c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1" t="n">
        <f aca="false">N(INDEX(F118:R118,1,기본설정!$C$5+1))</f>
        <v>0</v>
      </c>
      <c r="T118" s="28" t="n">
        <f aca="false">S118*E118</f>
        <v>0</v>
      </c>
      <c r="U118" s="71" t="n">
        <f aca="false">N(INDEX(F118:R118,1,기본설정!$C$5))</f>
        <v>0</v>
      </c>
      <c r="V118" s="28" t="n">
        <f aca="false">U118*E118</f>
        <v>0</v>
      </c>
      <c r="W118" s="59" t="str">
        <f aca="false">IF(B118="","",IFERROR(INDEX(기본설정!$H$4:$H$14,MATCH(B118,기본설정!$G$4:$G$14,0)),""))</f>
        <v>식재료</v>
      </c>
    </row>
    <row r="119" customFormat="false" ht="15" hidden="false" customHeight="false" outlineLevel="0" collapsed="false">
      <c r="A119" s="83" t="str">
        <f aca="false">기본설정!$E$6</f>
        <v>모란점</v>
      </c>
      <c r="B119" s="81" t="str">
        <f aca="false">IF(C119="","",IFERROR(INDEX(식자재단가!$B$4:$B$203,MATCH(C119,식자재단가!$C$4:$C$203,0)),""))</f>
        <v>양념·향신료·소스</v>
      </c>
      <c r="C119" s="80" t="s">
        <v>529</v>
      </c>
      <c r="D119" s="59" t="str">
        <f aca="false">IF(C119="","",IFERROR(INDEX(식자재단가!$F$4:$F$203,MATCH(C119,식자재단가!$C$4:$C$203,0)),""))</f>
        <v>봉</v>
      </c>
      <c r="E119" s="84" t="n">
        <f aca="false">IF(C119="",0,IFERROR(INDEX(식자재단가!$G$4:$G$203,MATCH(C119,식자재단가!$C$4:$C$203,0)),0))</f>
        <v>5000</v>
      </c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1" t="n">
        <f aca="false">N(INDEX(F119:R119,1,기본설정!$C$5+1))</f>
        <v>0</v>
      </c>
      <c r="T119" s="28" t="n">
        <f aca="false">S119*E119</f>
        <v>0</v>
      </c>
      <c r="U119" s="71" t="n">
        <f aca="false">N(INDEX(F119:R119,1,기본설정!$C$5))</f>
        <v>0</v>
      </c>
      <c r="V119" s="28" t="n">
        <f aca="false">U119*E119</f>
        <v>0</v>
      </c>
      <c r="W119" s="59" t="str">
        <f aca="false">IF(B119="","",IFERROR(INDEX(기본설정!$H$4:$H$14,MATCH(B119,기본설정!$G$4:$G$14,0)),""))</f>
        <v>식재료</v>
      </c>
    </row>
    <row r="120" customFormat="false" ht="15" hidden="false" customHeight="false" outlineLevel="0" collapsed="false">
      <c r="A120" s="83" t="str">
        <f aca="false">기본설정!$E$6</f>
        <v>모란점</v>
      </c>
      <c r="B120" s="81" t="str">
        <f aca="false">IF(C120="","",IFERROR(INDEX(식자재단가!$B$4:$B$203,MATCH(C120,식자재단가!$C$4:$C$203,0)),""))</f>
        <v>양념·향신료·소스</v>
      </c>
      <c r="C120" s="80" t="s">
        <v>532</v>
      </c>
      <c r="D120" s="59" t="str">
        <f aca="false">IF(C120="","",IFERROR(INDEX(식자재단가!$F$4:$F$203,MATCH(C120,식자재단가!$C$4:$C$203,0)),""))</f>
        <v>봉</v>
      </c>
      <c r="E120" s="84" t="n">
        <f aca="false">IF(C120="",0,IFERROR(INDEX(식자재단가!$G$4:$G$203,MATCH(C120,식자재단가!$C$4:$C$203,0)),0))</f>
        <v>18000</v>
      </c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1" t="n">
        <f aca="false">N(INDEX(F120:R120,1,기본설정!$C$5+1))</f>
        <v>0</v>
      </c>
      <c r="T120" s="28" t="n">
        <f aca="false">S120*E120</f>
        <v>0</v>
      </c>
      <c r="U120" s="71" t="n">
        <f aca="false">N(INDEX(F120:R120,1,기본설정!$C$5))</f>
        <v>0</v>
      </c>
      <c r="V120" s="28" t="n">
        <f aca="false">U120*E120</f>
        <v>0</v>
      </c>
      <c r="W120" s="59" t="str">
        <f aca="false">IF(B120="","",IFERROR(INDEX(기본설정!$H$4:$H$14,MATCH(B120,기본설정!$G$4:$G$14,0)),""))</f>
        <v>식재료</v>
      </c>
    </row>
    <row r="121" customFormat="false" ht="15" hidden="false" customHeight="false" outlineLevel="0" collapsed="false">
      <c r="A121" s="83" t="str">
        <f aca="false">기본설정!$E$6</f>
        <v>모란점</v>
      </c>
      <c r="B121" s="81" t="str">
        <f aca="false">IF(C121="","",IFERROR(INDEX(식자재단가!$B$4:$B$203,MATCH(C121,식자재단가!$C$4:$C$203,0)),""))</f>
        <v>양념·향신료·소스</v>
      </c>
      <c r="C121" s="80" t="s">
        <v>534</v>
      </c>
      <c r="D121" s="59" t="str">
        <f aca="false">IF(C121="","",IFERROR(INDEX(식자재단가!$F$4:$F$203,MATCH(C121,식자재단가!$C$4:$C$203,0)),""))</f>
        <v>봉</v>
      </c>
      <c r="E121" s="84" t="n">
        <f aca="false">IF(C121="",0,IFERROR(INDEX(식자재단가!$G$4:$G$203,MATCH(C121,식자재단가!$C$4:$C$203,0)),0))</f>
        <v>16000</v>
      </c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1" t="n">
        <f aca="false">N(INDEX(F121:R121,1,기본설정!$C$5+1))</f>
        <v>0</v>
      </c>
      <c r="T121" s="28" t="n">
        <f aca="false">S121*E121</f>
        <v>0</v>
      </c>
      <c r="U121" s="71" t="n">
        <f aca="false">N(INDEX(F121:R121,1,기본설정!$C$5))</f>
        <v>0</v>
      </c>
      <c r="V121" s="28" t="n">
        <f aca="false">U121*E121</f>
        <v>0</v>
      </c>
      <c r="W121" s="59" t="str">
        <f aca="false">IF(B121="","",IFERROR(INDEX(기본설정!$H$4:$H$14,MATCH(B121,기본설정!$G$4:$G$14,0)),""))</f>
        <v>식재료</v>
      </c>
    </row>
    <row r="122" customFormat="false" ht="15" hidden="false" customHeight="false" outlineLevel="0" collapsed="false">
      <c r="A122" s="83" t="str">
        <f aca="false">기본설정!$E$6</f>
        <v>모란점</v>
      </c>
      <c r="B122" s="81" t="str">
        <f aca="false">IF(C122="","",IFERROR(INDEX(식자재단가!$B$4:$B$203,MATCH(C122,식자재단가!$C$4:$C$203,0)),""))</f>
        <v>양념·향신료·소스</v>
      </c>
      <c r="C122" s="80" t="s">
        <v>536</v>
      </c>
      <c r="D122" s="59" t="str">
        <f aca="false">IF(C122="","",IFERROR(INDEX(식자재단가!$F$4:$F$203,MATCH(C122,식자재단가!$C$4:$C$203,0)),""))</f>
        <v>봉</v>
      </c>
      <c r="E122" s="84" t="n">
        <f aca="false">IF(C122="",0,IFERROR(INDEX(식자재단가!$G$4:$G$203,MATCH(C122,식자재단가!$C$4:$C$203,0)),0))</f>
        <v>30000</v>
      </c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1" t="n">
        <f aca="false">N(INDEX(F122:R122,1,기본설정!$C$5+1))</f>
        <v>0</v>
      </c>
      <c r="T122" s="28" t="n">
        <f aca="false">S122*E122</f>
        <v>0</v>
      </c>
      <c r="U122" s="71" t="n">
        <f aca="false">N(INDEX(F122:R122,1,기본설정!$C$5))</f>
        <v>0</v>
      </c>
      <c r="V122" s="28" t="n">
        <f aca="false">U122*E122</f>
        <v>0</v>
      </c>
      <c r="W122" s="59" t="str">
        <f aca="false">IF(B122="","",IFERROR(INDEX(기본설정!$H$4:$H$14,MATCH(B122,기본설정!$G$4:$G$14,0)),""))</f>
        <v>식재료</v>
      </c>
    </row>
    <row r="123" customFormat="false" ht="15" hidden="false" customHeight="false" outlineLevel="0" collapsed="false">
      <c r="A123" s="83" t="str">
        <f aca="false">기본설정!$E$6</f>
        <v>모란점</v>
      </c>
      <c r="B123" s="81" t="str">
        <f aca="false">IF(C123="","",IFERROR(INDEX(식자재단가!$B$4:$B$203,MATCH(C123,식자재단가!$C$4:$C$203,0)),""))</f>
        <v>양념·향신료·소스</v>
      </c>
      <c r="C123" s="80" t="s">
        <v>538</v>
      </c>
      <c r="D123" s="59" t="str">
        <f aca="false">IF(C123="","",IFERROR(INDEX(식자재단가!$F$4:$F$203,MATCH(C123,식자재단가!$C$4:$C$203,0)),""))</f>
        <v>봉</v>
      </c>
      <c r="E123" s="84" t="n">
        <f aca="false">IF(C123="",0,IFERROR(INDEX(식자재단가!$G$4:$G$203,MATCH(C123,식자재단가!$C$4:$C$203,0)),0))</f>
        <v>3500</v>
      </c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1" t="n">
        <f aca="false">N(INDEX(F123:R123,1,기본설정!$C$5+1))</f>
        <v>0</v>
      </c>
      <c r="T123" s="28" t="n">
        <f aca="false">S123*E123</f>
        <v>0</v>
      </c>
      <c r="U123" s="71" t="n">
        <f aca="false">N(INDEX(F123:R123,1,기본설정!$C$5))</f>
        <v>0</v>
      </c>
      <c r="V123" s="28" t="n">
        <f aca="false">U123*E123</f>
        <v>0</v>
      </c>
      <c r="W123" s="59" t="str">
        <f aca="false">IF(B123="","",IFERROR(INDEX(기본설정!$H$4:$H$14,MATCH(B123,기본설정!$G$4:$G$14,0)),""))</f>
        <v>식재료</v>
      </c>
    </row>
    <row r="124" customFormat="false" ht="15" hidden="false" customHeight="false" outlineLevel="0" collapsed="false">
      <c r="A124" s="83" t="str">
        <f aca="false">기본설정!$E$6</f>
        <v>모란점</v>
      </c>
      <c r="B124" s="81" t="str">
        <f aca="false">IF(C124="","",IFERROR(INDEX(식자재단가!$B$4:$B$203,MATCH(C124,식자재단가!$C$4:$C$203,0)),""))</f>
        <v>유지·기타식재료</v>
      </c>
      <c r="C124" s="80" t="s">
        <v>540</v>
      </c>
      <c r="D124" s="59" t="str">
        <f aca="false">IF(C124="","",IFERROR(INDEX(식자재단가!$F$4:$F$203,MATCH(C124,식자재단가!$C$4:$C$203,0)),""))</f>
        <v>말</v>
      </c>
      <c r="E124" s="84" t="n">
        <f aca="false">IF(C124="",0,IFERROR(INDEX(식자재단가!$G$4:$G$203,MATCH(C124,식자재단가!$C$4:$C$203,0)),0))</f>
        <v>55000</v>
      </c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1" t="n">
        <f aca="false">N(INDEX(F124:R124,1,기본설정!$C$5+1))</f>
        <v>0</v>
      </c>
      <c r="T124" s="28" t="n">
        <f aca="false">S124*E124</f>
        <v>0</v>
      </c>
      <c r="U124" s="71" t="n">
        <f aca="false">N(INDEX(F124:R124,1,기본설정!$C$5))</f>
        <v>0</v>
      </c>
      <c r="V124" s="28" t="n">
        <f aca="false">U124*E124</f>
        <v>0</v>
      </c>
      <c r="W124" s="59" t="str">
        <f aca="false">IF(B124="","",IFERROR(INDEX(기본설정!$H$4:$H$14,MATCH(B124,기본설정!$G$4:$G$14,0)),""))</f>
        <v>식재료</v>
      </c>
    </row>
    <row r="125" customFormat="false" ht="15" hidden="false" customHeight="false" outlineLevel="0" collapsed="false">
      <c r="A125" s="83" t="str">
        <f aca="false">기본설정!$E$6</f>
        <v>모란점</v>
      </c>
      <c r="B125" s="81" t="str">
        <f aca="false">IF(C125="","",IFERROR(INDEX(식자재단가!$B$4:$B$203,MATCH(C125,식자재단가!$C$4:$C$203,0)),""))</f>
        <v>유지·기타식재료</v>
      </c>
      <c r="C125" s="80" t="s">
        <v>544</v>
      </c>
      <c r="D125" s="59" t="str">
        <f aca="false">IF(C125="","",IFERROR(INDEX(식자재단가!$F$4:$F$203,MATCH(C125,식자재단가!$C$4:$C$203,0)),""))</f>
        <v>병</v>
      </c>
      <c r="E125" s="84" t="n">
        <f aca="false">IF(C125="",0,IFERROR(INDEX(식자재단가!$G$4:$G$203,MATCH(C125,식자재단가!$C$4:$C$203,0)),0))</f>
        <v>25000</v>
      </c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1" t="n">
        <f aca="false">N(INDEX(F125:R125,1,기본설정!$C$5+1))</f>
        <v>0</v>
      </c>
      <c r="T125" s="28" t="n">
        <f aca="false">S125*E125</f>
        <v>0</v>
      </c>
      <c r="U125" s="71" t="n">
        <f aca="false">N(INDEX(F125:R125,1,기본설정!$C$5))</f>
        <v>0</v>
      </c>
      <c r="V125" s="28" t="n">
        <f aca="false">U125*E125</f>
        <v>0</v>
      </c>
      <c r="W125" s="59" t="str">
        <f aca="false">IF(B125="","",IFERROR(INDEX(기본설정!$H$4:$H$14,MATCH(B125,기본설정!$G$4:$G$14,0)),""))</f>
        <v>식재료</v>
      </c>
    </row>
    <row r="126" customFormat="false" ht="15" hidden="false" customHeight="false" outlineLevel="0" collapsed="false">
      <c r="A126" s="83" t="str">
        <f aca="false">기본설정!$E$6</f>
        <v>모란점</v>
      </c>
      <c r="B126" s="81" t="str">
        <f aca="false">IF(C126="","",IFERROR(INDEX(식자재단가!$B$4:$B$203,MATCH(C126,식자재단가!$C$4:$C$203,0)),""))</f>
        <v>유지·기타식재료</v>
      </c>
      <c r="C126" s="80" t="s">
        <v>546</v>
      </c>
      <c r="D126" s="59" t="str">
        <f aca="false">IF(C126="","",IFERROR(INDEX(식자재단가!$F$4:$F$203,MATCH(C126,식자재단가!$C$4:$C$203,0)),""))</f>
        <v>봉</v>
      </c>
      <c r="E126" s="84" t="n">
        <f aca="false">IF(C126="",0,IFERROR(INDEX(식자재단가!$G$4:$G$203,MATCH(C126,식자재단가!$C$4:$C$203,0)),0))</f>
        <v>10000</v>
      </c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1" t="n">
        <f aca="false">N(INDEX(F126:R126,1,기본설정!$C$5+1))</f>
        <v>0</v>
      </c>
      <c r="T126" s="28" t="n">
        <f aca="false">S126*E126</f>
        <v>0</v>
      </c>
      <c r="U126" s="71" t="n">
        <f aca="false">N(INDEX(F126:R126,1,기본설정!$C$5))</f>
        <v>0</v>
      </c>
      <c r="V126" s="28" t="n">
        <f aca="false">U126*E126</f>
        <v>0</v>
      </c>
      <c r="W126" s="59" t="str">
        <f aca="false">IF(B126="","",IFERROR(INDEX(기본설정!$H$4:$H$14,MATCH(B126,기본설정!$G$4:$G$14,0)),""))</f>
        <v>식재료</v>
      </c>
    </row>
    <row r="127" customFormat="false" ht="15" hidden="false" customHeight="false" outlineLevel="0" collapsed="false">
      <c r="A127" s="83" t="str">
        <f aca="false">기본설정!$E$6</f>
        <v>모란점</v>
      </c>
      <c r="B127" s="81" t="str">
        <f aca="false">IF(C127="","",IFERROR(INDEX(식자재단가!$B$4:$B$203,MATCH(C127,식자재단가!$C$4:$C$203,0)),""))</f>
        <v>주류</v>
      </c>
      <c r="C127" s="80" t="s">
        <v>548</v>
      </c>
      <c r="D127" s="59" t="str">
        <f aca="false">IF(C127="","",IFERROR(INDEX(식자재단가!$F$4:$F$203,MATCH(C127,식자재단가!$C$4:$C$203,0)),""))</f>
        <v>병</v>
      </c>
      <c r="E127" s="84" t="n">
        <f aca="false">IF(C127="",0,IFERROR(INDEX(식자재단가!$G$4:$G$203,MATCH(C127,식자재단가!$C$4:$C$203,0)),0))</f>
        <v>12000</v>
      </c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1" t="n">
        <f aca="false">N(INDEX(F127:R127,1,기본설정!$C$5+1))</f>
        <v>0</v>
      </c>
      <c r="T127" s="28" t="n">
        <f aca="false">S127*E127</f>
        <v>0</v>
      </c>
      <c r="U127" s="71" t="n">
        <f aca="false">N(INDEX(F127:R127,1,기본설정!$C$5))</f>
        <v>0</v>
      </c>
      <c r="V127" s="28" t="n">
        <f aca="false">U127*E127</f>
        <v>0</v>
      </c>
      <c r="W127" s="59" t="str">
        <f aca="false">IF(B127="","",IFERROR(INDEX(기본설정!$H$4:$H$14,MATCH(B127,기본설정!$G$4:$G$14,0)),""))</f>
        <v>주류·음료</v>
      </c>
    </row>
    <row r="128" customFormat="false" ht="15" hidden="false" customHeight="false" outlineLevel="0" collapsed="false">
      <c r="A128" s="83" t="str">
        <f aca="false">기본설정!$E$6</f>
        <v>모란점</v>
      </c>
      <c r="B128" s="81" t="str">
        <f aca="false">IF(C128="","",IFERROR(INDEX(식자재단가!$B$4:$B$203,MATCH(C128,식자재단가!$C$4:$C$203,0)),""))</f>
        <v>주류</v>
      </c>
      <c r="C128" s="80" t="s">
        <v>552</v>
      </c>
      <c r="D128" s="59" t="str">
        <f aca="false">IF(C128="","",IFERROR(INDEX(식자재단가!$F$4:$F$203,MATCH(C128,식자재단가!$C$4:$C$203,0)),""))</f>
        <v>병</v>
      </c>
      <c r="E128" s="84" t="n">
        <f aca="false">IF(C128="",0,IFERROR(INDEX(식자재단가!$G$4:$G$203,MATCH(C128,식자재단가!$C$4:$C$203,0)),0))</f>
        <v>6500</v>
      </c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1" t="n">
        <f aca="false">N(INDEX(F128:R128,1,기본설정!$C$5+1))</f>
        <v>0</v>
      </c>
      <c r="T128" s="28" t="n">
        <f aca="false">S128*E128</f>
        <v>0</v>
      </c>
      <c r="U128" s="71" t="n">
        <f aca="false">N(INDEX(F128:R128,1,기본설정!$C$5))</f>
        <v>0</v>
      </c>
      <c r="V128" s="28" t="n">
        <f aca="false">U128*E128</f>
        <v>0</v>
      </c>
      <c r="W128" s="59" t="str">
        <f aca="false">IF(B128="","",IFERROR(INDEX(기본설정!$H$4:$H$14,MATCH(B128,기본설정!$G$4:$G$14,0)),""))</f>
        <v>주류·음료</v>
      </c>
    </row>
    <row r="129" customFormat="false" ht="15" hidden="false" customHeight="false" outlineLevel="0" collapsed="false">
      <c r="A129" s="83" t="str">
        <f aca="false">기본설정!$E$6</f>
        <v>모란점</v>
      </c>
      <c r="B129" s="81" t="str">
        <f aca="false">IF(C129="","",IFERROR(INDEX(식자재단가!$B$4:$B$203,MATCH(C129,식자재단가!$C$4:$C$203,0)),""))</f>
        <v>주류</v>
      </c>
      <c r="C129" s="80" t="s">
        <v>554</v>
      </c>
      <c r="D129" s="59" t="str">
        <f aca="false">IF(C129="","",IFERROR(INDEX(식자재단가!$F$4:$F$203,MATCH(C129,식자재단가!$C$4:$C$203,0)),""))</f>
        <v>병</v>
      </c>
      <c r="E129" s="84" t="n">
        <f aca="false">IF(C129="",0,IFERROR(INDEX(식자재단가!$G$4:$G$203,MATCH(C129,식자재단가!$C$4:$C$203,0)),0))</f>
        <v>3800</v>
      </c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1" t="n">
        <f aca="false">N(INDEX(F129:R129,1,기본설정!$C$5+1))</f>
        <v>0</v>
      </c>
      <c r="T129" s="28" t="n">
        <f aca="false">S129*E129</f>
        <v>0</v>
      </c>
      <c r="U129" s="71" t="n">
        <f aca="false">N(INDEX(F129:R129,1,기본설정!$C$5))</f>
        <v>0</v>
      </c>
      <c r="V129" s="28" t="n">
        <f aca="false">U129*E129</f>
        <v>0</v>
      </c>
      <c r="W129" s="59" t="str">
        <f aca="false">IF(B129="","",IFERROR(INDEX(기본설정!$H$4:$H$14,MATCH(B129,기본설정!$G$4:$G$14,0)),""))</f>
        <v>주류·음료</v>
      </c>
    </row>
    <row r="130" customFormat="false" ht="15" hidden="false" customHeight="false" outlineLevel="0" collapsed="false">
      <c r="A130" s="83" t="str">
        <f aca="false">기본설정!$E$6</f>
        <v>모란점</v>
      </c>
      <c r="B130" s="81" t="str">
        <f aca="false">IF(C130="","",IFERROR(INDEX(식자재단가!$B$4:$B$203,MATCH(C130,식자재단가!$C$4:$C$203,0)),""))</f>
        <v>주류</v>
      </c>
      <c r="C130" s="80" t="s">
        <v>556</v>
      </c>
      <c r="D130" s="59" t="str">
        <f aca="false">IF(C130="","",IFERROR(INDEX(식자재단가!$F$4:$F$203,MATCH(C130,식자재단가!$C$4:$C$203,0)),""))</f>
        <v>병</v>
      </c>
      <c r="E130" s="84" t="n">
        <f aca="false">IF(C130="",0,IFERROR(INDEX(식자재단가!$G$4:$G$203,MATCH(C130,식자재단가!$C$4:$C$203,0)),0))</f>
        <v>8000</v>
      </c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1" t="n">
        <f aca="false">N(INDEX(F130:R130,1,기본설정!$C$5+1))</f>
        <v>0</v>
      </c>
      <c r="T130" s="28" t="n">
        <f aca="false">S130*E130</f>
        <v>0</v>
      </c>
      <c r="U130" s="71" t="n">
        <f aca="false">N(INDEX(F130:R130,1,기본설정!$C$5))</f>
        <v>0</v>
      </c>
      <c r="V130" s="28" t="n">
        <f aca="false">U130*E130</f>
        <v>0</v>
      </c>
      <c r="W130" s="59" t="str">
        <f aca="false">IF(B130="","",IFERROR(INDEX(기본설정!$H$4:$H$14,MATCH(B130,기본설정!$G$4:$G$14,0)),""))</f>
        <v>주류·음료</v>
      </c>
    </row>
    <row r="131" customFormat="false" ht="15" hidden="false" customHeight="false" outlineLevel="0" collapsed="false">
      <c r="A131" s="83" t="str">
        <f aca="false">기본설정!$E$6</f>
        <v>모란점</v>
      </c>
      <c r="B131" s="81" t="str">
        <f aca="false">IF(C131="","",IFERROR(INDEX(식자재단가!$B$4:$B$203,MATCH(C131,식자재단가!$C$4:$C$203,0)),""))</f>
        <v>주류</v>
      </c>
      <c r="C131" s="80" t="s">
        <v>559</v>
      </c>
      <c r="D131" s="59" t="str">
        <f aca="false">IF(C131="","",IFERROR(INDEX(식자재단가!$F$4:$F$203,MATCH(C131,식자재단가!$C$4:$C$203,0)),""))</f>
        <v>병</v>
      </c>
      <c r="E131" s="84" t="n">
        <f aca="false">IF(C131="",0,IFERROR(INDEX(식자재단가!$G$4:$G$203,MATCH(C131,식자재단가!$C$4:$C$203,0)),0))</f>
        <v>4800</v>
      </c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1" t="n">
        <f aca="false">N(INDEX(F131:R131,1,기본설정!$C$5+1))</f>
        <v>0</v>
      </c>
      <c r="T131" s="28" t="n">
        <f aca="false">S131*E131</f>
        <v>0</v>
      </c>
      <c r="U131" s="71" t="n">
        <f aca="false">N(INDEX(F131:R131,1,기본설정!$C$5))</f>
        <v>0</v>
      </c>
      <c r="V131" s="28" t="n">
        <f aca="false">U131*E131</f>
        <v>0</v>
      </c>
      <c r="W131" s="59" t="str">
        <f aca="false">IF(B131="","",IFERROR(INDEX(기본설정!$H$4:$H$14,MATCH(B131,기본설정!$G$4:$G$14,0)),""))</f>
        <v>주류·음료</v>
      </c>
    </row>
    <row r="132" customFormat="false" ht="15" hidden="false" customHeight="false" outlineLevel="0" collapsed="false">
      <c r="A132" s="83" t="str">
        <f aca="false">기본설정!$E$6</f>
        <v>모란점</v>
      </c>
      <c r="B132" s="81" t="str">
        <f aca="false">IF(C132="","",IFERROR(INDEX(식자재단가!$B$4:$B$203,MATCH(C132,식자재단가!$C$4:$C$203,0)),""))</f>
        <v>주류</v>
      </c>
      <c r="C132" s="80" t="s">
        <v>561</v>
      </c>
      <c r="D132" s="59" t="str">
        <f aca="false">IF(C132="","",IFERROR(INDEX(식자재단가!$F$4:$F$203,MATCH(C132,식자재단가!$C$4:$C$203,0)),""))</f>
        <v>병</v>
      </c>
      <c r="E132" s="84" t="n">
        <f aca="false">IF(C132="",0,IFERROR(INDEX(식자재단가!$G$4:$G$203,MATCH(C132,식자재단가!$C$4:$C$203,0)),0))</f>
        <v>17000</v>
      </c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1" t="n">
        <f aca="false">N(INDEX(F132:R132,1,기본설정!$C$5+1))</f>
        <v>0</v>
      </c>
      <c r="T132" s="28" t="n">
        <f aca="false">S132*E132</f>
        <v>0</v>
      </c>
      <c r="U132" s="71" t="n">
        <f aca="false">N(INDEX(F132:R132,1,기본설정!$C$5))</f>
        <v>0</v>
      </c>
      <c r="V132" s="28" t="n">
        <f aca="false">U132*E132</f>
        <v>0</v>
      </c>
      <c r="W132" s="59" t="str">
        <f aca="false">IF(B132="","",IFERROR(INDEX(기본설정!$H$4:$H$14,MATCH(B132,기본설정!$G$4:$G$14,0)),""))</f>
        <v>주류·음료</v>
      </c>
    </row>
    <row r="133" customFormat="false" ht="15" hidden="false" customHeight="false" outlineLevel="0" collapsed="false">
      <c r="A133" s="83" t="str">
        <f aca="false">기본설정!$E$6</f>
        <v>모란점</v>
      </c>
      <c r="B133" s="81" t="str">
        <f aca="false">IF(C133="","",IFERROR(INDEX(식자재단가!$B$4:$B$203,MATCH(C133,식자재단가!$C$4:$C$203,0)),""))</f>
        <v>주류</v>
      </c>
      <c r="C133" s="80" t="s">
        <v>564</v>
      </c>
      <c r="D133" s="59" t="str">
        <f aca="false">IF(C133="","",IFERROR(INDEX(식자재단가!$F$4:$F$203,MATCH(C133,식자재단가!$C$4:$C$203,0)),""))</f>
        <v>병</v>
      </c>
      <c r="E133" s="84" t="n">
        <f aca="false">IF(C133="",0,IFERROR(INDEX(식자재단가!$G$4:$G$203,MATCH(C133,식자재단가!$C$4:$C$203,0)),0))</f>
        <v>9500</v>
      </c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1" t="n">
        <f aca="false">N(INDEX(F133:R133,1,기본설정!$C$5+1))</f>
        <v>0</v>
      </c>
      <c r="T133" s="28" t="n">
        <f aca="false">S133*E133</f>
        <v>0</v>
      </c>
      <c r="U133" s="71" t="n">
        <f aca="false">N(INDEX(F133:R133,1,기본설정!$C$5))</f>
        <v>0</v>
      </c>
      <c r="V133" s="28" t="n">
        <f aca="false">U133*E133</f>
        <v>0</v>
      </c>
      <c r="W133" s="59" t="str">
        <f aca="false">IF(B133="","",IFERROR(INDEX(기본설정!$H$4:$H$14,MATCH(B133,기본설정!$G$4:$G$14,0)),""))</f>
        <v>주류·음료</v>
      </c>
    </row>
    <row r="134" customFormat="false" ht="15" hidden="false" customHeight="false" outlineLevel="0" collapsed="false">
      <c r="A134" s="83" t="str">
        <f aca="false">기본설정!$E$6</f>
        <v>모란점</v>
      </c>
      <c r="B134" s="81" t="str">
        <f aca="false">IF(C134="","",IFERROR(INDEX(식자재단가!$B$4:$B$203,MATCH(C134,식자재단가!$C$4:$C$203,0)),""))</f>
        <v>주류</v>
      </c>
      <c r="C134" s="80" t="s">
        <v>566</v>
      </c>
      <c r="D134" s="59" t="str">
        <f aca="false">IF(C134="","",IFERROR(INDEX(식자재단가!$F$4:$F$203,MATCH(C134,식자재단가!$C$4:$C$203,0)),""))</f>
        <v>병</v>
      </c>
      <c r="E134" s="84" t="n">
        <f aca="false">IF(C134="",0,IFERROR(INDEX(식자재단가!$G$4:$G$203,MATCH(C134,식자재단가!$C$4:$C$203,0)),0))</f>
        <v>2600</v>
      </c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1" t="n">
        <f aca="false">N(INDEX(F134:R134,1,기본설정!$C$5+1))</f>
        <v>0</v>
      </c>
      <c r="T134" s="28" t="n">
        <f aca="false">S134*E134</f>
        <v>0</v>
      </c>
      <c r="U134" s="71" t="n">
        <f aca="false">N(INDEX(F134:R134,1,기본설정!$C$5))</f>
        <v>0</v>
      </c>
      <c r="V134" s="28" t="n">
        <f aca="false">U134*E134</f>
        <v>0</v>
      </c>
      <c r="W134" s="59" t="str">
        <f aca="false">IF(B134="","",IFERROR(INDEX(기본설정!$H$4:$H$14,MATCH(B134,기본설정!$G$4:$G$14,0)),""))</f>
        <v>주류·음료</v>
      </c>
    </row>
    <row r="135" customFormat="false" ht="15" hidden="false" customHeight="false" outlineLevel="0" collapsed="false">
      <c r="A135" s="83" t="str">
        <f aca="false">기본설정!$E$6</f>
        <v>모란점</v>
      </c>
      <c r="B135" s="81" t="str">
        <f aca="false">IF(C135="","",IFERROR(INDEX(식자재단가!$B$4:$B$203,MATCH(C135,식자재단가!$C$4:$C$203,0)),""))</f>
        <v>주류</v>
      </c>
      <c r="C135" s="80" t="s">
        <v>569</v>
      </c>
      <c r="D135" s="59" t="str">
        <f aca="false">IF(C135="","",IFERROR(INDEX(식자재단가!$F$4:$F$203,MATCH(C135,식자재단가!$C$4:$C$203,0)),""))</f>
        <v>병</v>
      </c>
      <c r="E135" s="84" t="n">
        <f aca="false">IF(C135="",0,IFERROR(INDEX(식자재단가!$G$4:$G$203,MATCH(C135,식자재단가!$C$4:$C$203,0)),0))</f>
        <v>2000</v>
      </c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1" t="n">
        <f aca="false">N(INDEX(F135:R135,1,기본설정!$C$5+1))</f>
        <v>0</v>
      </c>
      <c r="T135" s="28" t="n">
        <f aca="false">S135*E135</f>
        <v>0</v>
      </c>
      <c r="U135" s="71" t="n">
        <f aca="false">N(INDEX(F135:R135,1,기본설정!$C$5))</f>
        <v>0</v>
      </c>
      <c r="V135" s="28" t="n">
        <f aca="false">U135*E135</f>
        <v>0</v>
      </c>
      <c r="W135" s="59" t="str">
        <f aca="false">IF(B135="","",IFERROR(INDEX(기본설정!$H$4:$H$14,MATCH(B135,기본설정!$G$4:$G$14,0)),""))</f>
        <v>주류·음료</v>
      </c>
    </row>
    <row r="136" customFormat="false" ht="15" hidden="false" customHeight="false" outlineLevel="0" collapsed="false">
      <c r="A136" s="83" t="str">
        <f aca="false">기본설정!$E$6</f>
        <v>모란점</v>
      </c>
      <c r="B136" s="81" t="str">
        <f aca="false">IF(C136="","",IFERROR(INDEX(식자재단가!$B$4:$B$203,MATCH(C136,식자재단가!$C$4:$C$203,0)),""))</f>
        <v>주류</v>
      </c>
      <c r="C136" s="80" t="s">
        <v>572</v>
      </c>
      <c r="D136" s="59" t="str">
        <f aca="false">IF(C136="","",IFERROR(INDEX(식자재단가!$F$4:$F$203,MATCH(C136,식자재단가!$C$4:$C$203,0)),""))</f>
        <v>병</v>
      </c>
      <c r="E136" s="84" t="n">
        <f aca="false">IF(C136="",0,IFERROR(INDEX(식자재단가!$G$4:$G$203,MATCH(C136,식자재단가!$C$4:$C$203,0)),0))</f>
        <v>26000</v>
      </c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1" t="n">
        <f aca="false">N(INDEX(F136:R136,1,기본설정!$C$5+1))</f>
        <v>0</v>
      </c>
      <c r="T136" s="28" t="n">
        <f aca="false">S136*E136</f>
        <v>0</v>
      </c>
      <c r="U136" s="71" t="n">
        <f aca="false">N(INDEX(F136:R136,1,기본설정!$C$5))</f>
        <v>0</v>
      </c>
      <c r="V136" s="28" t="n">
        <f aca="false">U136*E136</f>
        <v>0</v>
      </c>
      <c r="W136" s="59" t="str">
        <f aca="false">IF(B136="","",IFERROR(INDEX(기본설정!$H$4:$H$14,MATCH(B136,기본설정!$G$4:$G$14,0)),""))</f>
        <v>주류·음료</v>
      </c>
    </row>
    <row r="137" customFormat="false" ht="15" hidden="false" customHeight="false" outlineLevel="0" collapsed="false">
      <c r="A137" s="83" t="str">
        <f aca="false">기본설정!$E$6</f>
        <v>모란점</v>
      </c>
      <c r="B137" s="81" t="str">
        <f aca="false">IF(C137="","",IFERROR(INDEX(식자재단가!$B$4:$B$203,MATCH(C137,식자재단가!$C$4:$C$203,0)),""))</f>
        <v>주류</v>
      </c>
      <c r="C137" s="80" t="s">
        <v>575</v>
      </c>
      <c r="D137" s="59" t="str">
        <f aca="false">IF(C137="","",IFERROR(INDEX(식자재단가!$F$4:$F$203,MATCH(C137,식자재단가!$C$4:$C$203,0)),""))</f>
        <v>병</v>
      </c>
      <c r="E137" s="84" t="n">
        <f aca="false">IF(C137="",0,IFERROR(INDEX(식자재단가!$G$4:$G$203,MATCH(C137,식자재단가!$C$4:$C$203,0)),0))</f>
        <v>28000</v>
      </c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1" t="n">
        <f aca="false">N(INDEX(F137:R137,1,기본설정!$C$5+1))</f>
        <v>0</v>
      </c>
      <c r="T137" s="28" t="n">
        <f aca="false">S137*E137</f>
        <v>0</v>
      </c>
      <c r="U137" s="71" t="n">
        <f aca="false">N(INDEX(F137:R137,1,기본설정!$C$5))</f>
        <v>0</v>
      </c>
      <c r="V137" s="28" t="n">
        <f aca="false">U137*E137</f>
        <v>0</v>
      </c>
      <c r="W137" s="59" t="str">
        <f aca="false">IF(B137="","",IFERROR(INDEX(기본설정!$H$4:$H$14,MATCH(B137,기본설정!$G$4:$G$14,0)),""))</f>
        <v>주류·음료</v>
      </c>
    </row>
    <row r="138" customFormat="false" ht="15" hidden="false" customHeight="false" outlineLevel="0" collapsed="false">
      <c r="A138" s="83" t="str">
        <f aca="false">기본설정!$E$6</f>
        <v>모란점</v>
      </c>
      <c r="B138" s="81" t="str">
        <f aca="false">IF(C138="","",IFERROR(INDEX(식자재단가!$B$4:$B$203,MATCH(C138,식자재단가!$C$4:$C$203,0)),""))</f>
        <v>주류</v>
      </c>
      <c r="C138" s="80" t="s">
        <v>577</v>
      </c>
      <c r="D138" s="59" t="str">
        <f aca="false">IF(C138="","",IFERROR(INDEX(식자재단가!$F$4:$F$203,MATCH(C138,식자재단가!$C$4:$C$203,0)),""))</f>
        <v>병</v>
      </c>
      <c r="E138" s="84" t="n">
        <f aca="false">IF(C138="",0,IFERROR(INDEX(식자재단가!$G$4:$G$203,MATCH(C138,식자재단가!$C$4:$C$203,0)),0))</f>
        <v>22000</v>
      </c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1" t="n">
        <f aca="false">N(INDEX(F138:R138,1,기본설정!$C$5+1))</f>
        <v>0</v>
      </c>
      <c r="T138" s="28" t="n">
        <f aca="false">S138*E138</f>
        <v>0</v>
      </c>
      <c r="U138" s="71" t="n">
        <f aca="false">N(INDEX(F138:R138,1,기본설정!$C$5))</f>
        <v>0</v>
      </c>
      <c r="V138" s="28" t="n">
        <f aca="false">U138*E138</f>
        <v>0</v>
      </c>
      <c r="W138" s="59" t="str">
        <f aca="false">IF(B138="","",IFERROR(INDEX(기본설정!$H$4:$H$14,MATCH(B138,기본설정!$G$4:$G$14,0)),""))</f>
        <v>주류·음료</v>
      </c>
    </row>
    <row r="139" customFormat="false" ht="15" hidden="false" customHeight="false" outlineLevel="0" collapsed="false">
      <c r="A139" s="83" t="str">
        <f aca="false">기본설정!$E$6</f>
        <v>모란점</v>
      </c>
      <c r="B139" s="81" t="str">
        <f aca="false">IF(C139="","",IFERROR(INDEX(식자재단가!$B$4:$B$203,MATCH(C139,식자재단가!$C$4:$C$203,0)),""))</f>
        <v>주류</v>
      </c>
      <c r="C139" s="80" t="s">
        <v>579</v>
      </c>
      <c r="D139" s="59" t="str">
        <f aca="false">IF(C139="","",IFERROR(INDEX(식자재단가!$F$4:$F$203,MATCH(C139,식자재단가!$C$4:$C$203,0)),""))</f>
        <v>병</v>
      </c>
      <c r="E139" s="84" t="n">
        <f aca="false">IF(C139="",0,IFERROR(INDEX(식자재단가!$G$4:$G$203,MATCH(C139,식자재단가!$C$4:$C$203,0)),0))</f>
        <v>16000</v>
      </c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1" t="n">
        <f aca="false">N(INDEX(F139:R139,1,기본설정!$C$5+1))</f>
        <v>0</v>
      </c>
      <c r="T139" s="28" t="n">
        <f aca="false">S139*E139</f>
        <v>0</v>
      </c>
      <c r="U139" s="71" t="n">
        <f aca="false">N(INDEX(F139:R139,1,기본설정!$C$5))</f>
        <v>0</v>
      </c>
      <c r="V139" s="28" t="n">
        <f aca="false">U139*E139</f>
        <v>0</v>
      </c>
      <c r="W139" s="59" t="str">
        <f aca="false">IF(B139="","",IFERROR(INDEX(기본설정!$H$4:$H$14,MATCH(B139,기본설정!$G$4:$G$14,0)),""))</f>
        <v>주류·음료</v>
      </c>
    </row>
    <row r="140" customFormat="false" ht="15" hidden="false" customHeight="false" outlineLevel="0" collapsed="false">
      <c r="A140" s="83" t="str">
        <f aca="false">기본설정!$E$6</f>
        <v>모란점</v>
      </c>
      <c r="B140" s="81" t="str">
        <f aca="false">IF(C140="","",IFERROR(INDEX(식자재단가!$B$4:$B$203,MATCH(C140,식자재단가!$C$4:$C$203,0)),""))</f>
        <v>주류</v>
      </c>
      <c r="C140" s="80" t="s">
        <v>581</v>
      </c>
      <c r="D140" s="59" t="str">
        <f aca="false">IF(C140="","",IFERROR(INDEX(식자재단가!$F$4:$F$203,MATCH(C140,식자재단가!$C$4:$C$203,0)),""))</f>
        <v>병</v>
      </c>
      <c r="E140" s="84" t="n">
        <f aca="false">IF(C140="",0,IFERROR(INDEX(식자재단가!$G$4:$G$203,MATCH(C140,식자재단가!$C$4:$C$203,0)),0))</f>
        <v>30000</v>
      </c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1" t="n">
        <f aca="false">N(INDEX(F140:R140,1,기본설정!$C$5+1))</f>
        <v>0</v>
      </c>
      <c r="T140" s="28" t="n">
        <f aca="false">S140*E140</f>
        <v>0</v>
      </c>
      <c r="U140" s="71" t="n">
        <f aca="false">N(INDEX(F140:R140,1,기본설정!$C$5))</f>
        <v>0</v>
      </c>
      <c r="V140" s="28" t="n">
        <f aca="false">U140*E140</f>
        <v>0</v>
      </c>
      <c r="W140" s="59" t="str">
        <f aca="false">IF(B140="","",IFERROR(INDEX(기본설정!$H$4:$H$14,MATCH(B140,기본설정!$G$4:$G$14,0)),""))</f>
        <v>주류·음료</v>
      </c>
    </row>
    <row r="141" customFormat="false" ht="15" hidden="false" customHeight="false" outlineLevel="0" collapsed="false">
      <c r="A141" s="83" t="str">
        <f aca="false">기본설정!$E$6</f>
        <v>모란점</v>
      </c>
      <c r="B141" s="81" t="str">
        <f aca="false">IF(C141="","",IFERROR(INDEX(식자재단가!$B$4:$B$203,MATCH(C141,식자재단가!$C$4:$C$203,0)),""))</f>
        <v>주류</v>
      </c>
      <c r="C141" s="80" t="s">
        <v>583</v>
      </c>
      <c r="D141" s="59" t="str">
        <f aca="false">IF(C141="","",IFERROR(INDEX(식자재단가!$F$4:$F$203,MATCH(C141,식자재단가!$C$4:$C$203,0)),""))</f>
        <v>병</v>
      </c>
      <c r="E141" s="84" t="n">
        <f aca="false">IF(C141="",0,IFERROR(INDEX(식자재단가!$G$4:$G$203,MATCH(C141,식자재단가!$C$4:$C$203,0)),0))</f>
        <v>12000</v>
      </c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1" t="n">
        <f aca="false">N(INDEX(F141:R141,1,기본설정!$C$5+1))</f>
        <v>0</v>
      </c>
      <c r="T141" s="28" t="n">
        <f aca="false">S141*E141</f>
        <v>0</v>
      </c>
      <c r="U141" s="71" t="n">
        <f aca="false">N(INDEX(F141:R141,1,기본설정!$C$5))</f>
        <v>0</v>
      </c>
      <c r="V141" s="28" t="n">
        <f aca="false">U141*E141</f>
        <v>0</v>
      </c>
      <c r="W141" s="59" t="str">
        <f aca="false">IF(B141="","",IFERROR(INDEX(기본설정!$H$4:$H$14,MATCH(B141,기본설정!$G$4:$G$14,0)),""))</f>
        <v>주류·음료</v>
      </c>
    </row>
    <row r="142" customFormat="false" ht="15" hidden="false" customHeight="false" outlineLevel="0" collapsed="false">
      <c r="A142" s="83" t="str">
        <f aca="false">기본설정!$E$6</f>
        <v>모란점</v>
      </c>
      <c r="B142" s="81" t="str">
        <f aca="false">IF(C142="","",IFERROR(INDEX(식자재단가!$B$4:$B$203,MATCH(C142,식자재단가!$C$4:$C$203,0)),""))</f>
        <v>음료·얼음</v>
      </c>
      <c r="C142" s="80" t="s">
        <v>586</v>
      </c>
      <c r="D142" s="59" t="str">
        <f aca="false">IF(C142="","",IFERROR(INDEX(식자재단가!$F$4:$F$203,MATCH(C142,식자재단가!$C$4:$C$203,0)),""))</f>
        <v>병</v>
      </c>
      <c r="E142" s="84" t="n">
        <f aca="false">IF(C142="",0,IFERROR(INDEX(식자재단가!$G$4:$G$203,MATCH(C142,식자재단가!$C$4:$C$203,0)),0))</f>
        <v>1500</v>
      </c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1" t="n">
        <f aca="false">N(INDEX(F142:R142,1,기본설정!$C$5+1))</f>
        <v>0</v>
      </c>
      <c r="T142" s="28" t="n">
        <f aca="false">S142*E142</f>
        <v>0</v>
      </c>
      <c r="U142" s="71" t="n">
        <f aca="false">N(INDEX(F142:R142,1,기본설정!$C$5))</f>
        <v>0</v>
      </c>
      <c r="V142" s="28" t="n">
        <f aca="false">U142*E142</f>
        <v>0</v>
      </c>
      <c r="W142" s="59" t="str">
        <f aca="false">IF(B142="","",IFERROR(INDEX(기본설정!$H$4:$H$14,MATCH(B142,기본설정!$G$4:$G$14,0)),""))</f>
        <v>주류·음료</v>
      </c>
    </row>
    <row r="143" customFormat="false" ht="15" hidden="false" customHeight="false" outlineLevel="0" collapsed="false">
      <c r="A143" s="83" t="str">
        <f aca="false">기본설정!$E$6</f>
        <v>모란점</v>
      </c>
      <c r="B143" s="81" t="str">
        <f aca="false">IF(C143="","",IFERROR(INDEX(식자재단가!$B$4:$B$203,MATCH(C143,식자재단가!$C$4:$C$203,0)),""))</f>
        <v>음료·얼음</v>
      </c>
      <c r="C143" s="80" t="s">
        <v>588</v>
      </c>
      <c r="D143" s="59" t="str">
        <f aca="false">IF(C143="","",IFERROR(INDEX(식자재단가!$F$4:$F$203,MATCH(C143,식자재단가!$C$4:$C$203,0)),""))</f>
        <v>캔</v>
      </c>
      <c r="E143" s="84" t="n">
        <f aca="false">IF(C143="",0,IFERROR(INDEX(식자재단가!$G$4:$G$203,MATCH(C143,식자재단가!$C$4:$C$203,0)),0))</f>
        <v>900</v>
      </c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1" t="n">
        <f aca="false">N(INDEX(F143:R143,1,기본설정!$C$5+1))</f>
        <v>0</v>
      </c>
      <c r="T143" s="28" t="n">
        <f aca="false">S143*E143</f>
        <v>0</v>
      </c>
      <c r="U143" s="71" t="n">
        <f aca="false">N(INDEX(F143:R143,1,기본설정!$C$5))</f>
        <v>0</v>
      </c>
      <c r="V143" s="28" t="n">
        <f aca="false">U143*E143</f>
        <v>0</v>
      </c>
      <c r="W143" s="59" t="str">
        <f aca="false">IF(B143="","",IFERROR(INDEX(기본설정!$H$4:$H$14,MATCH(B143,기본설정!$G$4:$G$14,0)),""))</f>
        <v>주류·음료</v>
      </c>
    </row>
    <row r="144" customFormat="false" ht="15" hidden="false" customHeight="false" outlineLevel="0" collapsed="false">
      <c r="A144" s="83" t="str">
        <f aca="false">기본설정!$E$6</f>
        <v>모란점</v>
      </c>
      <c r="B144" s="81" t="str">
        <f aca="false">IF(C144="","",IFERROR(INDEX(식자재단가!$B$4:$B$203,MATCH(C144,식자재단가!$C$4:$C$203,0)),""))</f>
        <v>음료·얼음</v>
      </c>
      <c r="C144" s="80" t="s">
        <v>591</v>
      </c>
      <c r="D144" s="59" t="str">
        <f aca="false">IF(C144="","",IFERROR(INDEX(식자재단가!$F$4:$F$203,MATCH(C144,식자재단가!$C$4:$C$203,0)),""))</f>
        <v>캔</v>
      </c>
      <c r="E144" s="84" t="n">
        <f aca="false">IF(C144="",0,IFERROR(INDEX(식자재단가!$G$4:$G$203,MATCH(C144,식자재단가!$C$4:$C$203,0)),0))</f>
        <v>900</v>
      </c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1" t="n">
        <f aca="false">N(INDEX(F144:R144,1,기본설정!$C$5+1))</f>
        <v>0</v>
      </c>
      <c r="T144" s="28" t="n">
        <f aca="false">S144*E144</f>
        <v>0</v>
      </c>
      <c r="U144" s="71" t="n">
        <f aca="false">N(INDEX(F144:R144,1,기본설정!$C$5))</f>
        <v>0</v>
      </c>
      <c r="V144" s="28" t="n">
        <f aca="false">U144*E144</f>
        <v>0</v>
      </c>
      <c r="W144" s="59" t="str">
        <f aca="false">IF(B144="","",IFERROR(INDEX(기본설정!$H$4:$H$14,MATCH(B144,기본설정!$G$4:$G$14,0)),""))</f>
        <v>주류·음료</v>
      </c>
    </row>
    <row r="145" customFormat="false" ht="15" hidden="false" customHeight="false" outlineLevel="0" collapsed="false">
      <c r="A145" s="83" t="str">
        <f aca="false">기본설정!$E$6</f>
        <v>모란점</v>
      </c>
      <c r="B145" s="81" t="str">
        <f aca="false">IF(C145="","",IFERROR(INDEX(식자재단가!$B$4:$B$203,MATCH(C145,식자재단가!$C$4:$C$203,0)),""))</f>
        <v>음료·얼음</v>
      </c>
      <c r="C145" s="80" t="s">
        <v>593</v>
      </c>
      <c r="D145" s="59" t="str">
        <f aca="false">IF(C145="","",IFERROR(INDEX(식자재단가!$F$4:$F$203,MATCH(C145,식자재단가!$C$4:$C$203,0)),""))</f>
        <v>봉</v>
      </c>
      <c r="E145" s="84" t="n">
        <f aca="false">IF(C145="",0,IFERROR(INDEX(식자재단가!$G$4:$G$203,MATCH(C145,식자재단가!$C$4:$C$203,0)),0))</f>
        <v>3000</v>
      </c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1" t="n">
        <f aca="false">N(INDEX(F145:R145,1,기본설정!$C$5+1))</f>
        <v>0</v>
      </c>
      <c r="T145" s="28" t="n">
        <f aca="false">S145*E145</f>
        <v>0</v>
      </c>
      <c r="U145" s="71" t="n">
        <f aca="false">N(INDEX(F145:R145,1,기본설정!$C$5))</f>
        <v>0</v>
      </c>
      <c r="V145" s="28" t="n">
        <f aca="false">U145*E145</f>
        <v>0</v>
      </c>
      <c r="W145" s="59" t="str">
        <f aca="false">IF(B145="","",IFERROR(INDEX(기본설정!$H$4:$H$14,MATCH(B145,기본설정!$G$4:$G$14,0)),""))</f>
        <v>주류·음료</v>
      </c>
    </row>
    <row r="146" customFormat="false" ht="15" hidden="false" customHeight="false" outlineLevel="0" collapsed="false">
      <c r="A146" s="83" t="str">
        <f aca="false">기본설정!$E$6</f>
        <v>모란점</v>
      </c>
      <c r="B146" s="81" t="str">
        <f aca="false">IF(C146="","",IFERROR(INDEX(식자재단가!$B$4:$B$203,MATCH(C146,식자재단가!$C$4:$C$203,0)),""))</f>
        <v>숯·소모품·포장</v>
      </c>
      <c r="C146" s="80" t="s">
        <v>595</v>
      </c>
      <c r="D146" s="59" t="str">
        <f aca="false">IF(C146="","",IFERROR(INDEX(식자재단가!$F$4:$F$203,MATCH(C146,식자재단가!$C$4:$C$203,0)),""))</f>
        <v>박스</v>
      </c>
      <c r="E146" s="84" t="n">
        <f aca="false">IF(C146="",0,IFERROR(INDEX(식자재단가!$G$4:$G$203,MATCH(C146,식자재단가!$C$4:$C$203,0)),0))</f>
        <v>25000</v>
      </c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1" t="n">
        <f aca="false">N(INDEX(F146:R146,1,기본설정!$C$5+1))</f>
        <v>0</v>
      </c>
      <c r="T146" s="28" t="n">
        <f aca="false">S146*E146</f>
        <v>0</v>
      </c>
      <c r="U146" s="71" t="n">
        <f aca="false">N(INDEX(F146:R146,1,기본설정!$C$5))</f>
        <v>0</v>
      </c>
      <c r="V146" s="28" t="n">
        <f aca="false">U146*E146</f>
        <v>0</v>
      </c>
      <c r="W146" s="59" t="str">
        <f aca="false">IF(B146="","",IFERROR(INDEX(기본설정!$H$4:$H$14,MATCH(B146,기본설정!$G$4:$G$14,0)),""))</f>
        <v>소모품</v>
      </c>
    </row>
    <row r="147" customFormat="false" ht="15" hidden="false" customHeight="false" outlineLevel="0" collapsed="false">
      <c r="A147" s="83" t="str">
        <f aca="false">기본설정!$E$6</f>
        <v>모란점</v>
      </c>
      <c r="B147" s="81" t="str">
        <f aca="false">IF(C147="","",IFERROR(INDEX(식자재단가!$B$4:$B$203,MATCH(C147,식자재단가!$C$4:$C$203,0)),""))</f>
        <v>숯·소모품·포장</v>
      </c>
      <c r="C147" s="80" t="s">
        <v>599</v>
      </c>
      <c r="D147" s="59" t="str">
        <f aca="false">IF(C147="","",IFERROR(INDEX(식자재단가!$F$4:$F$203,MATCH(C147,식자재단가!$C$4:$C$203,0)),""))</f>
        <v>박스</v>
      </c>
      <c r="E147" s="84" t="n">
        <f aca="false">IF(C147="",0,IFERROR(INDEX(식자재단가!$G$4:$G$203,MATCH(C147,식자재단가!$C$4:$C$203,0)),0))</f>
        <v>20000</v>
      </c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1" t="n">
        <f aca="false">N(INDEX(F147:R147,1,기본설정!$C$5+1))</f>
        <v>0</v>
      </c>
      <c r="T147" s="28" t="n">
        <f aca="false">S147*E147</f>
        <v>0</v>
      </c>
      <c r="U147" s="71" t="n">
        <f aca="false">N(INDEX(F147:R147,1,기본설정!$C$5))</f>
        <v>0</v>
      </c>
      <c r="V147" s="28" t="n">
        <f aca="false">U147*E147</f>
        <v>0</v>
      </c>
      <c r="W147" s="59" t="str">
        <f aca="false">IF(B147="","",IFERROR(INDEX(기본설정!$H$4:$H$14,MATCH(B147,기본설정!$G$4:$G$14,0)),""))</f>
        <v>소모품</v>
      </c>
    </row>
    <row r="148" customFormat="false" ht="15" hidden="false" customHeight="false" outlineLevel="0" collapsed="false">
      <c r="A148" s="83" t="str">
        <f aca="false">기본설정!$E$6</f>
        <v>모란점</v>
      </c>
      <c r="B148" s="81" t="str">
        <f aca="false">IF(C148="","",IFERROR(INDEX(식자재단가!$B$4:$B$203,MATCH(C148,식자재단가!$C$4:$C$203,0)),""))</f>
        <v>숯·소모품·포장</v>
      </c>
      <c r="C148" s="80" t="s">
        <v>603</v>
      </c>
      <c r="D148" s="59" t="str">
        <f aca="false">IF(C148="","",IFERROR(INDEX(식자재단가!$F$4:$F$203,MATCH(C148,식자재단가!$C$4:$C$203,0)),""))</f>
        <v>박스</v>
      </c>
      <c r="E148" s="84" t="n">
        <f aca="false">IF(C148="",0,IFERROR(INDEX(식자재단가!$G$4:$G$203,MATCH(C148,식자재단가!$C$4:$C$203,0)),0))</f>
        <v>8000</v>
      </c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1" t="n">
        <f aca="false">N(INDEX(F148:R148,1,기본설정!$C$5+1))</f>
        <v>0</v>
      </c>
      <c r="T148" s="28" t="n">
        <f aca="false">S148*E148</f>
        <v>0</v>
      </c>
      <c r="U148" s="71" t="n">
        <f aca="false">N(INDEX(F148:R148,1,기본설정!$C$5))</f>
        <v>0</v>
      </c>
      <c r="V148" s="28" t="n">
        <f aca="false">U148*E148</f>
        <v>0</v>
      </c>
      <c r="W148" s="59" t="str">
        <f aca="false">IF(B148="","",IFERROR(INDEX(기본설정!$H$4:$H$14,MATCH(B148,기본설정!$G$4:$G$14,0)),""))</f>
        <v>소모품</v>
      </c>
    </row>
    <row r="149" customFormat="false" ht="15" hidden="false" customHeight="false" outlineLevel="0" collapsed="false">
      <c r="A149" s="83" t="str">
        <f aca="false">기본설정!$E$6</f>
        <v>모란점</v>
      </c>
      <c r="B149" s="81" t="str">
        <f aca="false">IF(C149="","",IFERROR(INDEX(식자재단가!$B$4:$B$203,MATCH(C149,식자재단가!$C$4:$C$203,0)),""))</f>
        <v>숯·소모품·포장</v>
      </c>
      <c r="C149" s="80" t="s">
        <v>606</v>
      </c>
      <c r="D149" s="59" t="str">
        <f aca="false">IF(C149="","",IFERROR(INDEX(식자재단가!$F$4:$F$203,MATCH(C149,식자재단가!$C$4:$C$203,0)),""))</f>
        <v>박스</v>
      </c>
      <c r="E149" s="84" t="n">
        <f aca="false">IF(C149="",0,IFERROR(INDEX(식자재단가!$G$4:$G$203,MATCH(C149,식자재단가!$C$4:$C$203,0)),0))</f>
        <v>25000</v>
      </c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1" t="n">
        <f aca="false">N(INDEX(F149:R149,1,기본설정!$C$5+1))</f>
        <v>0</v>
      </c>
      <c r="T149" s="28" t="n">
        <f aca="false">S149*E149</f>
        <v>0</v>
      </c>
      <c r="U149" s="71" t="n">
        <f aca="false">N(INDEX(F149:R149,1,기본설정!$C$5))</f>
        <v>0</v>
      </c>
      <c r="V149" s="28" t="n">
        <f aca="false">U149*E149</f>
        <v>0</v>
      </c>
      <c r="W149" s="59" t="str">
        <f aca="false">IF(B149="","",IFERROR(INDEX(기본설정!$H$4:$H$14,MATCH(B149,기본설정!$G$4:$G$14,0)),""))</f>
        <v>소모품</v>
      </c>
    </row>
    <row r="150" customFormat="false" ht="15" hidden="false" customHeight="false" outlineLevel="0" collapsed="false">
      <c r="A150" s="70"/>
      <c r="B150" s="81" t="str">
        <f aca="false">IF(C150="","",IFERROR(INDEX(식자재단가!$B$4:$B$203,MATCH(C150,식자재단가!$C$4:$C$203,0)),""))</f>
        <v/>
      </c>
      <c r="C150" s="80"/>
      <c r="D150" s="59" t="str">
        <f aca="false">IF(C150="","",IFERROR(INDEX(식자재단가!$F$4:$F$203,MATCH(C150,식자재단가!$C$4:$C$203,0)),""))</f>
        <v/>
      </c>
      <c r="E150" s="84" t="n">
        <f aca="false">IF(C150="",0,IFERROR(INDEX(식자재단가!$G$4:$G$203,MATCH(C150,식자재단가!$C$4:$C$203,0)),0))</f>
        <v>0</v>
      </c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1" t="n">
        <f aca="false">N(INDEX(F150:R150,1,기본설정!$C$5+1))</f>
        <v>0</v>
      </c>
      <c r="T150" s="28" t="n">
        <f aca="false">S150*E150</f>
        <v>0</v>
      </c>
      <c r="U150" s="71" t="n">
        <f aca="false">N(INDEX(F150:R150,1,기본설정!$C$5))</f>
        <v>0</v>
      </c>
      <c r="V150" s="28" t="n">
        <f aca="false">U150*E150</f>
        <v>0</v>
      </c>
      <c r="W150" s="59" t="str">
        <f aca="false">IF(B150="","",IFERROR(INDEX(기본설정!$H$4:$H$14,MATCH(B150,기본설정!$G$4:$G$14,0)),""))</f>
        <v/>
      </c>
    </row>
    <row r="151" customFormat="false" ht="15" hidden="false" customHeight="false" outlineLevel="0" collapsed="false">
      <c r="A151" s="70"/>
      <c r="B151" s="81" t="str">
        <f aca="false">IF(C151="","",IFERROR(INDEX(식자재단가!$B$4:$B$203,MATCH(C151,식자재단가!$C$4:$C$203,0)),""))</f>
        <v/>
      </c>
      <c r="C151" s="80"/>
      <c r="D151" s="59" t="str">
        <f aca="false">IF(C151="","",IFERROR(INDEX(식자재단가!$F$4:$F$203,MATCH(C151,식자재단가!$C$4:$C$203,0)),""))</f>
        <v/>
      </c>
      <c r="E151" s="84" t="n">
        <f aca="false">IF(C151="",0,IFERROR(INDEX(식자재단가!$G$4:$G$203,MATCH(C151,식자재단가!$C$4:$C$203,0)),0))</f>
        <v>0</v>
      </c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1" t="n">
        <f aca="false">N(INDEX(F151:R151,1,기본설정!$C$5+1))</f>
        <v>0</v>
      </c>
      <c r="T151" s="28" t="n">
        <f aca="false">S151*E151</f>
        <v>0</v>
      </c>
      <c r="U151" s="71" t="n">
        <f aca="false">N(INDEX(F151:R151,1,기본설정!$C$5))</f>
        <v>0</v>
      </c>
      <c r="V151" s="28" t="n">
        <f aca="false">U151*E151</f>
        <v>0</v>
      </c>
      <c r="W151" s="59" t="str">
        <f aca="false">IF(B151="","",IFERROR(INDEX(기본설정!$H$4:$H$14,MATCH(B151,기본설정!$G$4:$G$14,0)),""))</f>
        <v/>
      </c>
    </row>
    <row r="152" customFormat="false" ht="15" hidden="false" customHeight="false" outlineLevel="0" collapsed="false">
      <c r="A152" s="70"/>
      <c r="B152" s="81" t="str">
        <f aca="false">IF(C152="","",IFERROR(INDEX(식자재단가!$B$4:$B$203,MATCH(C152,식자재단가!$C$4:$C$203,0)),""))</f>
        <v/>
      </c>
      <c r="C152" s="80"/>
      <c r="D152" s="59" t="str">
        <f aca="false">IF(C152="","",IFERROR(INDEX(식자재단가!$F$4:$F$203,MATCH(C152,식자재단가!$C$4:$C$203,0)),""))</f>
        <v/>
      </c>
      <c r="E152" s="84" t="n">
        <f aca="false">IF(C152="",0,IFERROR(INDEX(식자재단가!$G$4:$G$203,MATCH(C152,식자재단가!$C$4:$C$203,0)),0))</f>
        <v>0</v>
      </c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1" t="n">
        <f aca="false">N(INDEX(F152:R152,1,기본설정!$C$5+1))</f>
        <v>0</v>
      </c>
      <c r="T152" s="28" t="n">
        <f aca="false">S152*E152</f>
        <v>0</v>
      </c>
      <c r="U152" s="71" t="n">
        <f aca="false">N(INDEX(F152:R152,1,기본설정!$C$5))</f>
        <v>0</v>
      </c>
      <c r="V152" s="28" t="n">
        <f aca="false">U152*E152</f>
        <v>0</v>
      </c>
      <c r="W152" s="59" t="str">
        <f aca="false">IF(B152="","",IFERROR(INDEX(기본설정!$H$4:$H$14,MATCH(B152,기본설정!$G$4:$G$14,0)),""))</f>
        <v/>
      </c>
    </row>
    <row r="153" customFormat="false" ht="15" hidden="false" customHeight="false" outlineLevel="0" collapsed="false">
      <c r="A153" s="70"/>
      <c r="B153" s="81" t="str">
        <f aca="false">IF(C153="","",IFERROR(INDEX(식자재단가!$B$4:$B$203,MATCH(C153,식자재단가!$C$4:$C$203,0)),""))</f>
        <v/>
      </c>
      <c r="C153" s="80"/>
      <c r="D153" s="59" t="str">
        <f aca="false">IF(C153="","",IFERROR(INDEX(식자재단가!$F$4:$F$203,MATCH(C153,식자재단가!$C$4:$C$203,0)),""))</f>
        <v/>
      </c>
      <c r="E153" s="84" t="n">
        <f aca="false">IF(C153="",0,IFERROR(INDEX(식자재단가!$G$4:$G$203,MATCH(C153,식자재단가!$C$4:$C$203,0)),0))</f>
        <v>0</v>
      </c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1" t="n">
        <f aca="false">N(INDEX(F153:R153,1,기본설정!$C$5+1))</f>
        <v>0</v>
      </c>
      <c r="T153" s="28" t="n">
        <f aca="false">S153*E153</f>
        <v>0</v>
      </c>
      <c r="U153" s="71" t="n">
        <f aca="false">N(INDEX(F153:R153,1,기본설정!$C$5))</f>
        <v>0</v>
      </c>
      <c r="V153" s="28" t="n">
        <f aca="false">U153*E153</f>
        <v>0</v>
      </c>
      <c r="W153" s="59" t="str">
        <f aca="false">IF(B153="","",IFERROR(INDEX(기본설정!$H$4:$H$14,MATCH(B153,기본설정!$G$4:$G$14,0)),""))</f>
        <v/>
      </c>
    </row>
    <row r="154" customFormat="false" ht="15" hidden="false" customHeight="false" outlineLevel="0" collapsed="false">
      <c r="A154" s="70"/>
      <c r="B154" s="81" t="str">
        <f aca="false">IF(C154="","",IFERROR(INDEX(식자재단가!$B$4:$B$203,MATCH(C154,식자재단가!$C$4:$C$203,0)),""))</f>
        <v/>
      </c>
      <c r="C154" s="80"/>
      <c r="D154" s="59" t="str">
        <f aca="false">IF(C154="","",IFERROR(INDEX(식자재단가!$F$4:$F$203,MATCH(C154,식자재단가!$C$4:$C$203,0)),""))</f>
        <v/>
      </c>
      <c r="E154" s="84" t="n">
        <f aca="false">IF(C154="",0,IFERROR(INDEX(식자재단가!$G$4:$G$203,MATCH(C154,식자재단가!$C$4:$C$203,0)),0))</f>
        <v>0</v>
      </c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1" t="n">
        <f aca="false">N(INDEX(F154:R154,1,기본설정!$C$5+1))</f>
        <v>0</v>
      </c>
      <c r="T154" s="28" t="n">
        <f aca="false">S154*E154</f>
        <v>0</v>
      </c>
      <c r="U154" s="71" t="n">
        <f aca="false">N(INDEX(F154:R154,1,기본설정!$C$5))</f>
        <v>0</v>
      </c>
      <c r="V154" s="28" t="n">
        <f aca="false">U154*E154</f>
        <v>0</v>
      </c>
      <c r="W154" s="59" t="str">
        <f aca="false">IF(B154="","",IFERROR(INDEX(기본설정!$H$4:$H$14,MATCH(B154,기본설정!$G$4:$G$14,0)),""))</f>
        <v/>
      </c>
    </row>
    <row r="155" customFormat="false" ht="15" hidden="false" customHeight="false" outlineLevel="0" collapsed="false">
      <c r="A155" s="70"/>
      <c r="B155" s="81" t="str">
        <f aca="false">IF(C155="","",IFERROR(INDEX(식자재단가!$B$4:$B$203,MATCH(C155,식자재단가!$C$4:$C$203,0)),""))</f>
        <v/>
      </c>
      <c r="C155" s="80"/>
      <c r="D155" s="59" t="str">
        <f aca="false">IF(C155="","",IFERROR(INDEX(식자재단가!$F$4:$F$203,MATCH(C155,식자재단가!$C$4:$C$203,0)),""))</f>
        <v/>
      </c>
      <c r="E155" s="84" t="n">
        <f aca="false">IF(C155="",0,IFERROR(INDEX(식자재단가!$G$4:$G$203,MATCH(C155,식자재단가!$C$4:$C$203,0)),0))</f>
        <v>0</v>
      </c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1" t="n">
        <f aca="false">N(INDEX(F155:R155,1,기본설정!$C$5+1))</f>
        <v>0</v>
      </c>
      <c r="T155" s="28" t="n">
        <f aca="false">S155*E155</f>
        <v>0</v>
      </c>
      <c r="U155" s="71" t="n">
        <f aca="false">N(INDEX(F155:R155,1,기본설정!$C$5))</f>
        <v>0</v>
      </c>
      <c r="V155" s="28" t="n">
        <f aca="false">U155*E155</f>
        <v>0</v>
      </c>
      <c r="W155" s="59" t="str">
        <f aca="false">IF(B155="","",IFERROR(INDEX(기본설정!$H$4:$H$14,MATCH(B155,기본설정!$G$4:$G$14,0)),""))</f>
        <v/>
      </c>
    </row>
    <row r="156" customFormat="false" ht="15" hidden="false" customHeight="false" outlineLevel="0" collapsed="false">
      <c r="A156" s="70"/>
      <c r="B156" s="81" t="str">
        <f aca="false">IF(C156="","",IFERROR(INDEX(식자재단가!$B$4:$B$203,MATCH(C156,식자재단가!$C$4:$C$203,0)),""))</f>
        <v/>
      </c>
      <c r="C156" s="80"/>
      <c r="D156" s="59" t="str">
        <f aca="false">IF(C156="","",IFERROR(INDEX(식자재단가!$F$4:$F$203,MATCH(C156,식자재단가!$C$4:$C$203,0)),""))</f>
        <v/>
      </c>
      <c r="E156" s="84" t="n">
        <f aca="false">IF(C156="",0,IFERROR(INDEX(식자재단가!$G$4:$G$203,MATCH(C156,식자재단가!$C$4:$C$203,0)),0))</f>
        <v>0</v>
      </c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1" t="n">
        <f aca="false">N(INDEX(F156:R156,1,기본설정!$C$5+1))</f>
        <v>0</v>
      </c>
      <c r="T156" s="28" t="n">
        <f aca="false">S156*E156</f>
        <v>0</v>
      </c>
      <c r="U156" s="71" t="n">
        <f aca="false">N(INDEX(F156:R156,1,기본설정!$C$5))</f>
        <v>0</v>
      </c>
      <c r="V156" s="28" t="n">
        <f aca="false">U156*E156</f>
        <v>0</v>
      </c>
      <c r="W156" s="59" t="str">
        <f aca="false">IF(B156="","",IFERROR(INDEX(기본설정!$H$4:$H$14,MATCH(B156,기본설정!$G$4:$G$14,0)),""))</f>
        <v/>
      </c>
    </row>
    <row r="157" customFormat="false" ht="15" hidden="false" customHeight="false" outlineLevel="0" collapsed="false">
      <c r="A157" s="70"/>
      <c r="B157" s="81" t="str">
        <f aca="false">IF(C157="","",IFERROR(INDEX(식자재단가!$B$4:$B$203,MATCH(C157,식자재단가!$C$4:$C$203,0)),""))</f>
        <v/>
      </c>
      <c r="C157" s="80"/>
      <c r="D157" s="59" t="str">
        <f aca="false">IF(C157="","",IFERROR(INDEX(식자재단가!$F$4:$F$203,MATCH(C157,식자재단가!$C$4:$C$203,0)),""))</f>
        <v/>
      </c>
      <c r="E157" s="84" t="n">
        <f aca="false">IF(C157="",0,IFERROR(INDEX(식자재단가!$G$4:$G$203,MATCH(C157,식자재단가!$C$4:$C$203,0)),0))</f>
        <v>0</v>
      </c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1" t="n">
        <f aca="false">N(INDEX(F157:R157,1,기본설정!$C$5+1))</f>
        <v>0</v>
      </c>
      <c r="T157" s="28" t="n">
        <f aca="false">S157*E157</f>
        <v>0</v>
      </c>
      <c r="U157" s="71" t="n">
        <f aca="false">N(INDEX(F157:R157,1,기본설정!$C$5))</f>
        <v>0</v>
      </c>
      <c r="V157" s="28" t="n">
        <f aca="false">U157*E157</f>
        <v>0</v>
      </c>
      <c r="W157" s="59" t="str">
        <f aca="false">IF(B157="","",IFERROR(INDEX(기본설정!$H$4:$H$14,MATCH(B157,기본설정!$G$4:$G$14,0)),""))</f>
        <v/>
      </c>
    </row>
    <row r="158" customFormat="false" ht="15" hidden="false" customHeight="false" outlineLevel="0" collapsed="false">
      <c r="A158" s="70"/>
      <c r="B158" s="81" t="str">
        <f aca="false">IF(C158="","",IFERROR(INDEX(식자재단가!$B$4:$B$203,MATCH(C158,식자재단가!$C$4:$C$203,0)),""))</f>
        <v/>
      </c>
      <c r="C158" s="80"/>
      <c r="D158" s="59" t="str">
        <f aca="false">IF(C158="","",IFERROR(INDEX(식자재단가!$F$4:$F$203,MATCH(C158,식자재단가!$C$4:$C$203,0)),""))</f>
        <v/>
      </c>
      <c r="E158" s="84" t="n">
        <f aca="false">IF(C158="",0,IFERROR(INDEX(식자재단가!$G$4:$G$203,MATCH(C158,식자재단가!$C$4:$C$203,0)),0))</f>
        <v>0</v>
      </c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1" t="n">
        <f aca="false">N(INDEX(F158:R158,1,기본설정!$C$5+1))</f>
        <v>0</v>
      </c>
      <c r="T158" s="28" t="n">
        <f aca="false">S158*E158</f>
        <v>0</v>
      </c>
      <c r="U158" s="71" t="n">
        <f aca="false">N(INDEX(F158:R158,1,기본설정!$C$5))</f>
        <v>0</v>
      </c>
      <c r="V158" s="28" t="n">
        <f aca="false">U158*E158</f>
        <v>0</v>
      </c>
      <c r="W158" s="59" t="str">
        <f aca="false">IF(B158="","",IFERROR(INDEX(기본설정!$H$4:$H$14,MATCH(B158,기본설정!$G$4:$G$14,0)),""))</f>
        <v/>
      </c>
    </row>
    <row r="159" customFormat="false" ht="15" hidden="false" customHeight="false" outlineLevel="0" collapsed="false">
      <c r="A159" s="70"/>
      <c r="B159" s="81" t="str">
        <f aca="false">IF(C159="","",IFERROR(INDEX(식자재단가!$B$4:$B$203,MATCH(C159,식자재단가!$C$4:$C$203,0)),""))</f>
        <v/>
      </c>
      <c r="C159" s="80"/>
      <c r="D159" s="59" t="str">
        <f aca="false">IF(C159="","",IFERROR(INDEX(식자재단가!$F$4:$F$203,MATCH(C159,식자재단가!$C$4:$C$203,0)),""))</f>
        <v/>
      </c>
      <c r="E159" s="84" t="n">
        <f aca="false">IF(C159="",0,IFERROR(INDEX(식자재단가!$G$4:$G$203,MATCH(C159,식자재단가!$C$4:$C$203,0)),0))</f>
        <v>0</v>
      </c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1" t="n">
        <f aca="false">N(INDEX(F159:R159,1,기본설정!$C$5+1))</f>
        <v>0</v>
      </c>
      <c r="T159" s="28" t="n">
        <f aca="false">S159*E159</f>
        <v>0</v>
      </c>
      <c r="U159" s="71" t="n">
        <f aca="false">N(INDEX(F159:R159,1,기본설정!$C$5))</f>
        <v>0</v>
      </c>
      <c r="V159" s="28" t="n">
        <f aca="false">U159*E159</f>
        <v>0</v>
      </c>
      <c r="W159" s="59" t="str">
        <f aca="false">IF(B159="","",IFERROR(INDEX(기본설정!$H$4:$H$14,MATCH(B159,기본설정!$G$4:$G$14,0)),""))</f>
        <v/>
      </c>
    </row>
    <row r="160" customFormat="false" ht="15" hidden="false" customHeight="false" outlineLevel="0" collapsed="false">
      <c r="A160" s="70"/>
      <c r="B160" s="81" t="str">
        <f aca="false">IF(C160="","",IFERROR(INDEX(식자재단가!$B$4:$B$203,MATCH(C160,식자재단가!$C$4:$C$203,0)),""))</f>
        <v/>
      </c>
      <c r="C160" s="80"/>
      <c r="D160" s="59" t="str">
        <f aca="false">IF(C160="","",IFERROR(INDEX(식자재단가!$F$4:$F$203,MATCH(C160,식자재단가!$C$4:$C$203,0)),""))</f>
        <v/>
      </c>
      <c r="E160" s="84" t="n">
        <f aca="false">IF(C160="",0,IFERROR(INDEX(식자재단가!$G$4:$G$203,MATCH(C160,식자재단가!$C$4:$C$203,0)),0))</f>
        <v>0</v>
      </c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1" t="n">
        <f aca="false">N(INDEX(F160:R160,1,기본설정!$C$5+1))</f>
        <v>0</v>
      </c>
      <c r="T160" s="28" t="n">
        <f aca="false">S160*E160</f>
        <v>0</v>
      </c>
      <c r="U160" s="71" t="n">
        <f aca="false">N(INDEX(F160:R160,1,기본설정!$C$5))</f>
        <v>0</v>
      </c>
      <c r="V160" s="28" t="n">
        <f aca="false">U160*E160</f>
        <v>0</v>
      </c>
      <c r="W160" s="59" t="str">
        <f aca="false">IF(B160="","",IFERROR(INDEX(기본설정!$H$4:$H$14,MATCH(B160,기본설정!$G$4:$G$14,0)),""))</f>
        <v/>
      </c>
    </row>
    <row r="161" customFormat="false" ht="15" hidden="false" customHeight="false" outlineLevel="0" collapsed="false">
      <c r="A161" s="70"/>
      <c r="B161" s="81" t="str">
        <f aca="false">IF(C161="","",IFERROR(INDEX(식자재단가!$B$4:$B$203,MATCH(C161,식자재단가!$C$4:$C$203,0)),""))</f>
        <v/>
      </c>
      <c r="C161" s="80"/>
      <c r="D161" s="59" t="str">
        <f aca="false">IF(C161="","",IFERROR(INDEX(식자재단가!$F$4:$F$203,MATCH(C161,식자재단가!$C$4:$C$203,0)),""))</f>
        <v/>
      </c>
      <c r="E161" s="84" t="n">
        <f aca="false">IF(C161="",0,IFERROR(INDEX(식자재단가!$G$4:$G$203,MATCH(C161,식자재단가!$C$4:$C$203,0)),0))</f>
        <v>0</v>
      </c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1" t="n">
        <f aca="false">N(INDEX(F161:R161,1,기본설정!$C$5+1))</f>
        <v>0</v>
      </c>
      <c r="T161" s="28" t="n">
        <f aca="false">S161*E161</f>
        <v>0</v>
      </c>
      <c r="U161" s="71" t="n">
        <f aca="false">N(INDEX(F161:R161,1,기본설정!$C$5))</f>
        <v>0</v>
      </c>
      <c r="V161" s="28" t="n">
        <f aca="false">U161*E161</f>
        <v>0</v>
      </c>
      <c r="W161" s="59" t="str">
        <f aca="false">IF(B161="","",IFERROR(INDEX(기본설정!$H$4:$H$14,MATCH(B161,기본설정!$G$4:$G$14,0)),""))</f>
        <v/>
      </c>
    </row>
    <row r="162" customFormat="false" ht="15" hidden="false" customHeight="false" outlineLevel="0" collapsed="false">
      <c r="A162" s="70"/>
      <c r="B162" s="81" t="str">
        <f aca="false">IF(C162="","",IFERROR(INDEX(식자재단가!$B$4:$B$203,MATCH(C162,식자재단가!$C$4:$C$203,0)),""))</f>
        <v/>
      </c>
      <c r="C162" s="80"/>
      <c r="D162" s="59" t="str">
        <f aca="false">IF(C162="","",IFERROR(INDEX(식자재단가!$F$4:$F$203,MATCH(C162,식자재단가!$C$4:$C$203,0)),""))</f>
        <v/>
      </c>
      <c r="E162" s="84" t="n">
        <f aca="false">IF(C162="",0,IFERROR(INDEX(식자재단가!$G$4:$G$203,MATCH(C162,식자재단가!$C$4:$C$203,0)),0))</f>
        <v>0</v>
      </c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1" t="n">
        <f aca="false">N(INDEX(F162:R162,1,기본설정!$C$5+1))</f>
        <v>0</v>
      </c>
      <c r="T162" s="28" t="n">
        <f aca="false">S162*E162</f>
        <v>0</v>
      </c>
      <c r="U162" s="71" t="n">
        <f aca="false">N(INDEX(F162:R162,1,기본설정!$C$5))</f>
        <v>0</v>
      </c>
      <c r="V162" s="28" t="n">
        <f aca="false">U162*E162</f>
        <v>0</v>
      </c>
      <c r="W162" s="59" t="str">
        <f aca="false">IF(B162="","",IFERROR(INDEX(기본설정!$H$4:$H$14,MATCH(B162,기본설정!$G$4:$G$14,0)),""))</f>
        <v/>
      </c>
    </row>
    <row r="163" customFormat="false" ht="15" hidden="false" customHeight="false" outlineLevel="0" collapsed="false">
      <c r="A163" s="70"/>
      <c r="B163" s="81" t="str">
        <f aca="false">IF(C163="","",IFERROR(INDEX(식자재단가!$B$4:$B$203,MATCH(C163,식자재단가!$C$4:$C$203,0)),""))</f>
        <v/>
      </c>
      <c r="C163" s="80"/>
      <c r="D163" s="59" t="str">
        <f aca="false">IF(C163="","",IFERROR(INDEX(식자재단가!$F$4:$F$203,MATCH(C163,식자재단가!$C$4:$C$203,0)),""))</f>
        <v/>
      </c>
      <c r="E163" s="84" t="n">
        <f aca="false">IF(C163="",0,IFERROR(INDEX(식자재단가!$G$4:$G$203,MATCH(C163,식자재단가!$C$4:$C$203,0)),0))</f>
        <v>0</v>
      </c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1" t="n">
        <f aca="false">N(INDEX(F163:R163,1,기본설정!$C$5+1))</f>
        <v>0</v>
      </c>
      <c r="T163" s="28" t="n">
        <f aca="false">S163*E163</f>
        <v>0</v>
      </c>
      <c r="U163" s="71" t="n">
        <f aca="false">N(INDEX(F163:R163,1,기본설정!$C$5))</f>
        <v>0</v>
      </c>
      <c r="V163" s="28" t="n">
        <f aca="false">U163*E163</f>
        <v>0</v>
      </c>
      <c r="W163" s="59" t="str">
        <f aca="false">IF(B163="","",IFERROR(INDEX(기본설정!$H$4:$H$14,MATCH(B163,기본설정!$G$4:$G$14,0)),""))</f>
        <v/>
      </c>
    </row>
    <row r="164" customFormat="false" ht="15" hidden="false" customHeight="false" outlineLevel="0" collapsed="false">
      <c r="A164" s="70"/>
      <c r="B164" s="81" t="str">
        <f aca="false">IF(C164="","",IFERROR(INDEX(식자재단가!$B$4:$B$203,MATCH(C164,식자재단가!$C$4:$C$203,0)),""))</f>
        <v/>
      </c>
      <c r="C164" s="80"/>
      <c r="D164" s="59" t="str">
        <f aca="false">IF(C164="","",IFERROR(INDEX(식자재단가!$F$4:$F$203,MATCH(C164,식자재단가!$C$4:$C$203,0)),""))</f>
        <v/>
      </c>
      <c r="E164" s="84" t="n">
        <f aca="false">IF(C164="",0,IFERROR(INDEX(식자재단가!$G$4:$G$203,MATCH(C164,식자재단가!$C$4:$C$203,0)),0))</f>
        <v>0</v>
      </c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1" t="n">
        <f aca="false">N(INDEX(F164:R164,1,기본설정!$C$5+1))</f>
        <v>0</v>
      </c>
      <c r="T164" s="28" t="n">
        <f aca="false">S164*E164</f>
        <v>0</v>
      </c>
      <c r="U164" s="71" t="n">
        <f aca="false">N(INDEX(F164:R164,1,기본설정!$C$5))</f>
        <v>0</v>
      </c>
      <c r="V164" s="28" t="n">
        <f aca="false">U164*E164</f>
        <v>0</v>
      </c>
      <c r="W164" s="59" t="str">
        <f aca="false">IF(B164="","",IFERROR(INDEX(기본설정!$H$4:$H$14,MATCH(B164,기본설정!$G$4:$G$14,0)),""))</f>
        <v/>
      </c>
    </row>
    <row r="165" customFormat="false" ht="15" hidden="false" customHeight="false" outlineLevel="0" collapsed="false">
      <c r="A165" s="70"/>
      <c r="B165" s="81" t="str">
        <f aca="false">IF(C165="","",IFERROR(INDEX(식자재단가!$B$4:$B$203,MATCH(C165,식자재단가!$C$4:$C$203,0)),""))</f>
        <v/>
      </c>
      <c r="C165" s="80"/>
      <c r="D165" s="59" t="str">
        <f aca="false">IF(C165="","",IFERROR(INDEX(식자재단가!$F$4:$F$203,MATCH(C165,식자재단가!$C$4:$C$203,0)),""))</f>
        <v/>
      </c>
      <c r="E165" s="84" t="n">
        <f aca="false">IF(C165="",0,IFERROR(INDEX(식자재단가!$G$4:$G$203,MATCH(C165,식자재단가!$C$4:$C$203,0)),0))</f>
        <v>0</v>
      </c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1" t="n">
        <f aca="false">N(INDEX(F165:R165,1,기본설정!$C$5+1))</f>
        <v>0</v>
      </c>
      <c r="T165" s="28" t="n">
        <f aca="false">S165*E165</f>
        <v>0</v>
      </c>
      <c r="U165" s="71" t="n">
        <f aca="false">N(INDEX(F165:R165,1,기본설정!$C$5))</f>
        <v>0</v>
      </c>
      <c r="V165" s="28" t="n">
        <f aca="false">U165*E165</f>
        <v>0</v>
      </c>
      <c r="W165" s="59" t="str">
        <f aca="false">IF(B165="","",IFERROR(INDEX(기본설정!$H$4:$H$14,MATCH(B165,기본설정!$G$4:$G$14,0)),""))</f>
        <v/>
      </c>
    </row>
    <row r="166" customFormat="false" ht="15" hidden="false" customHeight="false" outlineLevel="0" collapsed="false">
      <c r="A166" s="70"/>
      <c r="B166" s="81" t="str">
        <f aca="false">IF(C166="","",IFERROR(INDEX(식자재단가!$B$4:$B$203,MATCH(C166,식자재단가!$C$4:$C$203,0)),""))</f>
        <v/>
      </c>
      <c r="C166" s="80"/>
      <c r="D166" s="59" t="str">
        <f aca="false">IF(C166="","",IFERROR(INDEX(식자재단가!$F$4:$F$203,MATCH(C166,식자재단가!$C$4:$C$203,0)),""))</f>
        <v/>
      </c>
      <c r="E166" s="84" t="n">
        <f aca="false">IF(C166="",0,IFERROR(INDEX(식자재단가!$G$4:$G$203,MATCH(C166,식자재단가!$C$4:$C$203,0)),0))</f>
        <v>0</v>
      </c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1" t="n">
        <f aca="false">N(INDEX(F166:R166,1,기본설정!$C$5+1))</f>
        <v>0</v>
      </c>
      <c r="T166" s="28" t="n">
        <f aca="false">S166*E166</f>
        <v>0</v>
      </c>
      <c r="U166" s="71" t="n">
        <f aca="false">N(INDEX(F166:R166,1,기본설정!$C$5))</f>
        <v>0</v>
      </c>
      <c r="V166" s="28" t="n">
        <f aca="false">U166*E166</f>
        <v>0</v>
      </c>
      <c r="W166" s="59" t="str">
        <f aca="false">IF(B166="","",IFERROR(INDEX(기본설정!$H$4:$H$14,MATCH(B166,기본설정!$G$4:$G$14,0)),""))</f>
        <v/>
      </c>
    </row>
    <row r="167" customFormat="false" ht="15" hidden="false" customHeight="false" outlineLevel="0" collapsed="false">
      <c r="A167" s="70"/>
      <c r="B167" s="81" t="str">
        <f aca="false">IF(C167="","",IFERROR(INDEX(식자재단가!$B$4:$B$203,MATCH(C167,식자재단가!$C$4:$C$203,0)),""))</f>
        <v/>
      </c>
      <c r="C167" s="80"/>
      <c r="D167" s="59" t="str">
        <f aca="false">IF(C167="","",IFERROR(INDEX(식자재단가!$F$4:$F$203,MATCH(C167,식자재단가!$C$4:$C$203,0)),""))</f>
        <v/>
      </c>
      <c r="E167" s="84" t="n">
        <f aca="false">IF(C167="",0,IFERROR(INDEX(식자재단가!$G$4:$G$203,MATCH(C167,식자재단가!$C$4:$C$203,0)),0))</f>
        <v>0</v>
      </c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1" t="n">
        <f aca="false">N(INDEX(F167:R167,1,기본설정!$C$5+1))</f>
        <v>0</v>
      </c>
      <c r="T167" s="28" t="n">
        <f aca="false">S167*E167</f>
        <v>0</v>
      </c>
      <c r="U167" s="71" t="n">
        <f aca="false">N(INDEX(F167:R167,1,기본설정!$C$5))</f>
        <v>0</v>
      </c>
      <c r="V167" s="28" t="n">
        <f aca="false">U167*E167</f>
        <v>0</v>
      </c>
      <c r="W167" s="59" t="str">
        <f aca="false">IF(B167="","",IFERROR(INDEX(기본설정!$H$4:$H$14,MATCH(B167,기본설정!$G$4:$G$14,0)),""))</f>
        <v/>
      </c>
    </row>
    <row r="168" customFormat="false" ht="15" hidden="false" customHeight="false" outlineLevel="0" collapsed="false">
      <c r="A168" s="70"/>
      <c r="B168" s="81" t="str">
        <f aca="false">IF(C168="","",IFERROR(INDEX(식자재단가!$B$4:$B$203,MATCH(C168,식자재단가!$C$4:$C$203,0)),""))</f>
        <v/>
      </c>
      <c r="C168" s="80"/>
      <c r="D168" s="59" t="str">
        <f aca="false">IF(C168="","",IFERROR(INDEX(식자재단가!$F$4:$F$203,MATCH(C168,식자재단가!$C$4:$C$203,0)),""))</f>
        <v/>
      </c>
      <c r="E168" s="84" t="n">
        <f aca="false">IF(C168="",0,IFERROR(INDEX(식자재단가!$G$4:$G$203,MATCH(C168,식자재단가!$C$4:$C$203,0)),0))</f>
        <v>0</v>
      </c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1" t="n">
        <f aca="false">N(INDEX(F168:R168,1,기본설정!$C$5+1))</f>
        <v>0</v>
      </c>
      <c r="T168" s="28" t="n">
        <f aca="false">S168*E168</f>
        <v>0</v>
      </c>
      <c r="U168" s="71" t="n">
        <f aca="false">N(INDEX(F168:R168,1,기본설정!$C$5))</f>
        <v>0</v>
      </c>
      <c r="V168" s="28" t="n">
        <f aca="false">U168*E168</f>
        <v>0</v>
      </c>
      <c r="W168" s="59" t="str">
        <f aca="false">IF(B168="","",IFERROR(INDEX(기본설정!$H$4:$H$14,MATCH(B168,기본설정!$G$4:$G$14,0)),""))</f>
        <v/>
      </c>
    </row>
    <row r="169" customFormat="false" ht="15" hidden="false" customHeight="false" outlineLevel="0" collapsed="false">
      <c r="A169" s="70"/>
      <c r="B169" s="81" t="str">
        <f aca="false">IF(C169="","",IFERROR(INDEX(식자재단가!$B$4:$B$203,MATCH(C169,식자재단가!$C$4:$C$203,0)),""))</f>
        <v/>
      </c>
      <c r="C169" s="80"/>
      <c r="D169" s="59" t="str">
        <f aca="false">IF(C169="","",IFERROR(INDEX(식자재단가!$F$4:$F$203,MATCH(C169,식자재단가!$C$4:$C$203,0)),""))</f>
        <v/>
      </c>
      <c r="E169" s="84" t="n">
        <f aca="false">IF(C169="",0,IFERROR(INDEX(식자재단가!$G$4:$G$203,MATCH(C169,식자재단가!$C$4:$C$203,0)),0))</f>
        <v>0</v>
      </c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1" t="n">
        <f aca="false">N(INDEX(F169:R169,1,기본설정!$C$5+1))</f>
        <v>0</v>
      </c>
      <c r="T169" s="28" t="n">
        <f aca="false">S169*E169</f>
        <v>0</v>
      </c>
      <c r="U169" s="71" t="n">
        <f aca="false">N(INDEX(F169:R169,1,기본설정!$C$5))</f>
        <v>0</v>
      </c>
      <c r="V169" s="28" t="n">
        <f aca="false">U169*E169</f>
        <v>0</v>
      </c>
      <c r="W169" s="59" t="str">
        <f aca="false">IF(B169="","",IFERROR(INDEX(기본설정!$H$4:$H$14,MATCH(B169,기본설정!$G$4:$G$14,0)),""))</f>
        <v/>
      </c>
    </row>
    <row r="170" customFormat="false" ht="15" hidden="false" customHeight="false" outlineLevel="0" collapsed="false">
      <c r="A170" s="70"/>
      <c r="B170" s="81" t="str">
        <f aca="false">IF(C170="","",IFERROR(INDEX(식자재단가!$B$4:$B$203,MATCH(C170,식자재단가!$C$4:$C$203,0)),""))</f>
        <v/>
      </c>
      <c r="C170" s="80"/>
      <c r="D170" s="59" t="str">
        <f aca="false">IF(C170="","",IFERROR(INDEX(식자재단가!$F$4:$F$203,MATCH(C170,식자재단가!$C$4:$C$203,0)),""))</f>
        <v/>
      </c>
      <c r="E170" s="84" t="n">
        <f aca="false">IF(C170="",0,IFERROR(INDEX(식자재단가!$G$4:$G$203,MATCH(C170,식자재단가!$C$4:$C$203,0)),0))</f>
        <v>0</v>
      </c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1" t="n">
        <f aca="false">N(INDEX(F170:R170,1,기본설정!$C$5+1))</f>
        <v>0</v>
      </c>
      <c r="T170" s="28" t="n">
        <f aca="false">S170*E170</f>
        <v>0</v>
      </c>
      <c r="U170" s="71" t="n">
        <f aca="false">N(INDEX(F170:R170,1,기본설정!$C$5))</f>
        <v>0</v>
      </c>
      <c r="V170" s="28" t="n">
        <f aca="false">U170*E170</f>
        <v>0</v>
      </c>
      <c r="W170" s="59" t="str">
        <f aca="false">IF(B170="","",IFERROR(INDEX(기본설정!$H$4:$H$14,MATCH(B170,기본설정!$G$4:$G$14,0)),""))</f>
        <v/>
      </c>
    </row>
    <row r="171" customFormat="false" ht="15" hidden="false" customHeight="false" outlineLevel="0" collapsed="false">
      <c r="A171" s="70"/>
      <c r="B171" s="81" t="str">
        <f aca="false">IF(C171="","",IFERROR(INDEX(식자재단가!$B$4:$B$203,MATCH(C171,식자재단가!$C$4:$C$203,0)),""))</f>
        <v/>
      </c>
      <c r="C171" s="80"/>
      <c r="D171" s="59" t="str">
        <f aca="false">IF(C171="","",IFERROR(INDEX(식자재단가!$F$4:$F$203,MATCH(C171,식자재단가!$C$4:$C$203,0)),""))</f>
        <v/>
      </c>
      <c r="E171" s="84" t="n">
        <f aca="false">IF(C171="",0,IFERROR(INDEX(식자재단가!$G$4:$G$203,MATCH(C171,식자재단가!$C$4:$C$203,0)),0))</f>
        <v>0</v>
      </c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1" t="n">
        <f aca="false">N(INDEX(F171:R171,1,기본설정!$C$5+1))</f>
        <v>0</v>
      </c>
      <c r="T171" s="28" t="n">
        <f aca="false">S171*E171</f>
        <v>0</v>
      </c>
      <c r="U171" s="71" t="n">
        <f aca="false">N(INDEX(F171:R171,1,기본설정!$C$5))</f>
        <v>0</v>
      </c>
      <c r="V171" s="28" t="n">
        <f aca="false">U171*E171</f>
        <v>0</v>
      </c>
      <c r="W171" s="59" t="str">
        <f aca="false">IF(B171="","",IFERROR(INDEX(기본설정!$H$4:$H$14,MATCH(B171,기본설정!$G$4:$G$14,0)),""))</f>
        <v/>
      </c>
    </row>
    <row r="172" customFormat="false" ht="15" hidden="false" customHeight="false" outlineLevel="0" collapsed="false">
      <c r="A172" s="70"/>
      <c r="B172" s="81" t="str">
        <f aca="false">IF(C172="","",IFERROR(INDEX(식자재단가!$B$4:$B$203,MATCH(C172,식자재단가!$C$4:$C$203,0)),""))</f>
        <v/>
      </c>
      <c r="C172" s="80"/>
      <c r="D172" s="59" t="str">
        <f aca="false">IF(C172="","",IFERROR(INDEX(식자재단가!$F$4:$F$203,MATCH(C172,식자재단가!$C$4:$C$203,0)),""))</f>
        <v/>
      </c>
      <c r="E172" s="84" t="n">
        <f aca="false">IF(C172="",0,IFERROR(INDEX(식자재단가!$G$4:$G$203,MATCH(C172,식자재단가!$C$4:$C$203,0)),0))</f>
        <v>0</v>
      </c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1" t="n">
        <f aca="false">N(INDEX(F172:R172,1,기본설정!$C$5+1))</f>
        <v>0</v>
      </c>
      <c r="T172" s="28" t="n">
        <f aca="false">S172*E172</f>
        <v>0</v>
      </c>
      <c r="U172" s="71" t="n">
        <f aca="false">N(INDEX(F172:R172,1,기본설정!$C$5))</f>
        <v>0</v>
      </c>
      <c r="V172" s="28" t="n">
        <f aca="false">U172*E172</f>
        <v>0</v>
      </c>
      <c r="W172" s="59" t="str">
        <f aca="false">IF(B172="","",IFERROR(INDEX(기본설정!$H$4:$H$14,MATCH(B172,기본설정!$G$4:$G$14,0)),""))</f>
        <v/>
      </c>
    </row>
    <row r="173" customFormat="false" ht="15" hidden="false" customHeight="false" outlineLevel="0" collapsed="false">
      <c r="A173" s="70"/>
      <c r="B173" s="81" t="str">
        <f aca="false">IF(C173="","",IFERROR(INDEX(식자재단가!$B$4:$B$203,MATCH(C173,식자재단가!$C$4:$C$203,0)),""))</f>
        <v/>
      </c>
      <c r="C173" s="80"/>
      <c r="D173" s="59" t="str">
        <f aca="false">IF(C173="","",IFERROR(INDEX(식자재단가!$F$4:$F$203,MATCH(C173,식자재단가!$C$4:$C$203,0)),""))</f>
        <v/>
      </c>
      <c r="E173" s="84" t="n">
        <f aca="false">IF(C173="",0,IFERROR(INDEX(식자재단가!$G$4:$G$203,MATCH(C173,식자재단가!$C$4:$C$203,0)),0))</f>
        <v>0</v>
      </c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1" t="n">
        <f aca="false">N(INDEX(F173:R173,1,기본설정!$C$5+1))</f>
        <v>0</v>
      </c>
      <c r="T173" s="28" t="n">
        <f aca="false">S173*E173</f>
        <v>0</v>
      </c>
      <c r="U173" s="71" t="n">
        <f aca="false">N(INDEX(F173:R173,1,기본설정!$C$5))</f>
        <v>0</v>
      </c>
      <c r="V173" s="28" t="n">
        <f aca="false">U173*E173</f>
        <v>0</v>
      </c>
      <c r="W173" s="59" t="str">
        <f aca="false">IF(B173="","",IFERROR(INDEX(기본설정!$H$4:$H$14,MATCH(B173,기본설정!$G$4:$G$14,0)),""))</f>
        <v/>
      </c>
    </row>
    <row r="174" customFormat="false" ht="15" hidden="false" customHeight="false" outlineLevel="0" collapsed="false">
      <c r="A174" s="70"/>
      <c r="B174" s="81" t="str">
        <f aca="false">IF(C174="","",IFERROR(INDEX(식자재단가!$B$4:$B$203,MATCH(C174,식자재단가!$C$4:$C$203,0)),""))</f>
        <v/>
      </c>
      <c r="C174" s="80"/>
      <c r="D174" s="59" t="str">
        <f aca="false">IF(C174="","",IFERROR(INDEX(식자재단가!$F$4:$F$203,MATCH(C174,식자재단가!$C$4:$C$203,0)),""))</f>
        <v/>
      </c>
      <c r="E174" s="84" t="n">
        <f aca="false">IF(C174="",0,IFERROR(INDEX(식자재단가!$G$4:$G$203,MATCH(C174,식자재단가!$C$4:$C$203,0)),0))</f>
        <v>0</v>
      </c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1" t="n">
        <f aca="false">N(INDEX(F174:R174,1,기본설정!$C$5+1))</f>
        <v>0</v>
      </c>
      <c r="T174" s="28" t="n">
        <f aca="false">S174*E174</f>
        <v>0</v>
      </c>
      <c r="U174" s="71" t="n">
        <f aca="false">N(INDEX(F174:R174,1,기본설정!$C$5))</f>
        <v>0</v>
      </c>
      <c r="V174" s="28" t="n">
        <f aca="false">U174*E174</f>
        <v>0</v>
      </c>
      <c r="W174" s="59" t="str">
        <f aca="false">IF(B174="","",IFERROR(INDEX(기본설정!$H$4:$H$14,MATCH(B174,기본설정!$G$4:$G$14,0)),""))</f>
        <v/>
      </c>
    </row>
    <row r="175" customFormat="false" ht="15" hidden="false" customHeight="false" outlineLevel="0" collapsed="false">
      <c r="A175" s="70"/>
      <c r="B175" s="81" t="str">
        <f aca="false">IF(C175="","",IFERROR(INDEX(식자재단가!$B$4:$B$203,MATCH(C175,식자재단가!$C$4:$C$203,0)),""))</f>
        <v/>
      </c>
      <c r="C175" s="80"/>
      <c r="D175" s="59" t="str">
        <f aca="false">IF(C175="","",IFERROR(INDEX(식자재단가!$F$4:$F$203,MATCH(C175,식자재단가!$C$4:$C$203,0)),""))</f>
        <v/>
      </c>
      <c r="E175" s="84" t="n">
        <f aca="false">IF(C175="",0,IFERROR(INDEX(식자재단가!$G$4:$G$203,MATCH(C175,식자재단가!$C$4:$C$203,0)),0))</f>
        <v>0</v>
      </c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1" t="n">
        <f aca="false">N(INDEX(F175:R175,1,기본설정!$C$5+1))</f>
        <v>0</v>
      </c>
      <c r="T175" s="28" t="n">
        <f aca="false">S175*E175</f>
        <v>0</v>
      </c>
      <c r="U175" s="71" t="n">
        <f aca="false">N(INDEX(F175:R175,1,기본설정!$C$5))</f>
        <v>0</v>
      </c>
      <c r="V175" s="28" t="n">
        <f aca="false">U175*E175</f>
        <v>0</v>
      </c>
      <c r="W175" s="59" t="str">
        <f aca="false">IF(B175="","",IFERROR(INDEX(기본설정!$H$4:$H$14,MATCH(B175,기본설정!$G$4:$G$14,0)),""))</f>
        <v/>
      </c>
    </row>
    <row r="176" customFormat="false" ht="15" hidden="false" customHeight="false" outlineLevel="0" collapsed="false">
      <c r="A176" s="70"/>
      <c r="B176" s="81" t="str">
        <f aca="false">IF(C176="","",IFERROR(INDEX(식자재단가!$B$4:$B$203,MATCH(C176,식자재단가!$C$4:$C$203,0)),""))</f>
        <v/>
      </c>
      <c r="C176" s="80"/>
      <c r="D176" s="59" t="str">
        <f aca="false">IF(C176="","",IFERROR(INDEX(식자재단가!$F$4:$F$203,MATCH(C176,식자재단가!$C$4:$C$203,0)),""))</f>
        <v/>
      </c>
      <c r="E176" s="84" t="n">
        <f aca="false">IF(C176="",0,IFERROR(INDEX(식자재단가!$G$4:$G$203,MATCH(C176,식자재단가!$C$4:$C$203,0)),0))</f>
        <v>0</v>
      </c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1" t="n">
        <f aca="false">N(INDEX(F176:R176,1,기본설정!$C$5+1))</f>
        <v>0</v>
      </c>
      <c r="T176" s="28" t="n">
        <f aca="false">S176*E176</f>
        <v>0</v>
      </c>
      <c r="U176" s="71" t="n">
        <f aca="false">N(INDEX(F176:R176,1,기본설정!$C$5))</f>
        <v>0</v>
      </c>
      <c r="V176" s="28" t="n">
        <f aca="false">U176*E176</f>
        <v>0</v>
      </c>
      <c r="W176" s="59" t="str">
        <f aca="false">IF(B176="","",IFERROR(INDEX(기본설정!$H$4:$H$14,MATCH(B176,기본설정!$G$4:$G$14,0)),""))</f>
        <v/>
      </c>
    </row>
    <row r="177" customFormat="false" ht="15" hidden="false" customHeight="false" outlineLevel="0" collapsed="false">
      <c r="A177" s="70"/>
      <c r="B177" s="81" t="str">
        <f aca="false">IF(C177="","",IFERROR(INDEX(식자재단가!$B$4:$B$203,MATCH(C177,식자재단가!$C$4:$C$203,0)),""))</f>
        <v/>
      </c>
      <c r="C177" s="80"/>
      <c r="D177" s="59" t="str">
        <f aca="false">IF(C177="","",IFERROR(INDEX(식자재단가!$F$4:$F$203,MATCH(C177,식자재단가!$C$4:$C$203,0)),""))</f>
        <v/>
      </c>
      <c r="E177" s="84" t="n">
        <f aca="false">IF(C177="",0,IFERROR(INDEX(식자재단가!$G$4:$G$203,MATCH(C177,식자재단가!$C$4:$C$203,0)),0))</f>
        <v>0</v>
      </c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1" t="n">
        <f aca="false">N(INDEX(F177:R177,1,기본설정!$C$5+1))</f>
        <v>0</v>
      </c>
      <c r="T177" s="28" t="n">
        <f aca="false">S177*E177</f>
        <v>0</v>
      </c>
      <c r="U177" s="71" t="n">
        <f aca="false">N(INDEX(F177:R177,1,기본설정!$C$5))</f>
        <v>0</v>
      </c>
      <c r="V177" s="28" t="n">
        <f aca="false">U177*E177</f>
        <v>0</v>
      </c>
      <c r="W177" s="59" t="str">
        <f aca="false">IF(B177="","",IFERROR(INDEX(기본설정!$H$4:$H$14,MATCH(B177,기본설정!$G$4:$G$14,0)),""))</f>
        <v/>
      </c>
    </row>
    <row r="178" customFormat="false" ht="15" hidden="false" customHeight="false" outlineLevel="0" collapsed="false">
      <c r="A178" s="70"/>
      <c r="B178" s="81" t="str">
        <f aca="false">IF(C178="","",IFERROR(INDEX(식자재단가!$B$4:$B$203,MATCH(C178,식자재단가!$C$4:$C$203,0)),""))</f>
        <v/>
      </c>
      <c r="C178" s="80"/>
      <c r="D178" s="59" t="str">
        <f aca="false">IF(C178="","",IFERROR(INDEX(식자재단가!$F$4:$F$203,MATCH(C178,식자재단가!$C$4:$C$203,0)),""))</f>
        <v/>
      </c>
      <c r="E178" s="84" t="n">
        <f aca="false">IF(C178="",0,IFERROR(INDEX(식자재단가!$G$4:$G$203,MATCH(C178,식자재단가!$C$4:$C$203,0)),0))</f>
        <v>0</v>
      </c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1" t="n">
        <f aca="false">N(INDEX(F178:R178,1,기본설정!$C$5+1))</f>
        <v>0</v>
      </c>
      <c r="T178" s="28" t="n">
        <f aca="false">S178*E178</f>
        <v>0</v>
      </c>
      <c r="U178" s="71" t="n">
        <f aca="false">N(INDEX(F178:R178,1,기본설정!$C$5))</f>
        <v>0</v>
      </c>
      <c r="V178" s="28" t="n">
        <f aca="false">U178*E178</f>
        <v>0</v>
      </c>
      <c r="W178" s="59" t="str">
        <f aca="false">IF(B178="","",IFERROR(INDEX(기본설정!$H$4:$H$14,MATCH(B178,기본설정!$G$4:$G$14,0)),""))</f>
        <v/>
      </c>
    </row>
    <row r="179" customFormat="false" ht="15" hidden="false" customHeight="false" outlineLevel="0" collapsed="false">
      <c r="A179" s="70"/>
      <c r="B179" s="81" t="str">
        <f aca="false">IF(C179="","",IFERROR(INDEX(식자재단가!$B$4:$B$203,MATCH(C179,식자재단가!$C$4:$C$203,0)),""))</f>
        <v/>
      </c>
      <c r="C179" s="80"/>
      <c r="D179" s="59" t="str">
        <f aca="false">IF(C179="","",IFERROR(INDEX(식자재단가!$F$4:$F$203,MATCH(C179,식자재단가!$C$4:$C$203,0)),""))</f>
        <v/>
      </c>
      <c r="E179" s="84" t="n">
        <f aca="false">IF(C179="",0,IFERROR(INDEX(식자재단가!$G$4:$G$203,MATCH(C179,식자재단가!$C$4:$C$203,0)),0))</f>
        <v>0</v>
      </c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1" t="n">
        <f aca="false">N(INDEX(F179:R179,1,기본설정!$C$5+1))</f>
        <v>0</v>
      </c>
      <c r="T179" s="28" t="n">
        <f aca="false">S179*E179</f>
        <v>0</v>
      </c>
      <c r="U179" s="71" t="n">
        <f aca="false">N(INDEX(F179:R179,1,기본설정!$C$5))</f>
        <v>0</v>
      </c>
      <c r="V179" s="28" t="n">
        <f aca="false">U179*E179</f>
        <v>0</v>
      </c>
      <c r="W179" s="59" t="str">
        <f aca="false">IF(B179="","",IFERROR(INDEX(기본설정!$H$4:$H$14,MATCH(B179,기본설정!$G$4:$G$14,0)),""))</f>
        <v/>
      </c>
    </row>
    <row r="180" customFormat="false" ht="15" hidden="false" customHeight="false" outlineLevel="0" collapsed="false">
      <c r="A180" s="70"/>
      <c r="B180" s="81" t="str">
        <f aca="false">IF(C180="","",IFERROR(INDEX(식자재단가!$B$4:$B$203,MATCH(C180,식자재단가!$C$4:$C$203,0)),""))</f>
        <v/>
      </c>
      <c r="C180" s="80"/>
      <c r="D180" s="59" t="str">
        <f aca="false">IF(C180="","",IFERROR(INDEX(식자재단가!$F$4:$F$203,MATCH(C180,식자재단가!$C$4:$C$203,0)),""))</f>
        <v/>
      </c>
      <c r="E180" s="84" t="n">
        <f aca="false">IF(C180="",0,IFERROR(INDEX(식자재단가!$G$4:$G$203,MATCH(C180,식자재단가!$C$4:$C$203,0)),0))</f>
        <v>0</v>
      </c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1" t="n">
        <f aca="false">N(INDEX(F180:R180,1,기본설정!$C$5+1))</f>
        <v>0</v>
      </c>
      <c r="T180" s="28" t="n">
        <f aca="false">S180*E180</f>
        <v>0</v>
      </c>
      <c r="U180" s="71" t="n">
        <f aca="false">N(INDEX(F180:R180,1,기본설정!$C$5))</f>
        <v>0</v>
      </c>
      <c r="V180" s="28" t="n">
        <f aca="false">U180*E180</f>
        <v>0</v>
      </c>
      <c r="W180" s="59" t="str">
        <f aca="false">IF(B180="","",IFERROR(INDEX(기본설정!$H$4:$H$14,MATCH(B180,기본설정!$G$4:$G$14,0)),""))</f>
        <v/>
      </c>
    </row>
    <row r="181" customFormat="false" ht="15" hidden="false" customHeight="false" outlineLevel="0" collapsed="false">
      <c r="A181" s="70"/>
      <c r="B181" s="81" t="str">
        <f aca="false">IF(C181="","",IFERROR(INDEX(식자재단가!$B$4:$B$203,MATCH(C181,식자재단가!$C$4:$C$203,0)),""))</f>
        <v/>
      </c>
      <c r="C181" s="80"/>
      <c r="D181" s="59" t="str">
        <f aca="false">IF(C181="","",IFERROR(INDEX(식자재단가!$F$4:$F$203,MATCH(C181,식자재단가!$C$4:$C$203,0)),""))</f>
        <v/>
      </c>
      <c r="E181" s="84" t="n">
        <f aca="false">IF(C181="",0,IFERROR(INDEX(식자재단가!$G$4:$G$203,MATCH(C181,식자재단가!$C$4:$C$203,0)),0))</f>
        <v>0</v>
      </c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1" t="n">
        <f aca="false">N(INDEX(F181:R181,1,기본설정!$C$5+1))</f>
        <v>0</v>
      </c>
      <c r="T181" s="28" t="n">
        <f aca="false">S181*E181</f>
        <v>0</v>
      </c>
      <c r="U181" s="71" t="n">
        <f aca="false">N(INDEX(F181:R181,1,기본설정!$C$5))</f>
        <v>0</v>
      </c>
      <c r="V181" s="28" t="n">
        <f aca="false">U181*E181</f>
        <v>0</v>
      </c>
      <c r="W181" s="59" t="str">
        <f aca="false">IF(B181="","",IFERROR(INDEX(기본설정!$H$4:$H$14,MATCH(B181,기본설정!$G$4:$G$14,0)),""))</f>
        <v/>
      </c>
    </row>
    <row r="182" customFormat="false" ht="15" hidden="false" customHeight="false" outlineLevel="0" collapsed="false">
      <c r="A182" s="70"/>
      <c r="B182" s="81" t="str">
        <f aca="false">IF(C182="","",IFERROR(INDEX(식자재단가!$B$4:$B$203,MATCH(C182,식자재단가!$C$4:$C$203,0)),""))</f>
        <v/>
      </c>
      <c r="C182" s="80"/>
      <c r="D182" s="59" t="str">
        <f aca="false">IF(C182="","",IFERROR(INDEX(식자재단가!$F$4:$F$203,MATCH(C182,식자재단가!$C$4:$C$203,0)),""))</f>
        <v/>
      </c>
      <c r="E182" s="84" t="n">
        <f aca="false">IF(C182="",0,IFERROR(INDEX(식자재단가!$G$4:$G$203,MATCH(C182,식자재단가!$C$4:$C$203,0)),0))</f>
        <v>0</v>
      </c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1" t="n">
        <f aca="false">N(INDEX(F182:R182,1,기본설정!$C$5+1))</f>
        <v>0</v>
      </c>
      <c r="T182" s="28" t="n">
        <f aca="false">S182*E182</f>
        <v>0</v>
      </c>
      <c r="U182" s="71" t="n">
        <f aca="false">N(INDEX(F182:R182,1,기본설정!$C$5))</f>
        <v>0</v>
      </c>
      <c r="V182" s="28" t="n">
        <f aca="false">U182*E182</f>
        <v>0</v>
      </c>
      <c r="W182" s="59" t="str">
        <f aca="false">IF(B182="","",IFERROR(INDEX(기본설정!$H$4:$H$14,MATCH(B182,기본설정!$G$4:$G$14,0)),""))</f>
        <v/>
      </c>
    </row>
    <row r="183" customFormat="false" ht="15" hidden="false" customHeight="false" outlineLevel="0" collapsed="false">
      <c r="A183" s="70"/>
      <c r="B183" s="81" t="str">
        <f aca="false">IF(C183="","",IFERROR(INDEX(식자재단가!$B$4:$B$203,MATCH(C183,식자재단가!$C$4:$C$203,0)),""))</f>
        <v/>
      </c>
      <c r="C183" s="80"/>
      <c r="D183" s="59" t="str">
        <f aca="false">IF(C183="","",IFERROR(INDEX(식자재단가!$F$4:$F$203,MATCH(C183,식자재단가!$C$4:$C$203,0)),""))</f>
        <v/>
      </c>
      <c r="E183" s="84" t="n">
        <f aca="false">IF(C183="",0,IFERROR(INDEX(식자재단가!$G$4:$G$203,MATCH(C183,식자재단가!$C$4:$C$203,0)),0))</f>
        <v>0</v>
      </c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1" t="n">
        <f aca="false">N(INDEX(F183:R183,1,기본설정!$C$5+1))</f>
        <v>0</v>
      </c>
      <c r="T183" s="28" t="n">
        <f aca="false">S183*E183</f>
        <v>0</v>
      </c>
      <c r="U183" s="71" t="n">
        <f aca="false">N(INDEX(F183:R183,1,기본설정!$C$5))</f>
        <v>0</v>
      </c>
      <c r="V183" s="28" t="n">
        <f aca="false">U183*E183</f>
        <v>0</v>
      </c>
      <c r="W183" s="59" t="str">
        <f aca="false">IF(B183="","",IFERROR(INDEX(기본설정!$H$4:$H$14,MATCH(B183,기본설정!$G$4:$G$14,0)),""))</f>
        <v/>
      </c>
    </row>
    <row r="184" customFormat="false" ht="15" hidden="false" customHeight="false" outlineLevel="0" collapsed="false">
      <c r="A184" s="70"/>
      <c r="B184" s="81" t="str">
        <f aca="false">IF(C184="","",IFERROR(INDEX(식자재단가!$B$4:$B$203,MATCH(C184,식자재단가!$C$4:$C$203,0)),""))</f>
        <v/>
      </c>
      <c r="C184" s="80"/>
      <c r="D184" s="59" t="str">
        <f aca="false">IF(C184="","",IFERROR(INDEX(식자재단가!$F$4:$F$203,MATCH(C184,식자재단가!$C$4:$C$203,0)),""))</f>
        <v/>
      </c>
      <c r="E184" s="84" t="n">
        <f aca="false">IF(C184="",0,IFERROR(INDEX(식자재단가!$G$4:$G$203,MATCH(C184,식자재단가!$C$4:$C$203,0)),0))</f>
        <v>0</v>
      </c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1" t="n">
        <f aca="false">N(INDEX(F184:R184,1,기본설정!$C$5+1))</f>
        <v>0</v>
      </c>
      <c r="T184" s="28" t="n">
        <f aca="false">S184*E184</f>
        <v>0</v>
      </c>
      <c r="U184" s="71" t="n">
        <f aca="false">N(INDEX(F184:R184,1,기본설정!$C$5))</f>
        <v>0</v>
      </c>
      <c r="V184" s="28" t="n">
        <f aca="false">U184*E184</f>
        <v>0</v>
      </c>
      <c r="W184" s="59" t="str">
        <f aca="false">IF(B184="","",IFERROR(INDEX(기본설정!$H$4:$H$14,MATCH(B184,기본설정!$G$4:$G$14,0)),""))</f>
        <v/>
      </c>
    </row>
    <row r="185" customFormat="false" ht="15" hidden="false" customHeight="false" outlineLevel="0" collapsed="false">
      <c r="A185" s="70"/>
      <c r="B185" s="81" t="str">
        <f aca="false">IF(C185="","",IFERROR(INDEX(식자재단가!$B$4:$B$203,MATCH(C185,식자재단가!$C$4:$C$203,0)),""))</f>
        <v/>
      </c>
      <c r="C185" s="80"/>
      <c r="D185" s="59" t="str">
        <f aca="false">IF(C185="","",IFERROR(INDEX(식자재단가!$F$4:$F$203,MATCH(C185,식자재단가!$C$4:$C$203,0)),""))</f>
        <v/>
      </c>
      <c r="E185" s="84" t="n">
        <f aca="false">IF(C185="",0,IFERROR(INDEX(식자재단가!$G$4:$G$203,MATCH(C185,식자재단가!$C$4:$C$203,0)),0))</f>
        <v>0</v>
      </c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1" t="n">
        <f aca="false">N(INDEX(F185:R185,1,기본설정!$C$5+1))</f>
        <v>0</v>
      </c>
      <c r="T185" s="28" t="n">
        <f aca="false">S185*E185</f>
        <v>0</v>
      </c>
      <c r="U185" s="71" t="n">
        <f aca="false">N(INDEX(F185:R185,1,기본설정!$C$5))</f>
        <v>0</v>
      </c>
      <c r="V185" s="28" t="n">
        <f aca="false">U185*E185</f>
        <v>0</v>
      </c>
      <c r="W185" s="59" t="str">
        <f aca="false">IF(B185="","",IFERROR(INDEX(기본설정!$H$4:$H$14,MATCH(B185,기본설정!$G$4:$G$14,0)),""))</f>
        <v/>
      </c>
    </row>
    <row r="186" customFormat="false" ht="15" hidden="false" customHeight="false" outlineLevel="0" collapsed="false">
      <c r="A186" s="70"/>
      <c r="B186" s="81" t="str">
        <f aca="false">IF(C186="","",IFERROR(INDEX(식자재단가!$B$4:$B$203,MATCH(C186,식자재단가!$C$4:$C$203,0)),""))</f>
        <v/>
      </c>
      <c r="C186" s="80"/>
      <c r="D186" s="59" t="str">
        <f aca="false">IF(C186="","",IFERROR(INDEX(식자재단가!$F$4:$F$203,MATCH(C186,식자재단가!$C$4:$C$203,0)),""))</f>
        <v/>
      </c>
      <c r="E186" s="84" t="n">
        <f aca="false">IF(C186="",0,IFERROR(INDEX(식자재단가!$G$4:$G$203,MATCH(C186,식자재단가!$C$4:$C$203,0)),0))</f>
        <v>0</v>
      </c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1" t="n">
        <f aca="false">N(INDEX(F186:R186,1,기본설정!$C$5+1))</f>
        <v>0</v>
      </c>
      <c r="T186" s="28" t="n">
        <f aca="false">S186*E186</f>
        <v>0</v>
      </c>
      <c r="U186" s="71" t="n">
        <f aca="false">N(INDEX(F186:R186,1,기본설정!$C$5))</f>
        <v>0</v>
      </c>
      <c r="V186" s="28" t="n">
        <f aca="false">U186*E186</f>
        <v>0</v>
      </c>
      <c r="W186" s="59" t="str">
        <f aca="false">IF(B186="","",IFERROR(INDEX(기본설정!$H$4:$H$14,MATCH(B186,기본설정!$G$4:$G$14,0)),""))</f>
        <v/>
      </c>
    </row>
    <row r="187" customFormat="false" ht="15" hidden="false" customHeight="false" outlineLevel="0" collapsed="false">
      <c r="A187" s="70"/>
      <c r="B187" s="81" t="str">
        <f aca="false">IF(C187="","",IFERROR(INDEX(식자재단가!$B$4:$B$203,MATCH(C187,식자재단가!$C$4:$C$203,0)),""))</f>
        <v/>
      </c>
      <c r="C187" s="80"/>
      <c r="D187" s="59" t="str">
        <f aca="false">IF(C187="","",IFERROR(INDEX(식자재단가!$F$4:$F$203,MATCH(C187,식자재단가!$C$4:$C$203,0)),""))</f>
        <v/>
      </c>
      <c r="E187" s="84" t="n">
        <f aca="false">IF(C187="",0,IFERROR(INDEX(식자재단가!$G$4:$G$203,MATCH(C187,식자재단가!$C$4:$C$203,0)),0))</f>
        <v>0</v>
      </c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1" t="n">
        <f aca="false">N(INDEX(F187:R187,1,기본설정!$C$5+1))</f>
        <v>0</v>
      </c>
      <c r="T187" s="28" t="n">
        <f aca="false">S187*E187</f>
        <v>0</v>
      </c>
      <c r="U187" s="71" t="n">
        <f aca="false">N(INDEX(F187:R187,1,기본설정!$C$5))</f>
        <v>0</v>
      </c>
      <c r="V187" s="28" t="n">
        <f aca="false">U187*E187</f>
        <v>0</v>
      </c>
      <c r="W187" s="59" t="str">
        <f aca="false">IF(B187="","",IFERROR(INDEX(기본설정!$H$4:$H$14,MATCH(B187,기본설정!$G$4:$G$14,0)),""))</f>
        <v/>
      </c>
    </row>
    <row r="188" customFormat="false" ht="15" hidden="false" customHeight="false" outlineLevel="0" collapsed="false">
      <c r="A188" s="70"/>
      <c r="B188" s="81" t="str">
        <f aca="false">IF(C188="","",IFERROR(INDEX(식자재단가!$B$4:$B$203,MATCH(C188,식자재단가!$C$4:$C$203,0)),""))</f>
        <v/>
      </c>
      <c r="C188" s="80"/>
      <c r="D188" s="59" t="str">
        <f aca="false">IF(C188="","",IFERROR(INDEX(식자재단가!$F$4:$F$203,MATCH(C188,식자재단가!$C$4:$C$203,0)),""))</f>
        <v/>
      </c>
      <c r="E188" s="84" t="n">
        <f aca="false">IF(C188="",0,IFERROR(INDEX(식자재단가!$G$4:$G$203,MATCH(C188,식자재단가!$C$4:$C$203,0)),0))</f>
        <v>0</v>
      </c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1" t="n">
        <f aca="false">N(INDEX(F188:R188,1,기본설정!$C$5+1))</f>
        <v>0</v>
      </c>
      <c r="T188" s="28" t="n">
        <f aca="false">S188*E188</f>
        <v>0</v>
      </c>
      <c r="U188" s="71" t="n">
        <f aca="false">N(INDEX(F188:R188,1,기본설정!$C$5))</f>
        <v>0</v>
      </c>
      <c r="V188" s="28" t="n">
        <f aca="false">U188*E188</f>
        <v>0</v>
      </c>
      <c r="W188" s="59" t="str">
        <f aca="false">IF(B188="","",IFERROR(INDEX(기본설정!$H$4:$H$14,MATCH(B188,기본설정!$G$4:$G$14,0)),""))</f>
        <v/>
      </c>
    </row>
    <row r="189" customFormat="false" ht="15" hidden="false" customHeight="false" outlineLevel="0" collapsed="false">
      <c r="A189" s="70"/>
      <c r="B189" s="81" t="str">
        <f aca="false">IF(C189="","",IFERROR(INDEX(식자재단가!$B$4:$B$203,MATCH(C189,식자재단가!$C$4:$C$203,0)),""))</f>
        <v/>
      </c>
      <c r="C189" s="80"/>
      <c r="D189" s="59" t="str">
        <f aca="false">IF(C189="","",IFERROR(INDEX(식자재단가!$F$4:$F$203,MATCH(C189,식자재단가!$C$4:$C$203,0)),""))</f>
        <v/>
      </c>
      <c r="E189" s="84" t="n">
        <f aca="false">IF(C189="",0,IFERROR(INDEX(식자재단가!$G$4:$G$203,MATCH(C189,식자재단가!$C$4:$C$203,0)),0))</f>
        <v>0</v>
      </c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1" t="n">
        <f aca="false">N(INDEX(F189:R189,1,기본설정!$C$5+1))</f>
        <v>0</v>
      </c>
      <c r="T189" s="28" t="n">
        <f aca="false">S189*E189</f>
        <v>0</v>
      </c>
      <c r="U189" s="71" t="n">
        <f aca="false">N(INDEX(F189:R189,1,기본설정!$C$5))</f>
        <v>0</v>
      </c>
      <c r="V189" s="28" t="n">
        <f aca="false">U189*E189</f>
        <v>0</v>
      </c>
      <c r="W189" s="59" t="str">
        <f aca="false">IF(B189="","",IFERROR(INDEX(기본설정!$H$4:$H$14,MATCH(B189,기본설정!$G$4:$G$14,0)),""))</f>
        <v/>
      </c>
    </row>
    <row r="190" customFormat="false" ht="15" hidden="false" customHeight="false" outlineLevel="0" collapsed="false">
      <c r="A190" s="70"/>
      <c r="B190" s="81" t="str">
        <f aca="false">IF(C190="","",IFERROR(INDEX(식자재단가!$B$4:$B$203,MATCH(C190,식자재단가!$C$4:$C$203,0)),""))</f>
        <v/>
      </c>
      <c r="C190" s="80"/>
      <c r="D190" s="59" t="str">
        <f aca="false">IF(C190="","",IFERROR(INDEX(식자재단가!$F$4:$F$203,MATCH(C190,식자재단가!$C$4:$C$203,0)),""))</f>
        <v/>
      </c>
      <c r="E190" s="84" t="n">
        <f aca="false">IF(C190="",0,IFERROR(INDEX(식자재단가!$G$4:$G$203,MATCH(C190,식자재단가!$C$4:$C$203,0)),0))</f>
        <v>0</v>
      </c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1" t="n">
        <f aca="false">N(INDEX(F190:R190,1,기본설정!$C$5+1))</f>
        <v>0</v>
      </c>
      <c r="T190" s="28" t="n">
        <f aca="false">S190*E190</f>
        <v>0</v>
      </c>
      <c r="U190" s="71" t="n">
        <f aca="false">N(INDEX(F190:R190,1,기본설정!$C$5))</f>
        <v>0</v>
      </c>
      <c r="V190" s="28" t="n">
        <f aca="false">U190*E190</f>
        <v>0</v>
      </c>
      <c r="W190" s="59" t="str">
        <f aca="false">IF(B190="","",IFERROR(INDEX(기본설정!$H$4:$H$14,MATCH(B190,기본설정!$G$4:$G$14,0)),""))</f>
        <v/>
      </c>
    </row>
    <row r="191" customFormat="false" ht="15" hidden="false" customHeight="false" outlineLevel="0" collapsed="false">
      <c r="A191" s="70"/>
      <c r="B191" s="81" t="str">
        <f aca="false">IF(C191="","",IFERROR(INDEX(식자재단가!$B$4:$B$203,MATCH(C191,식자재단가!$C$4:$C$203,0)),""))</f>
        <v/>
      </c>
      <c r="C191" s="80"/>
      <c r="D191" s="59" t="str">
        <f aca="false">IF(C191="","",IFERROR(INDEX(식자재단가!$F$4:$F$203,MATCH(C191,식자재단가!$C$4:$C$203,0)),""))</f>
        <v/>
      </c>
      <c r="E191" s="84" t="n">
        <f aca="false">IF(C191="",0,IFERROR(INDEX(식자재단가!$G$4:$G$203,MATCH(C191,식자재단가!$C$4:$C$203,0)),0))</f>
        <v>0</v>
      </c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1" t="n">
        <f aca="false">N(INDEX(F191:R191,1,기본설정!$C$5+1))</f>
        <v>0</v>
      </c>
      <c r="T191" s="28" t="n">
        <f aca="false">S191*E191</f>
        <v>0</v>
      </c>
      <c r="U191" s="71" t="n">
        <f aca="false">N(INDEX(F191:R191,1,기본설정!$C$5))</f>
        <v>0</v>
      </c>
      <c r="V191" s="28" t="n">
        <f aca="false">U191*E191</f>
        <v>0</v>
      </c>
      <c r="W191" s="59" t="str">
        <f aca="false">IF(B191="","",IFERROR(INDEX(기본설정!$H$4:$H$14,MATCH(B191,기본설정!$G$4:$G$14,0)),""))</f>
        <v/>
      </c>
    </row>
    <row r="192" customFormat="false" ht="15" hidden="false" customHeight="false" outlineLevel="0" collapsed="false">
      <c r="A192" s="70"/>
      <c r="B192" s="81" t="str">
        <f aca="false">IF(C192="","",IFERROR(INDEX(식자재단가!$B$4:$B$203,MATCH(C192,식자재단가!$C$4:$C$203,0)),""))</f>
        <v/>
      </c>
      <c r="C192" s="80"/>
      <c r="D192" s="59" t="str">
        <f aca="false">IF(C192="","",IFERROR(INDEX(식자재단가!$F$4:$F$203,MATCH(C192,식자재단가!$C$4:$C$203,0)),""))</f>
        <v/>
      </c>
      <c r="E192" s="84" t="n">
        <f aca="false">IF(C192="",0,IFERROR(INDEX(식자재단가!$G$4:$G$203,MATCH(C192,식자재단가!$C$4:$C$203,0)),0))</f>
        <v>0</v>
      </c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1" t="n">
        <f aca="false">N(INDEX(F192:R192,1,기본설정!$C$5+1))</f>
        <v>0</v>
      </c>
      <c r="T192" s="28" t="n">
        <f aca="false">S192*E192</f>
        <v>0</v>
      </c>
      <c r="U192" s="71" t="n">
        <f aca="false">N(INDEX(F192:R192,1,기본설정!$C$5))</f>
        <v>0</v>
      </c>
      <c r="V192" s="28" t="n">
        <f aca="false">U192*E192</f>
        <v>0</v>
      </c>
      <c r="W192" s="59" t="str">
        <f aca="false">IF(B192="","",IFERROR(INDEX(기본설정!$H$4:$H$14,MATCH(B192,기본설정!$G$4:$G$14,0)),""))</f>
        <v/>
      </c>
    </row>
    <row r="193" customFormat="false" ht="15" hidden="false" customHeight="false" outlineLevel="0" collapsed="false">
      <c r="A193" s="70"/>
      <c r="B193" s="81" t="str">
        <f aca="false">IF(C193="","",IFERROR(INDEX(식자재단가!$B$4:$B$203,MATCH(C193,식자재단가!$C$4:$C$203,0)),""))</f>
        <v/>
      </c>
      <c r="C193" s="80"/>
      <c r="D193" s="59" t="str">
        <f aca="false">IF(C193="","",IFERROR(INDEX(식자재단가!$F$4:$F$203,MATCH(C193,식자재단가!$C$4:$C$203,0)),""))</f>
        <v/>
      </c>
      <c r="E193" s="84" t="n">
        <f aca="false">IF(C193="",0,IFERROR(INDEX(식자재단가!$G$4:$G$203,MATCH(C193,식자재단가!$C$4:$C$203,0)),0))</f>
        <v>0</v>
      </c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1" t="n">
        <f aca="false">N(INDEX(F193:R193,1,기본설정!$C$5+1))</f>
        <v>0</v>
      </c>
      <c r="T193" s="28" t="n">
        <f aca="false">S193*E193</f>
        <v>0</v>
      </c>
      <c r="U193" s="71" t="n">
        <f aca="false">N(INDEX(F193:R193,1,기본설정!$C$5))</f>
        <v>0</v>
      </c>
      <c r="V193" s="28" t="n">
        <f aca="false">U193*E193</f>
        <v>0</v>
      </c>
      <c r="W193" s="59" t="str">
        <f aca="false">IF(B193="","",IFERROR(INDEX(기본설정!$H$4:$H$14,MATCH(B193,기본설정!$G$4:$G$14,0)),""))</f>
        <v/>
      </c>
    </row>
    <row r="194" customFormat="false" ht="15" hidden="false" customHeight="false" outlineLevel="0" collapsed="false">
      <c r="A194" s="70"/>
      <c r="B194" s="81" t="str">
        <f aca="false">IF(C194="","",IFERROR(INDEX(식자재단가!$B$4:$B$203,MATCH(C194,식자재단가!$C$4:$C$203,0)),""))</f>
        <v/>
      </c>
      <c r="C194" s="80"/>
      <c r="D194" s="59" t="str">
        <f aca="false">IF(C194="","",IFERROR(INDEX(식자재단가!$F$4:$F$203,MATCH(C194,식자재단가!$C$4:$C$203,0)),""))</f>
        <v/>
      </c>
      <c r="E194" s="84" t="n">
        <f aca="false">IF(C194="",0,IFERROR(INDEX(식자재단가!$G$4:$G$203,MATCH(C194,식자재단가!$C$4:$C$203,0)),0))</f>
        <v>0</v>
      </c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1" t="n">
        <f aca="false">N(INDEX(F194:R194,1,기본설정!$C$5+1))</f>
        <v>0</v>
      </c>
      <c r="T194" s="28" t="n">
        <f aca="false">S194*E194</f>
        <v>0</v>
      </c>
      <c r="U194" s="71" t="n">
        <f aca="false">N(INDEX(F194:R194,1,기본설정!$C$5))</f>
        <v>0</v>
      </c>
      <c r="V194" s="28" t="n">
        <f aca="false">U194*E194</f>
        <v>0</v>
      </c>
      <c r="W194" s="59" t="str">
        <f aca="false">IF(B194="","",IFERROR(INDEX(기본설정!$H$4:$H$14,MATCH(B194,기본설정!$G$4:$G$14,0)),""))</f>
        <v/>
      </c>
    </row>
    <row r="195" customFormat="false" ht="15" hidden="false" customHeight="false" outlineLevel="0" collapsed="false">
      <c r="A195" s="70"/>
      <c r="B195" s="81" t="str">
        <f aca="false">IF(C195="","",IFERROR(INDEX(식자재단가!$B$4:$B$203,MATCH(C195,식자재단가!$C$4:$C$203,0)),""))</f>
        <v/>
      </c>
      <c r="C195" s="80"/>
      <c r="D195" s="59" t="str">
        <f aca="false">IF(C195="","",IFERROR(INDEX(식자재단가!$F$4:$F$203,MATCH(C195,식자재단가!$C$4:$C$203,0)),""))</f>
        <v/>
      </c>
      <c r="E195" s="84" t="n">
        <f aca="false">IF(C195="",0,IFERROR(INDEX(식자재단가!$G$4:$G$203,MATCH(C195,식자재단가!$C$4:$C$203,0)),0))</f>
        <v>0</v>
      </c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1" t="n">
        <f aca="false">N(INDEX(F195:R195,1,기본설정!$C$5+1))</f>
        <v>0</v>
      </c>
      <c r="T195" s="28" t="n">
        <f aca="false">S195*E195</f>
        <v>0</v>
      </c>
      <c r="U195" s="71" t="n">
        <f aca="false">N(INDEX(F195:R195,1,기본설정!$C$5))</f>
        <v>0</v>
      </c>
      <c r="V195" s="28" t="n">
        <f aca="false">U195*E195</f>
        <v>0</v>
      </c>
      <c r="W195" s="59" t="str">
        <f aca="false">IF(B195="","",IFERROR(INDEX(기본설정!$H$4:$H$14,MATCH(B195,기본설정!$G$4:$G$14,0)),""))</f>
        <v/>
      </c>
    </row>
    <row r="196" customFormat="false" ht="15" hidden="false" customHeight="false" outlineLevel="0" collapsed="false">
      <c r="A196" s="70"/>
      <c r="B196" s="81" t="str">
        <f aca="false">IF(C196="","",IFERROR(INDEX(식자재단가!$B$4:$B$203,MATCH(C196,식자재단가!$C$4:$C$203,0)),""))</f>
        <v/>
      </c>
      <c r="C196" s="80"/>
      <c r="D196" s="59" t="str">
        <f aca="false">IF(C196="","",IFERROR(INDEX(식자재단가!$F$4:$F$203,MATCH(C196,식자재단가!$C$4:$C$203,0)),""))</f>
        <v/>
      </c>
      <c r="E196" s="84" t="n">
        <f aca="false">IF(C196="",0,IFERROR(INDEX(식자재단가!$G$4:$G$203,MATCH(C196,식자재단가!$C$4:$C$203,0)),0))</f>
        <v>0</v>
      </c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1" t="n">
        <f aca="false">N(INDEX(F196:R196,1,기본설정!$C$5+1))</f>
        <v>0</v>
      </c>
      <c r="T196" s="28" t="n">
        <f aca="false">S196*E196</f>
        <v>0</v>
      </c>
      <c r="U196" s="71" t="n">
        <f aca="false">N(INDEX(F196:R196,1,기본설정!$C$5))</f>
        <v>0</v>
      </c>
      <c r="V196" s="28" t="n">
        <f aca="false">U196*E196</f>
        <v>0</v>
      </c>
      <c r="W196" s="59" t="str">
        <f aca="false">IF(B196="","",IFERROR(INDEX(기본설정!$H$4:$H$14,MATCH(B196,기본설정!$G$4:$G$14,0)),""))</f>
        <v/>
      </c>
    </row>
    <row r="197" customFormat="false" ht="15" hidden="false" customHeight="false" outlineLevel="0" collapsed="false">
      <c r="A197" s="70"/>
      <c r="B197" s="81" t="str">
        <f aca="false">IF(C197="","",IFERROR(INDEX(식자재단가!$B$4:$B$203,MATCH(C197,식자재단가!$C$4:$C$203,0)),""))</f>
        <v/>
      </c>
      <c r="C197" s="80"/>
      <c r="D197" s="59" t="str">
        <f aca="false">IF(C197="","",IFERROR(INDEX(식자재단가!$F$4:$F$203,MATCH(C197,식자재단가!$C$4:$C$203,0)),""))</f>
        <v/>
      </c>
      <c r="E197" s="84" t="n">
        <f aca="false">IF(C197="",0,IFERROR(INDEX(식자재단가!$G$4:$G$203,MATCH(C197,식자재단가!$C$4:$C$203,0)),0))</f>
        <v>0</v>
      </c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1" t="n">
        <f aca="false">N(INDEX(F197:R197,1,기본설정!$C$5+1))</f>
        <v>0</v>
      </c>
      <c r="T197" s="28" t="n">
        <f aca="false">S197*E197</f>
        <v>0</v>
      </c>
      <c r="U197" s="71" t="n">
        <f aca="false">N(INDEX(F197:R197,1,기본설정!$C$5))</f>
        <v>0</v>
      </c>
      <c r="V197" s="28" t="n">
        <f aca="false">U197*E197</f>
        <v>0</v>
      </c>
      <c r="W197" s="59" t="str">
        <f aca="false">IF(B197="","",IFERROR(INDEX(기본설정!$H$4:$H$14,MATCH(B197,기본설정!$G$4:$G$14,0)),""))</f>
        <v/>
      </c>
    </row>
    <row r="198" customFormat="false" ht="15" hidden="false" customHeight="false" outlineLevel="0" collapsed="false">
      <c r="A198" s="70"/>
      <c r="B198" s="81" t="str">
        <f aca="false">IF(C198="","",IFERROR(INDEX(식자재단가!$B$4:$B$203,MATCH(C198,식자재단가!$C$4:$C$203,0)),""))</f>
        <v/>
      </c>
      <c r="C198" s="80"/>
      <c r="D198" s="59" t="str">
        <f aca="false">IF(C198="","",IFERROR(INDEX(식자재단가!$F$4:$F$203,MATCH(C198,식자재단가!$C$4:$C$203,0)),""))</f>
        <v/>
      </c>
      <c r="E198" s="84" t="n">
        <f aca="false">IF(C198="",0,IFERROR(INDEX(식자재단가!$G$4:$G$203,MATCH(C198,식자재단가!$C$4:$C$203,0)),0))</f>
        <v>0</v>
      </c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1" t="n">
        <f aca="false">N(INDEX(F198:R198,1,기본설정!$C$5+1))</f>
        <v>0</v>
      </c>
      <c r="T198" s="28" t="n">
        <f aca="false">S198*E198</f>
        <v>0</v>
      </c>
      <c r="U198" s="71" t="n">
        <f aca="false">N(INDEX(F198:R198,1,기본설정!$C$5))</f>
        <v>0</v>
      </c>
      <c r="V198" s="28" t="n">
        <f aca="false">U198*E198</f>
        <v>0</v>
      </c>
      <c r="W198" s="59" t="str">
        <f aca="false">IF(B198="","",IFERROR(INDEX(기본설정!$H$4:$H$14,MATCH(B198,기본설정!$G$4:$G$14,0)),""))</f>
        <v/>
      </c>
    </row>
    <row r="199" customFormat="false" ht="15" hidden="false" customHeight="false" outlineLevel="0" collapsed="false">
      <c r="A199" s="70"/>
      <c r="B199" s="81" t="str">
        <f aca="false">IF(C199="","",IFERROR(INDEX(식자재단가!$B$4:$B$203,MATCH(C199,식자재단가!$C$4:$C$203,0)),""))</f>
        <v/>
      </c>
      <c r="C199" s="80"/>
      <c r="D199" s="59" t="str">
        <f aca="false">IF(C199="","",IFERROR(INDEX(식자재단가!$F$4:$F$203,MATCH(C199,식자재단가!$C$4:$C$203,0)),""))</f>
        <v/>
      </c>
      <c r="E199" s="84" t="n">
        <f aca="false">IF(C199="",0,IFERROR(INDEX(식자재단가!$G$4:$G$203,MATCH(C199,식자재단가!$C$4:$C$203,0)),0))</f>
        <v>0</v>
      </c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1" t="n">
        <f aca="false">N(INDEX(F199:R199,1,기본설정!$C$5+1))</f>
        <v>0</v>
      </c>
      <c r="T199" s="28" t="n">
        <f aca="false">S199*E199</f>
        <v>0</v>
      </c>
      <c r="U199" s="71" t="n">
        <f aca="false">N(INDEX(F199:R199,1,기본설정!$C$5))</f>
        <v>0</v>
      </c>
      <c r="V199" s="28" t="n">
        <f aca="false">U199*E199</f>
        <v>0</v>
      </c>
      <c r="W199" s="59" t="str">
        <f aca="false">IF(B199="","",IFERROR(INDEX(기본설정!$H$4:$H$14,MATCH(B199,기본설정!$G$4:$G$14,0)),""))</f>
        <v/>
      </c>
    </row>
    <row r="200" customFormat="false" ht="15" hidden="false" customHeight="false" outlineLevel="0" collapsed="false">
      <c r="A200" s="70"/>
      <c r="B200" s="81" t="str">
        <f aca="false">IF(C200="","",IFERROR(INDEX(식자재단가!$B$4:$B$203,MATCH(C200,식자재단가!$C$4:$C$203,0)),""))</f>
        <v/>
      </c>
      <c r="C200" s="80"/>
      <c r="D200" s="59" t="str">
        <f aca="false">IF(C200="","",IFERROR(INDEX(식자재단가!$F$4:$F$203,MATCH(C200,식자재단가!$C$4:$C$203,0)),""))</f>
        <v/>
      </c>
      <c r="E200" s="84" t="n">
        <f aca="false">IF(C200="",0,IFERROR(INDEX(식자재단가!$G$4:$G$203,MATCH(C200,식자재단가!$C$4:$C$203,0)),0))</f>
        <v>0</v>
      </c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1" t="n">
        <f aca="false">N(INDEX(F200:R200,1,기본설정!$C$5+1))</f>
        <v>0</v>
      </c>
      <c r="T200" s="28" t="n">
        <f aca="false">S200*E200</f>
        <v>0</v>
      </c>
      <c r="U200" s="71" t="n">
        <f aca="false">N(INDEX(F200:R200,1,기본설정!$C$5))</f>
        <v>0</v>
      </c>
      <c r="V200" s="28" t="n">
        <f aca="false">U200*E200</f>
        <v>0</v>
      </c>
      <c r="W200" s="59" t="str">
        <f aca="false">IF(B200="","",IFERROR(INDEX(기본설정!$H$4:$H$14,MATCH(B200,기본설정!$G$4:$G$14,0)),""))</f>
        <v/>
      </c>
    </row>
    <row r="201" customFormat="false" ht="15" hidden="false" customHeight="false" outlineLevel="0" collapsed="false">
      <c r="A201" s="70"/>
      <c r="B201" s="81" t="str">
        <f aca="false">IF(C201="","",IFERROR(INDEX(식자재단가!$B$4:$B$203,MATCH(C201,식자재단가!$C$4:$C$203,0)),""))</f>
        <v/>
      </c>
      <c r="C201" s="80"/>
      <c r="D201" s="59" t="str">
        <f aca="false">IF(C201="","",IFERROR(INDEX(식자재단가!$F$4:$F$203,MATCH(C201,식자재단가!$C$4:$C$203,0)),""))</f>
        <v/>
      </c>
      <c r="E201" s="84" t="n">
        <f aca="false">IF(C201="",0,IFERROR(INDEX(식자재단가!$G$4:$G$203,MATCH(C201,식자재단가!$C$4:$C$203,0)),0))</f>
        <v>0</v>
      </c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1" t="n">
        <f aca="false">N(INDEX(F201:R201,1,기본설정!$C$5+1))</f>
        <v>0</v>
      </c>
      <c r="T201" s="28" t="n">
        <f aca="false">S201*E201</f>
        <v>0</v>
      </c>
      <c r="U201" s="71" t="n">
        <f aca="false">N(INDEX(F201:R201,1,기본설정!$C$5))</f>
        <v>0</v>
      </c>
      <c r="V201" s="28" t="n">
        <f aca="false">U201*E201</f>
        <v>0</v>
      </c>
      <c r="W201" s="59" t="str">
        <f aca="false">IF(B201="","",IFERROR(INDEX(기본설정!$H$4:$H$14,MATCH(B201,기본설정!$G$4:$G$14,0)),""))</f>
        <v/>
      </c>
    </row>
    <row r="202" customFormat="false" ht="15" hidden="false" customHeight="false" outlineLevel="0" collapsed="false">
      <c r="A202" s="70"/>
      <c r="B202" s="81" t="str">
        <f aca="false">IF(C202="","",IFERROR(INDEX(식자재단가!$B$4:$B$203,MATCH(C202,식자재단가!$C$4:$C$203,0)),""))</f>
        <v/>
      </c>
      <c r="C202" s="80"/>
      <c r="D202" s="59" t="str">
        <f aca="false">IF(C202="","",IFERROR(INDEX(식자재단가!$F$4:$F$203,MATCH(C202,식자재단가!$C$4:$C$203,0)),""))</f>
        <v/>
      </c>
      <c r="E202" s="84" t="n">
        <f aca="false">IF(C202="",0,IFERROR(INDEX(식자재단가!$G$4:$G$203,MATCH(C202,식자재단가!$C$4:$C$203,0)),0))</f>
        <v>0</v>
      </c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1" t="n">
        <f aca="false">N(INDEX(F202:R202,1,기본설정!$C$5+1))</f>
        <v>0</v>
      </c>
      <c r="T202" s="28" t="n">
        <f aca="false">S202*E202</f>
        <v>0</v>
      </c>
      <c r="U202" s="71" t="n">
        <f aca="false">N(INDEX(F202:R202,1,기본설정!$C$5))</f>
        <v>0</v>
      </c>
      <c r="V202" s="28" t="n">
        <f aca="false">U202*E202</f>
        <v>0</v>
      </c>
      <c r="W202" s="59" t="str">
        <f aca="false">IF(B202="","",IFERROR(INDEX(기본설정!$H$4:$H$14,MATCH(B202,기본설정!$G$4:$G$14,0)),""))</f>
        <v/>
      </c>
    </row>
    <row r="203" customFormat="false" ht="15" hidden="false" customHeight="false" outlineLevel="0" collapsed="false">
      <c r="A203" s="70"/>
      <c r="B203" s="81" t="str">
        <f aca="false">IF(C203="","",IFERROR(INDEX(식자재단가!$B$4:$B$203,MATCH(C203,식자재단가!$C$4:$C$203,0)),""))</f>
        <v/>
      </c>
      <c r="C203" s="80"/>
      <c r="D203" s="59" t="str">
        <f aca="false">IF(C203="","",IFERROR(INDEX(식자재단가!$F$4:$F$203,MATCH(C203,식자재단가!$C$4:$C$203,0)),""))</f>
        <v/>
      </c>
      <c r="E203" s="84" t="n">
        <f aca="false">IF(C203="",0,IFERROR(INDEX(식자재단가!$G$4:$G$203,MATCH(C203,식자재단가!$C$4:$C$203,0)),0))</f>
        <v>0</v>
      </c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1" t="n">
        <f aca="false">N(INDEX(F203:R203,1,기본설정!$C$5+1))</f>
        <v>0</v>
      </c>
      <c r="T203" s="28" t="n">
        <f aca="false">S203*E203</f>
        <v>0</v>
      </c>
      <c r="U203" s="71" t="n">
        <f aca="false">N(INDEX(F203:R203,1,기본설정!$C$5))</f>
        <v>0</v>
      </c>
      <c r="V203" s="28" t="n">
        <f aca="false">U203*E203</f>
        <v>0</v>
      </c>
      <c r="W203" s="59" t="str">
        <f aca="false">IF(B203="","",IFERROR(INDEX(기본설정!$H$4:$H$14,MATCH(B203,기본설정!$G$4:$G$14,0)),""))</f>
        <v/>
      </c>
    </row>
    <row r="204" customFormat="false" ht="15" hidden="false" customHeight="false" outlineLevel="0" collapsed="false">
      <c r="A204" s="70"/>
      <c r="B204" s="81" t="str">
        <f aca="false">IF(C204="","",IFERROR(INDEX(식자재단가!$B$4:$B$203,MATCH(C204,식자재단가!$C$4:$C$203,0)),""))</f>
        <v/>
      </c>
      <c r="C204" s="80"/>
      <c r="D204" s="59" t="str">
        <f aca="false">IF(C204="","",IFERROR(INDEX(식자재단가!$F$4:$F$203,MATCH(C204,식자재단가!$C$4:$C$203,0)),""))</f>
        <v/>
      </c>
      <c r="E204" s="84" t="n">
        <f aca="false">IF(C204="",0,IFERROR(INDEX(식자재단가!$G$4:$G$203,MATCH(C204,식자재단가!$C$4:$C$203,0)),0))</f>
        <v>0</v>
      </c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1" t="n">
        <f aca="false">N(INDEX(F204:R204,1,기본설정!$C$5+1))</f>
        <v>0</v>
      </c>
      <c r="T204" s="28" t="n">
        <f aca="false">S204*E204</f>
        <v>0</v>
      </c>
      <c r="U204" s="71" t="n">
        <f aca="false">N(INDEX(F204:R204,1,기본설정!$C$5))</f>
        <v>0</v>
      </c>
      <c r="V204" s="28" t="n">
        <f aca="false">U204*E204</f>
        <v>0</v>
      </c>
      <c r="W204" s="59" t="str">
        <f aca="false">IF(B204="","",IFERROR(INDEX(기본설정!$H$4:$H$14,MATCH(B204,기본설정!$G$4:$G$14,0)),""))</f>
        <v/>
      </c>
    </row>
    <row r="205" customFormat="false" ht="15" hidden="false" customHeight="false" outlineLevel="0" collapsed="false">
      <c r="A205" s="70"/>
      <c r="B205" s="81" t="str">
        <f aca="false">IF(C205="","",IFERROR(INDEX(식자재단가!$B$4:$B$203,MATCH(C205,식자재단가!$C$4:$C$203,0)),""))</f>
        <v/>
      </c>
      <c r="C205" s="80"/>
      <c r="D205" s="59" t="str">
        <f aca="false">IF(C205="","",IFERROR(INDEX(식자재단가!$F$4:$F$203,MATCH(C205,식자재단가!$C$4:$C$203,0)),""))</f>
        <v/>
      </c>
      <c r="E205" s="84" t="n">
        <f aca="false">IF(C205="",0,IFERROR(INDEX(식자재단가!$G$4:$G$203,MATCH(C205,식자재단가!$C$4:$C$203,0)),0))</f>
        <v>0</v>
      </c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1" t="n">
        <f aca="false">N(INDEX(F205:R205,1,기본설정!$C$5+1))</f>
        <v>0</v>
      </c>
      <c r="T205" s="28" t="n">
        <f aca="false">S205*E205</f>
        <v>0</v>
      </c>
      <c r="U205" s="71" t="n">
        <f aca="false">N(INDEX(F205:R205,1,기본설정!$C$5))</f>
        <v>0</v>
      </c>
      <c r="V205" s="28" t="n">
        <f aca="false">U205*E205</f>
        <v>0</v>
      </c>
      <c r="W205" s="59" t="str">
        <f aca="false">IF(B205="","",IFERROR(INDEX(기본설정!$H$4:$H$14,MATCH(B205,기본설정!$G$4:$G$14,0)),""))</f>
        <v/>
      </c>
    </row>
    <row r="206" customFormat="false" ht="15" hidden="false" customHeight="false" outlineLevel="0" collapsed="false">
      <c r="A206" s="70"/>
      <c r="B206" s="81" t="str">
        <f aca="false">IF(C206="","",IFERROR(INDEX(식자재단가!$B$4:$B$203,MATCH(C206,식자재단가!$C$4:$C$203,0)),""))</f>
        <v/>
      </c>
      <c r="C206" s="80"/>
      <c r="D206" s="59" t="str">
        <f aca="false">IF(C206="","",IFERROR(INDEX(식자재단가!$F$4:$F$203,MATCH(C206,식자재단가!$C$4:$C$203,0)),""))</f>
        <v/>
      </c>
      <c r="E206" s="84" t="n">
        <f aca="false">IF(C206="",0,IFERROR(INDEX(식자재단가!$G$4:$G$203,MATCH(C206,식자재단가!$C$4:$C$203,0)),0))</f>
        <v>0</v>
      </c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1" t="n">
        <f aca="false">N(INDEX(F206:R206,1,기본설정!$C$5+1))</f>
        <v>0</v>
      </c>
      <c r="T206" s="28" t="n">
        <f aca="false">S206*E206</f>
        <v>0</v>
      </c>
      <c r="U206" s="71" t="n">
        <f aca="false">N(INDEX(F206:R206,1,기본설정!$C$5))</f>
        <v>0</v>
      </c>
      <c r="V206" s="28" t="n">
        <f aca="false">U206*E206</f>
        <v>0</v>
      </c>
      <c r="W206" s="59" t="str">
        <f aca="false">IF(B206="","",IFERROR(INDEX(기본설정!$H$4:$H$14,MATCH(B206,기본설정!$G$4:$G$14,0)),""))</f>
        <v/>
      </c>
    </row>
    <row r="207" customFormat="false" ht="15" hidden="false" customHeight="false" outlineLevel="0" collapsed="false">
      <c r="A207" s="70"/>
      <c r="B207" s="81" t="str">
        <f aca="false">IF(C207="","",IFERROR(INDEX(식자재단가!$B$4:$B$203,MATCH(C207,식자재단가!$C$4:$C$203,0)),""))</f>
        <v/>
      </c>
      <c r="C207" s="80"/>
      <c r="D207" s="59" t="str">
        <f aca="false">IF(C207="","",IFERROR(INDEX(식자재단가!$F$4:$F$203,MATCH(C207,식자재단가!$C$4:$C$203,0)),""))</f>
        <v/>
      </c>
      <c r="E207" s="84" t="n">
        <f aca="false">IF(C207="",0,IFERROR(INDEX(식자재단가!$G$4:$G$203,MATCH(C207,식자재단가!$C$4:$C$203,0)),0))</f>
        <v>0</v>
      </c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1" t="n">
        <f aca="false">N(INDEX(F207:R207,1,기본설정!$C$5+1))</f>
        <v>0</v>
      </c>
      <c r="T207" s="28" t="n">
        <f aca="false">S207*E207</f>
        <v>0</v>
      </c>
      <c r="U207" s="71" t="n">
        <f aca="false">N(INDEX(F207:R207,1,기본설정!$C$5))</f>
        <v>0</v>
      </c>
      <c r="V207" s="28" t="n">
        <f aca="false">U207*E207</f>
        <v>0</v>
      </c>
      <c r="W207" s="59" t="str">
        <f aca="false">IF(B207="","",IFERROR(INDEX(기본설정!$H$4:$H$14,MATCH(B207,기본설정!$G$4:$G$14,0)),""))</f>
        <v/>
      </c>
    </row>
    <row r="208" customFormat="false" ht="15" hidden="false" customHeight="false" outlineLevel="0" collapsed="false">
      <c r="A208" s="70"/>
      <c r="B208" s="81" t="str">
        <f aca="false">IF(C208="","",IFERROR(INDEX(식자재단가!$B$4:$B$203,MATCH(C208,식자재단가!$C$4:$C$203,0)),""))</f>
        <v/>
      </c>
      <c r="C208" s="80"/>
      <c r="D208" s="59" t="str">
        <f aca="false">IF(C208="","",IFERROR(INDEX(식자재단가!$F$4:$F$203,MATCH(C208,식자재단가!$C$4:$C$203,0)),""))</f>
        <v/>
      </c>
      <c r="E208" s="84" t="n">
        <f aca="false">IF(C208="",0,IFERROR(INDEX(식자재단가!$G$4:$G$203,MATCH(C208,식자재단가!$C$4:$C$203,0)),0))</f>
        <v>0</v>
      </c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1" t="n">
        <f aca="false">N(INDEX(F208:R208,1,기본설정!$C$5+1))</f>
        <v>0</v>
      </c>
      <c r="T208" s="28" t="n">
        <f aca="false">S208*E208</f>
        <v>0</v>
      </c>
      <c r="U208" s="71" t="n">
        <f aca="false">N(INDEX(F208:R208,1,기본설정!$C$5))</f>
        <v>0</v>
      </c>
      <c r="V208" s="28" t="n">
        <f aca="false">U208*E208</f>
        <v>0</v>
      </c>
      <c r="W208" s="59" t="str">
        <f aca="false">IF(B208="","",IFERROR(INDEX(기본설정!$H$4:$H$14,MATCH(B208,기본설정!$G$4:$G$14,0)),""))</f>
        <v/>
      </c>
    </row>
    <row r="209" customFormat="false" ht="15" hidden="false" customHeight="false" outlineLevel="0" collapsed="false">
      <c r="A209" s="70"/>
      <c r="B209" s="81" t="str">
        <f aca="false">IF(C209="","",IFERROR(INDEX(식자재단가!$B$4:$B$203,MATCH(C209,식자재단가!$C$4:$C$203,0)),""))</f>
        <v/>
      </c>
      <c r="C209" s="80"/>
      <c r="D209" s="59" t="str">
        <f aca="false">IF(C209="","",IFERROR(INDEX(식자재단가!$F$4:$F$203,MATCH(C209,식자재단가!$C$4:$C$203,0)),""))</f>
        <v/>
      </c>
      <c r="E209" s="84" t="n">
        <f aca="false">IF(C209="",0,IFERROR(INDEX(식자재단가!$G$4:$G$203,MATCH(C209,식자재단가!$C$4:$C$203,0)),0))</f>
        <v>0</v>
      </c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1" t="n">
        <f aca="false">N(INDEX(F209:R209,1,기본설정!$C$5+1))</f>
        <v>0</v>
      </c>
      <c r="T209" s="28" t="n">
        <f aca="false">S209*E209</f>
        <v>0</v>
      </c>
      <c r="U209" s="71" t="n">
        <f aca="false">N(INDEX(F209:R209,1,기본설정!$C$5))</f>
        <v>0</v>
      </c>
      <c r="V209" s="28" t="n">
        <f aca="false">U209*E209</f>
        <v>0</v>
      </c>
      <c r="W209" s="59" t="str">
        <f aca="false">IF(B209="","",IFERROR(INDEX(기본설정!$H$4:$H$14,MATCH(B209,기본설정!$G$4:$G$14,0)),""))</f>
        <v/>
      </c>
    </row>
    <row r="210" customFormat="false" ht="15" hidden="false" customHeight="false" outlineLevel="0" collapsed="false">
      <c r="A210" s="70"/>
      <c r="B210" s="81" t="str">
        <f aca="false">IF(C210="","",IFERROR(INDEX(식자재단가!$B$4:$B$203,MATCH(C210,식자재단가!$C$4:$C$203,0)),""))</f>
        <v/>
      </c>
      <c r="C210" s="80"/>
      <c r="D210" s="59" t="str">
        <f aca="false">IF(C210="","",IFERROR(INDEX(식자재단가!$F$4:$F$203,MATCH(C210,식자재단가!$C$4:$C$203,0)),""))</f>
        <v/>
      </c>
      <c r="E210" s="84" t="n">
        <f aca="false">IF(C210="",0,IFERROR(INDEX(식자재단가!$G$4:$G$203,MATCH(C210,식자재단가!$C$4:$C$203,0)),0))</f>
        <v>0</v>
      </c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1" t="n">
        <f aca="false">N(INDEX(F210:R210,1,기본설정!$C$5+1))</f>
        <v>0</v>
      </c>
      <c r="T210" s="28" t="n">
        <f aca="false">S210*E210</f>
        <v>0</v>
      </c>
      <c r="U210" s="71" t="n">
        <f aca="false">N(INDEX(F210:R210,1,기본설정!$C$5))</f>
        <v>0</v>
      </c>
      <c r="V210" s="28" t="n">
        <f aca="false">U210*E210</f>
        <v>0</v>
      </c>
      <c r="W210" s="59" t="str">
        <f aca="false">IF(B210="","",IFERROR(INDEX(기본설정!$H$4:$H$14,MATCH(B210,기본설정!$G$4:$G$14,0)),""))</f>
        <v/>
      </c>
    </row>
    <row r="211" customFormat="false" ht="15" hidden="false" customHeight="false" outlineLevel="0" collapsed="false">
      <c r="A211" s="70"/>
      <c r="B211" s="81" t="str">
        <f aca="false">IF(C211="","",IFERROR(INDEX(식자재단가!$B$4:$B$203,MATCH(C211,식자재단가!$C$4:$C$203,0)),""))</f>
        <v/>
      </c>
      <c r="C211" s="80"/>
      <c r="D211" s="59" t="str">
        <f aca="false">IF(C211="","",IFERROR(INDEX(식자재단가!$F$4:$F$203,MATCH(C211,식자재단가!$C$4:$C$203,0)),""))</f>
        <v/>
      </c>
      <c r="E211" s="84" t="n">
        <f aca="false">IF(C211="",0,IFERROR(INDEX(식자재단가!$G$4:$G$203,MATCH(C211,식자재단가!$C$4:$C$203,0)),0))</f>
        <v>0</v>
      </c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1" t="n">
        <f aca="false">N(INDEX(F211:R211,1,기본설정!$C$5+1))</f>
        <v>0</v>
      </c>
      <c r="T211" s="28" t="n">
        <f aca="false">S211*E211</f>
        <v>0</v>
      </c>
      <c r="U211" s="71" t="n">
        <f aca="false">N(INDEX(F211:R211,1,기본설정!$C$5))</f>
        <v>0</v>
      </c>
      <c r="V211" s="28" t="n">
        <f aca="false">U211*E211</f>
        <v>0</v>
      </c>
      <c r="W211" s="59" t="str">
        <f aca="false">IF(B211="","",IFERROR(INDEX(기본설정!$H$4:$H$14,MATCH(B211,기본설정!$G$4:$G$14,0)),""))</f>
        <v/>
      </c>
    </row>
    <row r="212" customFormat="false" ht="15" hidden="false" customHeight="false" outlineLevel="0" collapsed="false">
      <c r="A212" s="70"/>
      <c r="B212" s="81" t="str">
        <f aca="false">IF(C212="","",IFERROR(INDEX(식자재단가!$B$4:$B$203,MATCH(C212,식자재단가!$C$4:$C$203,0)),""))</f>
        <v/>
      </c>
      <c r="C212" s="80"/>
      <c r="D212" s="59" t="str">
        <f aca="false">IF(C212="","",IFERROR(INDEX(식자재단가!$F$4:$F$203,MATCH(C212,식자재단가!$C$4:$C$203,0)),""))</f>
        <v/>
      </c>
      <c r="E212" s="84" t="n">
        <f aca="false">IF(C212="",0,IFERROR(INDEX(식자재단가!$G$4:$G$203,MATCH(C212,식자재단가!$C$4:$C$203,0)),0))</f>
        <v>0</v>
      </c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1" t="n">
        <f aca="false">N(INDEX(F212:R212,1,기본설정!$C$5+1))</f>
        <v>0</v>
      </c>
      <c r="T212" s="28" t="n">
        <f aca="false">S212*E212</f>
        <v>0</v>
      </c>
      <c r="U212" s="71" t="n">
        <f aca="false">N(INDEX(F212:R212,1,기본설정!$C$5))</f>
        <v>0</v>
      </c>
      <c r="V212" s="28" t="n">
        <f aca="false">U212*E212</f>
        <v>0</v>
      </c>
      <c r="W212" s="59" t="str">
        <f aca="false">IF(B212="","",IFERROR(INDEX(기본설정!$H$4:$H$14,MATCH(B212,기본설정!$G$4:$G$14,0)),""))</f>
        <v/>
      </c>
    </row>
    <row r="213" customFormat="false" ht="15" hidden="false" customHeight="false" outlineLevel="0" collapsed="false">
      <c r="A213" s="70"/>
      <c r="B213" s="81" t="str">
        <f aca="false">IF(C213="","",IFERROR(INDEX(식자재단가!$B$4:$B$203,MATCH(C213,식자재단가!$C$4:$C$203,0)),""))</f>
        <v/>
      </c>
      <c r="C213" s="80"/>
      <c r="D213" s="59" t="str">
        <f aca="false">IF(C213="","",IFERROR(INDEX(식자재단가!$F$4:$F$203,MATCH(C213,식자재단가!$C$4:$C$203,0)),""))</f>
        <v/>
      </c>
      <c r="E213" s="84" t="n">
        <f aca="false">IF(C213="",0,IFERROR(INDEX(식자재단가!$G$4:$G$203,MATCH(C213,식자재단가!$C$4:$C$203,0)),0))</f>
        <v>0</v>
      </c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1" t="n">
        <f aca="false">N(INDEX(F213:R213,1,기본설정!$C$5+1))</f>
        <v>0</v>
      </c>
      <c r="T213" s="28" t="n">
        <f aca="false">S213*E213</f>
        <v>0</v>
      </c>
      <c r="U213" s="71" t="n">
        <f aca="false">N(INDEX(F213:R213,1,기본설정!$C$5))</f>
        <v>0</v>
      </c>
      <c r="V213" s="28" t="n">
        <f aca="false">U213*E213</f>
        <v>0</v>
      </c>
      <c r="W213" s="59" t="str">
        <f aca="false">IF(B213="","",IFERROR(INDEX(기본설정!$H$4:$H$14,MATCH(B213,기본설정!$G$4:$G$14,0)),""))</f>
        <v/>
      </c>
    </row>
    <row r="214" customFormat="false" ht="15" hidden="false" customHeight="false" outlineLevel="0" collapsed="false">
      <c r="A214" s="70"/>
      <c r="B214" s="81" t="str">
        <f aca="false">IF(C214="","",IFERROR(INDEX(식자재단가!$B$4:$B$203,MATCH(C214,식자재단가!$C$4:$C$203,0)),""))</f>
        <v/>
      </c>
      <c r="C214" s="80"/>
      <c r="D214" s="59" t="str">
        <f aca="false">IF(C214="","",IFERROR(INDEX(식자재단가!$F$4:$F$203,MATCH(C214,식자재단가!$C$4:$C$203,0)),""))</f>
        <v/>
      </c>
      <c r="E214" s="84" t="n">
        <f aca="false">IF(C214="",0,IFERROR(INDEX(식자재단가!$G$4:$G$203,MATCH(C214,식자재단가!$C$4:$C$203,0)),0))</f>
        <v>0</v>
      </c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1" t="n">
        <f aca="false">N(INDEX(F214:R214,1,기본설정!$C$5+1))</f>
        <v>0</v>
      </c>
      <c r="T214" s="28" t="n">
        <f aca="false">S214*E214</f>
        <v>0</v>
      </c>
      <c r="U214" s="71" t="n">
        <f aca="false">N(INDEX(F214:R214,1,기본설정!$C$5))</f>
        <v>0</v>
      </c>
      <c r="V214" s="28" t="n">
        <f aca="false">U214*E214</f>
        <v>0</v>
      </c>
      <c r="W214" s="59" t="str">
        <f aca="false">IF(B214="","",IFERROR(INDEX(기본설정!$H$4:$H$14,MATCH(B214,기본설정!$G$4:$G$14,0)),""))</f>
        <v/>
      </c>
    </row>
    <row r="215" customFormat="false" ht="15" hidden="false" customHeight="false" outlineLevel="0" collapsed="false">
      <c r="A215" s="70"/>
      <c r="B215" s="81" t="str">
        <f aca="false">IF(C215="","",IFERROR(INDEX(식자재단가!$B$4:$B$203,MATCH(C215,식자재단가!$C$4:$C$203,0)),""))</f>
        <v/>
      </c>
      <c r="C215" s="80"/>
      <c r="D215" s="59" t="str">
        <f aca="false">IF(C215="","",IFERROR(INDEX(식자재단가!$F$4:$F$203,MATCH(C215,식자재단가!$C$4:$C$203,0)),""))</f>
        <v/>
      </c>
      <c r="E215" s="84" t="n">
        <f aca="false">IF(C215="",0,IFERROR(INDEX(식자재단가!$G$4:$G$203,MATCH(C215,식자재단가!$C$4:$C$203,0)),0))</f>
        <v>0</v>
      </c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1" t="n">
        <f aca="false">N(INDEX(F215:R215,1,기본설정!$C$5+1))</f>
        <v>0</v>
      </c>
      <c r="T215" s="28" t="n">
        <f aca="false">S215*E215</f>
        <v>0</v>
      </c>
      <c r="U215" s="71" t="n">
        <f aca="false">N(INDEX(F215:R215,1,기본설정!$C$5))</f>
        <v>0</v>
      </c>
      <c r="V215" s="28" t="n">
        <f aca="false">U215*E215</f>
        <v>0</v>
      </c>
      <c r="W215" s="59" t="str">
        <f aca="false">IF(B215="","",IFERROR(INDEX(기본설정!$H$4:$H$14,MATCH(B215,기본설정!$G$4:$G$14,0)),""))</f>
        <v/>
      </c>
    </row>
    <row r="216" customFormat="false" ht="15" hidden="false" customHeight="false" outlineLevel="0" collapsed="false">
      <c r="A216" s="70"/>
      <c r="B216" s="81" t="str">
        <f aca="false">IF(C216="","",IFERROR(INDEX(식자재단가!$B$4:$B$203,MATCH(C216,식자재단가!$C$4:$C$203,0)),""))</f>
        <v/>
      </c>
      <c r="C216" s="80"/>
      <c r="D216" s="59" t="str">
        <f aca="false">IF(C216="","",IFERROR(INDEX(식자재단가!$F$4:$F$203,MATCH(C216,식자재단가!$C$4:$C$203,0)),""))</f>
        <v/>
      </c>
      <c r="E216" s="84" t="n">
        <f aca="false">IF(C216="",0,IFERROR(INDEX(식자재단가!$G$4:$G$203,MATCH(C216,식자재단가!$C$4:$C$203,0)),0))</f>
        <v>0</v>
      </c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1" t="n">
        <f aca="false">N(INDEX(F216:R216,1,기본설정!$C$5+1))</f>
        <v>0</v>
      </c>
      <c r="T216" s="28" t="n">
        <f aca="false">S216*E216</f>
        <v>0</v>
      </c>
      <c r="U216" s="71" t="n">
        <f aca="false">N(INDEX(F216:R216,1,기본설정!$C$5))</f>
        <v>0</v>
      </c>
      <c r="V216" s="28" t="n">
        <f aca="false">U216*E216</f>
        <v>0</v>
      </c>
      <c r="W216" s="59" t="str">
        <f aca="false">IF(B216="","",IFERROR(INDEX(기본설정!$H$4:$H$14,MATCH(B216,기본설정!$G$4:$G$14,0)),""))</f>
        <v/>
      </c>
    </row>
    <row r="217" customFormat="false" ht="15" hidden="false" customHeight="false" outlineLevel="0" collapsed="false">
      <c r="A217" s="70"/>
      <c r="B217" s="81" t="str">
        <f aca="false">IF(C217="","",IFERROR(INDEX(식자재단가!$B$4:$B$203,MATCH(C217,식자재단가!$C$4:$C$203,0)),""))</f>
        <v/>
      </c>
      <c r="C217" s="80"/>
      <c r="D217" s="59" t="str">
        <f aca="false">IF(C217="","",IFERROR(INDEX(식자재단가!$F$4:$F$203,MATCH(C217,식자재단가!$C$4:$C$203,0)),""))</f>
        <v/>
      </c>
      <c r="E217" s="84" t="n">
        <f aca="false">IF(C217="",0,IFERROR(INDEX(식자재단가!$G$4:$G$203,MATCH(C217,식자재단가!$C$4:$C$203,0)),0))</f>
        <v>0</v>
      </c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1" t="n">
        <f aca="false">N(INDEX(F217:R217,1,기본설정!$C$5+1))</f>
        <v>0</v>
      </c>
      <c r="T217" s="28" t="n">
        <f aca="false">S217*E217</f>
        <v>0</v>
      </c>
      <c r="U217" s="71" t="n">
        <f aca="false">N(INDEX(F217:R217,1,기본설정!$C$5))</f>
        <v>0</v>
      </c>
      <c r="V217" s="28" t="n">
        <f aca="false">U217*E217</f>
        <v>0</v>
      </c>
      <c r="W217" s="59" t="str">
        <f aca="false">IF(B217="","",IFERROR(INDEX(기본설정!$H$4:$H$14,MATCH(B217,기본설정!$G$4:$G$14,0)),""))</f>
        <v/>
      </c>
    </row>
    <row r="218" customFormat="false" ht="15" hidden="false" customHeight="false" outlineLevel="0" collapsed="false">
      <c r="A218" s="70"/>
      <c r="B218" s="81" t="str">
        <f aca="false">IF(C218="","",IFERROR(INDEX(식자재단가!$B$4:$B$203,MATCH(C218,식자재단가!$C$4:$C$203,0)),""))</f>
        <v/>
      </c>
      <c r="C218" s="80"/>
      <c r="D218" s="59" t="str">
        <f aca="false">IF(C218="","",IFERROR(INDEX(식자재단가!$F$4:$F$203,MATCH(C218,식자재단가!$C$4:$C$203,0)),""))</f>
        <v/>
      </c>
      <c r="E218" s="84" t="n">
        <f aca="false">IF(C218="",0,IFERROR(INDEX(식자재단가!$G$4:$G$203,MATCH(C218,식자재단가!$C$4:$C$203,0)),0))</f>
        <v>0</v>
      </c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1" t="n">
        <f aca="false">N(INDEX(F218:R218,1,기본설정!$C$5+1))</f>
        <v>0</v>
      </c>
      <c r="T218" s="28" t="n">
        <f aca="false">S218*E218</f>
        <v>0</v>
      </c>
      <c r="U218" s="71" t="n">
        <f aca="false">N(INDEX(F218:R218,1,기본설정!$C$5))</f>
        <v>0</v>
      </c>
      <c r="V218" s="28" t="n">
        <f aca="false">U218*E218</f>
        <v>0</v>
      </c>
      <c r="W218" s="59" t="str">
        <f aca="false">IF(B218="","",IFERROR(INDEX(기본설정!$H$4:$H$14,MATCH(B218,기본설정!$G$4:$G$14,0)),""))</f>
        <v/>
      </c>
    </row>
    <row r="219" customFormat="false" ht="15" hidden="false" customHeight="false" outlineLevel="0" collapsed="false">
      <c r="A219" s="70"/>
      <c r="B219" s="81" t="str">
        <f aca="false">IF(C219="","",IFERROR(INDEX(식자재단가!$B$4:$B$203,MATCH(C219,식자재단가!$C$4:$C$203,0)),""))</f>
        <v/>
      </c>
      <c r="C219" s="80"/>
      <c r="D219" s="59" t="str">
        <f aca="false">IF(C219="","",IFERROR(INDEX(식자재단가!$F$4:$F$203,MATCH(C219,식자재단가!$C$4:$C$203,0)),""))</f>
        <v/>
      </c>
      <c r="E219" s="84" t="n">
        <f aca="false">IF(C219="",0,IFERROR(INDEX(식자재단가!$G$4:$G$203,MATCH(C219,식자재단가!$C$4:$C$203,0)),0))</f>
        <v>0</v>
      </c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1" t="n">
        <f aca="false">N(INDEX(F219:R219,1,기본설정!$C$5+1))</f>
        <v>0</v>
      </c>
      <c r="T219" s="28" t="n">
        <f aca="false">S219*E219</f>
        <v>0</v>
      </c>
      <c r="U219" s="71" t="n">
        <f aca="false">N(INDEX(F219:R219,1,기본설정!$C$5))</f>
        <v>0</v>
      </c>
      <c r="V219" s="28" t="n">
        <f aca="false">U219*E219</f>
        <v>0</v>
      </c>
      <c r="W219" s="59" t="str">
        <f aca="false">IF(B219="","",IFERROR(INDEX(기본설정!$H$4:$H$14,MATCH(B219,기본설정!$G$4:$G$14,0)),""))</f>
        <v/>
      </c>
    </row>
    <row r="220" customFormat="false" ht="15" hidden="false" customHeight="false" outlineLevel="0" collapsed="false">
      <c r="A220" s="70"/>
      <c r="B220" s="81" t="str">
        <f aca="false">IF(C220="","",IFERROR(INDEX(식자재단가!$B$4:$B$203,MATCH(C220,식자재단가!$C$4:$C$203,0)),""))</f>
        <v/>
      </c>
      <c r="C220" s="80"/>
      <c r="D220" s="59" t="str">
        <f aca="false">IF(C220="","",IFERROR(INDEX(식자재단가!$F$4:$F$203,MATCH(C220,식자재단가!$C$4:$C$203,0)),""))</f>
        <v/>
      </c>
      <c r="E220" s="84" t="n">
        <f aca="false">IF(C220="",0,IFERROR(INDEX(식자재단가!$G$4:$G$203,MATCH(C220,식자재단가!$C$4:$C$203,0)),0))</f>
        <v>0</v>
      </c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1" t="n">
        <f aca="false">N(INDEX(F220:R220,1,기본설정!$C$5+1))</f>
        <v>0</v>
      </c>
      <c r="T220" s="28" t="n">
        <f aca="false">S220*E220</f>
        <v>0</v>
      </c>
      <c r="U220" s="71" t="n">
        <f aca="false">N(INDEX(F220:R220,1,기본설정!$C$5))</f>
        <v>0</v>
      </c>
      <c r="V220" s="28" t="n">
        <f aca="false">U220*E220</f>
        <v>0</v>
      </c>
      <c r="W220" s="59" t="str">
        <f aca="false">IF(B220="","",IFERROR(INDEX(기본설정!$H$4:$H$14,MATCH(B220,기본설정!$G$4:$G$14,0)),""))</f>
        <v/>
      </c>
    </row>
    <row r="221" customFormat="false" ht="15" hidden="false" customHeight="false" outlineLevel="0" collapsed="false">
      <c r="A221" s="70"/>
      <c r="B221" s="81" t="str">
        <f aca="false">IF(C221="","",IFERROR(INDEX(식자재단가!$B$4:$B$203,MATCH(C221,식자재단가!$C$4:$C$203,0)),""))</f>
        <v/>
      </c>
      <c r="C221" s="80"/>
      <c r="D221" s="59" t="str">
        <f aca="false">IF(C221="","",IFERROR(INDEX(식자재단가!$F$4:$F$203,MATCH(C221,식자재단가!$C$4:$C$203,0)),""))</f>
        <v/>
      </c>
      <c r="E221" s="84" t="n">
        <f aca="false">IF(C221="",0,IFERROR(INDEX(식자재단가!$G$4:$G$203,MATCH(C221,식자재단가!$C$4:$C$203,0)),0))</f>
        <v>0</v>
      </c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1" t="n">
        <f aca="false">N(INDEX(F221:R221,1,기본설정!$C$5+1))</f>
        <v>0</v>
      </c>
      <c r="T221" s="28" t="n">
        <f aca="false">S221*E221</f>
        <v>0</v>
      </c>
      <c r="U221" s="71" t="n">
        <f aca="false">N(INDEX(F221:R221,1,기본설정!$C$5))</f>
        <v>0</v>
      </c>
      <c r="V221" s="28" t="n">
        <f aca="false">U221*E221</f>
        <v>0</v>
      </c>
      <c r="W221" s="59" t="str">
        <f aca="false">IF(B221="","",IFERROR(INDEX(기본설정!$H$4:$H$14,MATCH(B221,기본설정!$G$4:$G$14,0)),""))</f>
        <v/>
      </c>
    </row>
    <row r="222" customFormat="false" ht="15" hidden="false" customHeight="false" outlineLevel="0" collapsed="false">
      <c r="A222" s="70"/>
      <c r="B222" s="81" t="str">
        <f aca="false">IF(C222="","",IFERROR(INDEX(식자재단가!$B$4:$B$203,MATCH(C222,식자재단가!$C$4:$C$203,0)),""))</f>
        <v/>
      </c>
      <c r="C222" s="80"/>
      <c r="D222" s="59" t="str">
        <f aca="false">IF(C222="","",IFERROR(INDEX(식자재단가!$F$4:$F$203,MATCH(C222,식자재단가!$C$4:$C$203,0)),""))</f>
        <v/>
      </c>
      <c r="E222" s="84" t="n">
        <f aca="false">IF(C222="",0,IFERROR(INDEX(식자재단가!$G$4:$G$203,MATCH(C222,식자재단가!$C$4:$C$203,0)),0))</f>
        <v>0</v>
      </c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1" t="n">
        <f aca="false">N(INDEX(F222:R222,1,기본설정!$C$5+1))</f>
        <v>0</v>
      </c>
      <c r="T222" s="28" t="n">
        <f aca="false">S222*E222</f>
        <v>0</v>
      </c>
      <c r="U222" s="71" t="n">
        <f aca="false">N(INDEX(F222:R222,1,기본설정!$C$5))</f>
        <v>0</v>
      </c>
      <c r="V222" s="28" t="n">
        <f aca="false">U222*E222</f>
        <v>0</v>
      </c>
      <c r="W222" s="59" t="str">
        <f aca="false">IF(B222="","",IFERROR(INDEX(기본설정!$H$4:$H$14,MATCH(B222,기본설정!$G$4:$G$14,0)),""))</f>
        <v/>
      </c>
    </row>
    <row r="223" customFormat="false" ht="15" hidden="false" customHeight="false" outlineLevel="0" collapsed="false">
      <c r="A223" s="70"/>
      <c r="B223" s="81" t="str">
        <f aca="false">IF(C223="","",IFERROR(INDEX(식자재단가!$B$4:$B$203,MATCH(C223,식자재단가!$C$4:$C$203,0)),""))</f>
        <v/>
      </c>
      <c r="C223" s="80"/>
      <c r="D223" s="59" t="str">
        <f aca="false">IF(C223="","",IFERROR(INDEX(식자재단가!$F$4:$F$203,MATCH(C223,식자재단가!$C$4:$C$203,0)),""))</f>
        <v/>
      </c>
      <c r="E223" s="84" t="n">
        <f aca="false">IF(C223="",0,IFERROR(INDEX(식자재단가!$G$4:$G$203,MATCH(C223,식자재단가!$C$4:$C$203,0)),0))</f>
        <v>0</v>
      </c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1" t="n">
        <f aca="false">N(INDEX(F223:R223,1,기본설정!$C$5+1))</f>
        <v>0</v>
      </c>
      <c r="T223" s="28" t="n">
        <f aca="false">S223*E223</f>
        <v>0</v>
      </c>
      <c r="U223" s="71" t="n">
        <f aca="false">N(INDEX(F223:R223,1,기본설정!$C$5))</f>
        <v>0</v>
      </c>
      <c r="V223" s="28" t="n">
        <f aca="false">U223*E223</f>
        <v>0</v>
      </c>
      <c r="W223" s="59" t="str">
        <f aca="false">IF(B223="","",IFERROR(INDEX(기본설정!$H$4:$H$14,MATCH(B223,기본설정!$G$4:$G$14,0)),""))</f>
        <v/>
      </c>
    </row>
    <row r="224" customFormat="false" ht="15" hidden="false" customHeight="false" outlineLevel="0" collapsed="false">
      <c r="A224" s="70"/>
      <c r="B224" s="81" t="str">
        <f aca="false">IF(C224="","",IFERROR(INDEX(식자재단가!$B$4:$B$203,MATCH(C224,식자재단가!$C$4:$C$203,0)),""))</f>
        <v/>
      </c>
      <c r="C224" s="80"/>
      <c r="D224" s="59" t="str">
        <f aca="false">IF(C224="","",IFERROR(INDEX(식자재단가!$F$4:$F$203,MATCH(C224,식자재단가!$C$4:$C$203,0)),""))</f>
        <v/>
      </c>
      <c r="E224" s="84" t="n">
        <f aca="false">IF(C224="",0,IFERROR(INDEX(식자재단가!$G$4:$G$203,MATCH(C224,식자재단가!$C$4:$C$203,0)),0))</f>
        <v>0</v>
      </c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1" t="n">
        <f aca="false">N(INDEX(F224:R224,1,기본설정!$C$5+1))</f>
        <v>0</v>
      </c>
      <c r="T224" s="28" t="n">
        <f aca="false">S224*E224</f>
        <v>0</v>
      </c>
      <c r="U224" s="71" t="n">
        <f aca="false">N(INDEX(F224:R224,1,기본설정!$C$5))</f>
        <v>0</v>
      </c>
      <c r="V224" s="28" t="n">
        <f aca="false">U224*E224</f>
        <v>0</v>
      </c>
      <c r="W224" s="59" t="str">
        <f aca="false">IF(B224="","",IFERROR(INDEX(기본설정!$H$4:$H$14,MATCH(B224,기본설정!$G$4:$G$14,0)),""))</f>
        <v/>
      </c>
    </row>
    <row r="225" customFormat="false" ht="15" hidden="false" customHeight="false" outlineLevel="0" collapsed="false">
      <c r="A225" s="70"/>
      <c r="B225" s="81" t="str">
        <f aca="false">IF(C225="","",IFERROR(INDEX(식자재단가!$B$4:$B$203,MATCH(C225,식자재단가!$C$4:$C$203,0)),""))</f>
        <v/>
      </c>
      <c r="C225" s="80"/>
      <c r="D225" s="59" t="str">
        <f aca="false">IF(C225="","",IFERROR(INDEX(식자재단가!$F$4:$F$203,MATCH(C225,식자재단가!$C$4:$C$203,0)),""))</f>
        <v/>
      </c>
      <c r="E225" s="84" t="n">
        <f aca="false">IF(C225="",0,IFERROR(INDEX(식자재단가!$G$4:$G$203,MATCH(C225,식자재단가!$C$4:$C$203,0)),0))</f>
        <v>0</v>
      </c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1" t="n">
        <f aca="false">N(INDEX(F225:R225,1,기본설정!$C$5+1))</f>
        <v>0</v>
      </c>
      <c r="T225" s="28" t="n">
        <f aca="false">S225*E225</f>
        <v>0</v>
      </c>
      <c r="U225" s="71" t="n">
        <f aca="false">N(INDEX(F225:R225,1,기본설정!$C$5))</f>
        <v>0</v>
      </c>
      <c r="V225" s="28" t="n">
        <f aca="false">U225*E225</f>
        <v>0</v>
      </c>
      <c r="W225" s="59" t="str">
        <f aca="false">IF(B225="","",IFERROR(INDEX(기본설정!$H$4:$H$14,MATCH(B225,기본설정!$G$4:$G$14,0)),""))</f>
        <v/>
      </c>
    </row>
    <row r="226" customFormat="false" ht="15" hidden="false" customHeight="false" outlineLevel="0" collapsed="false">
      <c r="A226" s="70"/>
      <c r="B226" s="81" t="str">
        <f aca="false">IF(C226="","",IFERROR(INDEX(식자재단가!$B$4:$B$203,MATCH(C226,식자재단가!$C$4:$C$203,0)),""))</f>
        <v/>
      </c>
      <c r="C226" s="80"/>
      <c r="D226" s="59" t="str">
        <f aca="false">IF(C226="","",IFERROR(INDEX(식자재단가!$F$4:$F$203,MATCH(C226,식자재단가!$C$4:$C$203,0)),""))</f>
        <v/>
      </c>
      <c r="E226" s="84" t="n">
        <f aca="false">IF(C226="",0,IFERROR(INDEX(식자재단가!$G$4:$G$203,MATCH(C226,식자재단가!$C$4:$C$203,0)),0))</f>
        <v>0</v>
      </c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1" t="n">
        <f aca="false">N(INDEX(F226:R226,1,기본설정!$C$5+1))</f>
        <v>0</v>
      </c>
      <c r="T226" s="28" t="n">
        <f aca="false">S226*E226</f>
        <v>0</v>
      </c>
      <c r="U226" s="71" t="n">
        <f aca="false">N(INDEX(F226:R226,1,기본설정!$C$5))</f>
        <v>0</v>
      </c>
      <c r="V226" s="28" t="n">
        <f aca="false">U226*E226</f>
        <v>0</v>
      </c>
      <c r="W226" s="59" t="str">
        <f aca="false">IF(B226="","",IFERROR(INDEX(기본설정!$H$4:$H$14,MATCH(B226,기본설정!$G$4:$G$14,0)),""))</f>
        <v/>
      </c>
    </row>
    <row r="227" customFormat="false" ht="15" hidden="false" customHeight="false" outlineLevel="0" collapsed="false">
      <c r="A227" s="70"/>
      <c r="B227" s="81" t="str">
        <f aca="false">IF(C227="","",IFERROR(INDEX(식자재단가!$B$4:$B$203,MATCH(C227,식자재단가!$C$4:$C$203,0)),""))</f>
        <v/>
      </c>
      <c r="C227" s="80"/>
      <c r="D227" s="59" t="str">
        <f aca="false">IF(C227="","",IFERROR(INDEX(식자재단가!$F$4:$F$203,MATCH(C227,식자재단가!$C$4:$C$203,0)),""))</f>
        <v/>
      </c>
      <c r="E227" s="84" t="n">
        <f aca="false">IF(C227="",0,IFERROR(INDEX(식자재단가!$G$4:$G$203,MATCH(C227,식자재단가!$C$4:$C$203,0)),0))</f>
        <v>0</v>
      </c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1" t="n">
        <f aca="false">N(INDEX(F227:R227,1,기본설정!$C$5+1))</f>
        <v>0</v>
      </c>
      <c r="T227" s="28" t="n">
        <f aca="false">S227*E227</f>
        <v>0</v>
      </c>
      <c r="U227" s="71" t="n">
        <f aca="false">N(INDEX(F227:R227,1,기본설정!$C$5))</f>
        <v>0</v>
      </c>
      <c r="V227" s="28" t="n">
        <f aca="false">U227*E227</f>
        <v>0</v>
      </c>
      <c r="W227" s="59" t="str">
        <f aca="false">IF(B227="","",IFERROR(INDEX(기본설정!$H$4:$H$14,MATCH(B227,기본설정!$G$4:$G$14,0)),""))</f>
        <v/>
      </c>
    </row>
    <row r="228" customFormat="false" ht="15" hidden="false" customHeight="false" outlineLevel="0" collapsed="false">
      <c r="A228" s="70"/>
      <c r="B228" s="81" t="str">
        <f aca="false">IF(C228="","",IFERROR(INDEX(식자재단가!$B$4:$B$203,MATCH(C228,식자재단가!$C$4:$C$203,0)),""))</f>
        <v/>
      </c>
      <c r="C228" s="80"/>
      <c r="D228" s="59" t="str">
        <f aca="false">IF(C228="","",IFERROR(INDEX(식자재단가!$F$4:$F$203,MATCH(C228,식자재단가!$C$4:$C$203,0)),""))</f>
        <v/>
      </c>
      <c r="E228" s="84" t="n">
        <f aca="false">IF(C228="",0,IFERROR(INDEX(식자재단가!$G$4:$G$203,MATCH(C228,식자재단가!$C$4:$C$203,0)),0))</f>
        <v>0</v>
      </c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1" t="n">
        <f aca="false">N(INDEX(F228:R228,1,기본설정!$C$5+1))</f>
        <v>0</v>
      </c>
      <c r="T228" s="28" t="n">
        <f aca="false">S228*E228</f>
        <v>0</v>
      </c>
      <c r="U228" s="71" t="n">
        <f aca="false">N(INDEX(F228:R228,1,기본설정!$C$5))</f>
        <v>0</v>
      </c>
      <c r="V228" s="28" t="n">
        <f aca="false">U228*E228</f>
        <v>0</v>
      </c>
      <c r="W228" s="59" t="str">
        <f aca="false">IF(B228="","",IFERROR(INDEX(기본설정!$H$4:$H$14,MATCH(B228,기본설정!$G$4:$G$14,0)),""))</f>
        <v/>
      </c>
    </row>
    <row r="229" customFormat="false" ht="15" hidden="false" customHeight="false" outlineLevel="0" collapsed="false">
      <c r="A229" s="70"/>
      <c r="B229" s="81" t="str">
        <f aca="false">IF(C229="","",IFERROR(INDEX(식자재단가!$B$4:$B$203,MATCH(C229,식자재단가!$C$4:$C$203,0)),""))</f>
        <v/>
      </c>
      <c r="C229" s="80"/>
      <c r="D229" s="59" t="str">
        <f aca="false">IF(C229="","",IFERROR(INDEX(식자재단가!$F$4:$F$203,MATCH(C229,식자재단가!$C$4:$C$203,0)),""))</f>
        <v/>
      </c>
      <c r="E229" s="84" t="n">
        <f aca="false">IF(C229="",0,IFERROR(INDEX(식자재단가!$G$4:$G$203,MATCH(C229,식자재단가!$C$4:$C$203,0)),0))</f>
        <v>0</v>
      </c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1" t="n">
        <f aca="false">N(INDEX(F229:R229,1,기본설정!$C$5+1))</f>
        <v>0</v>
      </c>
      <c r="T229" s="28" t="n">
        <f aca="false">S229*E229</f>
        <v>0</v>
      </c>
      <c r="U229" s="71" t="n">
        <f aca="false">N(INDEX(F229:R229,1,기본설정!$C$5))</f>
        <v>0</v>
      </c>
      <c r="V229" s="28" t="n">
        <f aca="false">U229*E229</f>
        <v>0</v>
      </c>
      <c r="W229" s="59" t="str">
        <f aca="false">IF(B229="","",IFERROR(INDEX(기본설정!$H$4:$H$14,MATCH(B229,기본설정!$G$4:$G$14,0)),""))</f>
        <v/>
      </c>
    </row>
    <row r="230" customFormat="false" ht="15" hidden="false" customHeight="false" outlineLevel="0" collapsed="false">
      <c r="A230" s="70"/>
      <c r="B230" s="81" t="str">
        <f aca="false">IF(C230="","",IFERROR(INDEX(식자재단가!$B$4:$B$203,MATCH(C230,식자재단가!$C$4:$C$203,0)),""))</f>
        <v/>
      </c>
      <c r="C230" s="80"/>
      <c r="D230" s="59" t="str">
        <f aca="false">IF(C230="","",IFERROR(INDEX(식자재단가!$F$4:$F$203,MATCH(C230,식자재단가!$C$4:$C$203,0)),""))</f>
        <v/>
      </c>
      <c r="E230" s="84" t="n">
        <f aca="false">IF(C230="",0,IFERROR(INDEX(식자재단가!$G$4:$G$203,MATCH(C230,식자재단가!$C$4:$C$203,0)),0))</f>
        <v>0</v>
      </c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1" t="n">
        <f aca="false">N(INDEX(F230:R230,1,기본설정!$C$5+1))</f>
        <v>0</v>
      </c>
      <c r="T230" s="28" t="n">
        <f aca="false">S230*E230</f>
        <v>0</v>
      </c>
      <c r="U230" s="71" t="n">
        <f aca="false">N(INDEX(F230:R230,1,기본설정!$C$5))</f>
        <v>0</v>
      </c>
      <c r="V230" s="28" t="n">
        <f aca="false">U230*E230</f>
        <v>0</v>
      </c>
      <c r="W230" s="59" t="str">
        <f aca="false">IF(B230="","",IFERROR(INDEX(기본설정!$H$4:$H$14,MATCH(B230,기본설정!$G$4:$G$14,0)),""))</f>
        <v/>
      </c>
    </row>
    <row r="231" customFormat="false" ht="15" hidden="false" customHeight="false" outlineLevel="0" collapsed="false">
      <c r="A231" s="70"/>
      <c r="B231" s="81" t="str">
        <f aca="false">IF(C231="","",IFERROR(INDEX(식자재단가!$B$4:$B$203,MATCH(C231,식자재단가!$C$4:$C$203,0)),""))</f>
        <v/>
      </c>
      <c r="C231" s="80"/>
      <c r="D231" s="59" t="str">
        <f aca="false">IF(C231="","",IFERROR(INDEX(식자재단가!$F$4:$F$203,MATCH(C231,식자재단가!$C$4:$C$203,0)),""))</f>
        <v/>
      </c>
      <c r="E231" s="84" t="n">
        <f aca="false">IF(C231="",0,IFERROR(INDEX(식자재단가!$G$4:$G$203,MATCH(C231,식자재단가!$C$4:$C$203,0)),0))</f>
        <v>0</v>
      </c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1" t="n">
        <f aca="false">N(INDEX(F231:R231,1,기본설정!$C$5+1))</f>
        <v>0</v>
      </c>
      <c r="T231" s="28" t="n">
        <f aca="false">S231*E231</f>
        <v>0</v>
      </c>
      <c r="U231" s="71" t="n">
        <f aca="false">N(INDEX(F231:R231,1,기본설정!$C$5))</f>
        <v>0</v>
      </c>
      <c r="V231" s="28" t="n">
        <f aca="false">U231*E231</f>
        <v>0</v>
      </c>
      <c r="W231" s="59" t="str">
        <f aca="false">IF(B231="","",IFERROR(INDEX(기본설정!$H$4:$H$14,MATCH(B231,기본설정!$G$4:$G$14,0)),""))</f>
        <v/>
      </c>
    </row>
    <row r="232" customFormat="false" ht="15" hidden="false" customHeight="false" outlineLevel="0" collapsed="false">
      <c r="A232" s="70"/>
      <c r="B232" s="81" t="str">
        <f aca="false">IF(C232="","",IFERROR(INDEX(식자재단가!$B$4:$B$203,MATCH(C232,식자재단가!$C$4:$C$203,0)),""))</f>
        <v/>
      </c>
      <c r="C232" s="80"/>
      <c r="D232" s="59" t="str">
        <f aca="false">IF(C232="","",IFERROR(INDEX(식자재단가!$F$4:$F$203,MATCH(C232,식자재단가!$C$4:$C$203,0)),""))</f>
        <v/>
      </c>
      <c r="E232" s="84" t="n">
        <f aca="false">IF(C232="",0,IFERROR(INDEX(식자재단가!$G$4:$G$203,MATCH(C232,식자재단가!$C$4:$C$203,0)),0))</f>
        <v>0</v>
      </c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1" t="n">
        <f aca="false">N(INDEX(F232:R232,1,기본설정!$C$5+1))</f>
        <v>0</v>
      </c>
      <c r="T232" s="28" t="n">
        <f aca="false">S232*E232</f>
        <v>0</v>
      </c>
      <c r="U232" s="71" t="n">
        <f aca="false">N(INDEX(F232:R232,1,기본설정!$C$5))</f>
        <v>0</v>
      </c>
      <c r="V232" s="28" t="n">
        <f aca="false">U232*E232</f>
        <v>0</v>
      </c>
      <c r="W232" s="59" t="str">
        <f aca="false">IF(B232="","",IFERROR(INDEX(기본설정!$H$4:$H$14,MATCH(B232,기본설정!$G$4:$G$14,0)),""))</f>
        <v/>
      </c>
    </row>
    <row r="233" customFormat="false" ht="15" hidden="false" customHeight="false" outlineLevel="0" collapsed="false">
      <c r="A233" s="70"/>
      <c r="B233" s="81" t="str">
        <f aca="false">IF(C233="","",IFERROR(INDEX(식자재단가!$B$4:$B$203,MATCH(C233,식자재단가!$C$4:$C$203,0)),""))</f>
        <v/>
      </c>
      <c r="C233" s="80"/>
      <c r="D233" s="59" t="str">
        <f aca="false">IF(C233="","",IFERROR(INDEX(식자재단가!$F$4:$F$203,MATCH(C233,식자재단가!$C$4:$C$203,0)),""))</f>
        <v/>
      </c>
      <c r="E233" s="84" t="n">
        <f aca="false">IF(C233="",0,IFERROR(INDEX(식자재단가!$G$4:$G$203,MATCH(C233,식자재단가!$C$4:$C$203,0)),0))</f>
        <v>0</v>
      </c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1" t="n">
        <f aca="false">N(INDEX(F233:R233,1,기본설정!$C$5+1))</f>
        <v>0</v>
      </c>
      <c r="T233" s="28" t="n">
        <f aca="false">S233*E233</f>
        <v>0</v>
      </c>
      <c r="U233" s="71" t="n">
        <f aca="false">N(INDEX(F233:R233,1,기본설정!$C$5))</f>
        <v>0</v>
      </c>
      <c r="V233" s="28" t="n">
        <f aca="false">U233*E233</f>
        <v>0</v>
      </c>
      <c r="W233" s="59" t="str">
        <f aca="false">IF(B233="","",IFERROR(INDEX(기본설정!$H$4:$H$14,MATCH(B233,기본설정!$G$4:$G$14,0)),""))</f>
        <v/>
      </c>
    </row>
    <row r="234" customFormat="false" ht="15" hidden="false" customHeight="false" outlineLevel="0" collapsed="false">
      <c r="A234" s="70"/>
      <c r="B234" s="81" t="str">
        <f aca="false">IF(C234="","",IFERROR(INDEX(식자재단가!$B$4:$B$203,MATCH(C234,식자재단가!$C$4:$C$203,0)),""))</f>
        <v/>
      </c>
      <c r="C234" s="80"/>
      <c r="D234" s="59" t="str">
        <f aca="false">IF(C234="","",IFERROR(INDEX(식자재단가!$F$4:$F$203,MATCH(C234,식자재단가!$C$4:$C$203,0)),""))</f>
        <v/>
      </c>
      <c r="E234" s="84" t="n">
        <f aca="false">IF(C234="",0,IFERROR(INDEX(식자재단가!$G$4:$G$203,MATCH(C234,식자재단가!$C$4:$C$203,0)),0))</f>
        <v>0</v>
      </c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1" t="n">
        <f aca="false">N(INDEX(F234:R234,1,기본설정!$C$5+1))</f>
        <v>0</v>
      </c>
      <c r="T234" s="28" t="n">
        <f aca="false">S234*E234</f>
        <v>0</v>
      </c>
      <c r="U234" s="71" t="n">
        <f aca="false">N(INDEX(F234:R234,1,기본설정!$C$5))</f>
        <v>0</v>
      </c>
      <c r="V234" s="28" t="n">
        <f aca="false">U234*E234</f>
        <v>0</v>
      </c>
      <c r="W234" s="59" t="str">
        <f aca="false">IF(B234="","",IFERROR(INDEX(기본설정!$H$4:$H$14,MATCH(B234,기본설정!$G$4:$G$14,0)),""))</f>
        <v/>
      </c>
    </row>
    <row r="235" customFormat="false" ht="15" hidden="false" customHeight="false" outlineLevel="0" collapsed="false">
      <c r="A235" s="70"/>
      <c r="B235" s="81" t="str">
        <f aca="false">IF(C235="","",IFERROR(INDEX(식자재단가!$B$4:$B$203,MATCH(C235,식자재단가!$C$4:$C$203,0)),""))</f>
        <v/>
      </c>
      <c r="C235" s="80"/>
      <c r="D235" s="59" t="str">
        <f aca="false">IF(C235="","",IFERROR(INDEX(식자재단가!$F$4:$F$203,MATCH(C235,식자재단가!$C$4:$C$203,0)),""))</f>
        <v/>
      </c>
      <c r="E235" s="84" t="n">
        <f aca="false">IF(C235="",0,IFERROR(INDEX(식자재단가!$G$4:$G$203,MATCH(C235,식자재단가!$C$4:$C$203,0)),0))</f>
        <v>0</v>
      </c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1" t="n">
        <f aca="false">N(INDEX(F235:R235,1,기본설정!$C$5+1))</f>
        <v>0</v>
      </c>
      <c r="T235" s="28" t="n">
        <f aca="false">S235*E235</f>
        <v>0</v>
      </c>
      <c r="U235" s="71" t="n">
        <f aca="false">N(INDEX(F235:R235,1,기본설정!$C$5))</f>
        <v>0</v>
      </c>
      <c r="V235" s="28" t="n">
        <f aca="false">U235*E235</f>
        <v>0</v>
      </c>
      <c r="W235" s="59" t="str">
        <f aca="false">IF(B235="","",IFERROR(INDEX(기본설정!$H$4:$H$14,MATCH(B235,기본설정!$G$4:$G$14,0)),""))</f>
        <v/>
      </c>
    </row>
    <row r="236" customFormat="false" ht="15" hidden="false" customHeight="false" outlineLevel="0" collapsed="false">
      <c r="A236" s="70"/>
      <c r="B236" s="81" t="str">
        <f aca="false">IF(C236="","",IFERROR(INDEX(식자재단가!$B$4:$B$203,MATCH(C236,식자재단가!$C$4:$C$203,0)),""))</f>
        <v/>
      </c>
      <c r="C236" s="80"/>
      <c r="D236" s="59" t="str">
        <f aca="false">IF(C236="","",IFERROR(INDEX(식자재단가!$F$4:$F$203,MATCH(C236,식자재단가!$C$4:$C$203,0)),""))</f>
        <v/>
      </c>
      <c r="E236" s="84" t="n">
        <f aca="false">IF(C236="",0,IFERROR(INDEX(식자재단가!$G$4:$G$203,MATCH(C236,식자재단가!$C$4:$C$203,0)),0))</f>
        <v>0</v>
      </c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1" t="n">
        <f aca="false">N(INDEX(F236:R236,1,기본설정!$C$5+1))</f>
        <v>0</v>
      </c>
      <c r="T236" s="28" t="n">
        <f aca="false">S236*E236</f>
        <v>0</v>
      </c>
      <c r="U236" s="71" t="n">
        <f aca="false">N(INDEX(F236:R236,1,기본설정!$C$5))</f>
        <v>0</v>
      </c>
      <c r="V236" s="28" t="n">
        <f aca="false">U236*E236</f>
        <v>0</v>
      </c>
      <c r="W236" s="59" t="str">
        <f aca="false">IF(B236="","",IFERROR(INDEX(기본설정!$H$4:$H$14,MATCH(B236,기본설정!$G$4:$G$14,0)),""))</f>
        <v/>
      </c>
    </row>
    <row r="237" customFormat="false" ht="15" hidden="false" customHeight="false" outlineLevel="0" collapsed="false">
      <c r="A237" s="70"/>
      <c r="B237" s="81" t="str">
        <f aca="false">IF(C237="","",IFERROR(INDEX(식자재단가!$B$4:$B$203,MATCH(C237,식자재단가!$C$4:$C$203,0)),""))</f>
        <v/>
      </c>
      <c r="C237" s="80"/>
      <c r="D237" s="59" t="str">
        <f aca="false">IF(C237="","",IFERROR(INDEX(식자재단가!$F$4:$F$203,MATCH(C237,식자재단가!$C$4:$C$203,0)),""))</f>
        <v/>
      </c>
      <c r="E237" s="84" t="n">
        <f aca="false">IF(C237="",0,IFERROR(INDEX(식자재단가!$G$4:$G$203,MATCH(C237,식자재단가!$C$4:$C$203,0)),0))</f>
        <v>0</v>
      </c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1" t="n">
        <f aca="false">N(INDEX(F237:R237,1,기본설정!$C$5+1))</f>
        <v>0</v>
      </c>
      <c r="T237" s="28" t="n">
        <f aca="false">S237*E237</f>
        <v>0</v>
      </c>
      <c r="U237" s="71" t="n">
        <f aca="false">N(INDEX(F237:R237,1,기본설정!$C$5))</f>
        <v>0</v>
      </c>
      <c r="V237" s="28" t="n">
        <f aca="false">U237*E237</f>
        <v>0</v>
      </c>
      <c r="W237" s="59" t="str">
        <f aca="false">IF(B237="","",IFERROR(INDEX(기본설정!$H$4:$H$14,MATCH(B237,기본설정!$G$4:$G$14,0)),""))</f>
        <v/>
      </c>
    </row>
    <row r="238" customFormat="false" ht="15" hidden="false" customHeight="false" outlineLevel="0" collapsed="false">
      <c r="A238" s="70"/>
      <c r="B238" s="81" t="str">
        <f aca="false">IF(C238="","",IFERROR(INDEX(식자재단가!$B$4:$B$203,MATCH(C238,식자재단가!$C$4:$C$203,0)),""))</f>
        <v/>
      </c>
      <c r="C238" s="80"/>
      <c r="D238" s="59" t="str">
        <f aca="false">IF(C238="","",IFERROR(INDEX(식자재단가!$F$4:$F$203,MATCH(C238,식자재단가!$C$4:$C$203,0)),""))</f>
        <v/>
      </c>
      <c r="E238" s="84" t="n">
        <f aca="false">IF(C238="",0,IFERROR(INDEX(식자재단가!$G$4:$G$203,MATCH(C238,식자재단가!$C$4:$C$203,0)),0))</f>
        <v>0</v>
      </c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1" t="n">
        <f aca="false">N(INDEX(F238:R238,1,기본설정!$C$5+1))</f>
        <v>0</v>
      </c>
      <c r="T238" s="28" t="n">
        <f aca="false">S238*E238</f>
        <v>0</v>
      </c>
      <c r="U238" s="71" t="n">
        <f aca="false">N(INDEX(F238:R238,1,기본설정!$C$5))</f>
        <v>0</v>
      </c>
      <c r="V238" s="28" t="n">
        <f aca="false">U238*E238</f>
        <v>0</v>
      </c>
      <c r="W238" s="59" t="str">
        <f aca="false">IF(B238="","",IFERROR(INDEX(기본설정!$H$4:$H$14,MATCH(B238,기본설정!$G$4:$G$14,0)),""))</f>
        <v/>
      </c>
    </row>
    <row r="239" customFormat="false" ht="15" hidden="false" customHeight="false" outlineLevel="0" collapsed="false">
      <c r="A239" s="70"/>
      <c r="B239" s="81" t="str">
        <f aca="false">IF(C239="","",IFERROR(INDEX(식자재단가!$B$4:$B$203,MATCH(C239,식자재단가!$C$4:$C$203,0)),""))</f>
        <v/>
      </c>
      <c r="C239" s="80"/>
      <c r="D239" s="59" t="str">
        <f aca="false">IF(C239="","",IFERROR(INDEX(식자재단가!$F$4:$F$203,MATCH(C239,식자재단가!$C$4:$C$203,0)),""))</f>
        <v/>
      </c>
      <c r="E239" s="84" t="n">
        <f aca="false">IF(C239="",0,IFERROR(INDEX(식자재단가!$G$4:$G$203,MATCH(C239,식자재단가!$C$4:$C$203,0)),0))</f>
        <v>0</v>
      </c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1" t="n">
        <f aca="false">N(INDEX(F239:R239,1,기본설정!$C$5+1))</f>
        <v>0</v>
      </c>
      <c r="T239" s="28" t="n">
        <f aca="false">S239*E239</f>
        <v>0</v>
      </c>
      <c r="U239" s="71" t="n">
        <f aca="false">N(INDEX(F239:R239,1,기본설정!$C$5))</f>
        <v>0</v>
      </c>
      <c r="V239" s="28" t="n">
        <f aca="false">U239*E239</f>
        <v>0</v>
      </c>
      <c r="W239" s="59" t="str">
        <f aca="false">IF(B239="","",IFERROR(INDEX(기본설정!$H$4:$H$14,MATCH(B239,기본설정!$G$4:$G$14,0)),""))</f>
        <v/>
      </c>
    </row>
    <row r="240" customFormat="false" ht="15" hidden="false" customHeight="false" outlineLevel="0" collapsed="false">
      <c r="A240" s="70"/>
      <c r="B240" s="81" t="str">
        <f aca="false">IF(C240="","",IFERROR(INDEX(식자재단가!$B$4:$B$203,MATCH(C240,식자재단가!$C$4:$C$203,0)),""))</f>
        <v/>
      </c>
      <c r="C240" s="80"/>
      <c r="D240" s="59" t="str">
        <f aca="false">IF(C240="","",IFERROR(INDEX(식자재단가!$F$4:$F$203,MATCH(C240,식자재단가!$C$4:$C$203,0)),""))</f>
        <v/>
      </c>
      <c r="E240" s="84" t="n">
        <f aca="false">IF(C240="",0,IFERROR(INDEX(식자재단가!$G$4:$G$203,MATCH(C240,식자재단가!$C$4:$C$203,0)),0))</f>
        <v>0</v>
      </c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1" t="n">
        <f aca="false">N(INDEX(F240:R240,1,기본설정!$C$5+1))</f>
        <v>0</v>
      </c>
      <c r="T240" s="28" t="n">
        <f aca="false">S240*E240</f>
        <v>0</v>
      </c>
      <c r="U240" s="71" t="n">
        <f aca="false">N(INDEX(F240:R240,1,기본설정!$C$5))</f>
        <v>0</v>
      </c>
      <c r="V240" s="28" t="n">
        <f aca="false">U240*E240</f>
        <v>0</v>
      </c>
      <c r="W240" s="59" t="str">
        <f aca="false">IF(B240="","",IFERROR(INDEX(기본설정!$H$4:$H$14,MATCH(B240,기본설정!$G$4:$G$14,0)),""))</f>
        <v/>
      </c>
    </row>
    <row r="241" customFormat="false" ht="15" hidden="false" customHeight="false" outlineLevel="0" collapsed="false">
      <c r="A241" s="70"/>
      <c r="B241" s="81" t="str">
        <f aca="false">IF(C241="","",IFERROR(INDEX(식자재단가!$B$4:$B$203,MATCH(C241,식자재단가!$C$4:$C$203,0)),""))</f>
        <v/>
      </c>
      <c r="C241" s="80"/>
      <c r="D241" s="59" t="str">
        <f aca="false">IF(C241="","",IFERROR(INDEX(식자재단가!$F$4:$F$203,MATCH(C241,식자재단가!$C$4:$C$203,0)),""))</f>
        <v/>
      </c>
      <c r="E241" s="84" t="n">
        <f aca="false">IF(C241="",0,IFERROR(INDEX(식자재단가!$G$4:$G$203,MATCH(C241,식자재단가!$C$4:$C$203,0)),0))</f>
        <v>0</v>
      </c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1" t="n">
        <f aca="false">N(INDEX(F241:R241,1,기본설정!$C$5+1))</f>
        <v>0</v>
      </c>
      <c r="T241" s="28" t="n">
        <f aca="false">S241*E241</f>
        <v>0</v>
      </c>
      <c r="U241" s="71" t="n">
        <f aca="false">N(INDEX(F241:R241,1,기본설정!$C$5))</f>
        <v>0</v>
      </c>
      <c r="V241" s="28" t="n">
        <f aca="false">U241*E241</f>
        <v>0</v>
      </c>
      <c r="W241" s="59" t="str">
        <f aca="false">IF(B241="","",IFERROR(INDEX(기본설정!$H$4:$H$14,MATCH(B241,기본설정!$G$4:$G$14,0)),""))</f>
        <v/>
      </c>
    </row>
    <row r="242" customFormat="false" ht="15" hidden="false" customHeight="false" outlineLevel="0" collapsed="false">
      <c r="A242" s="70"/>
      <c r="B242" s="81" t="str">
        <f aca="false">IF(C242="","",IFERROR(INDEX(식자재단가!$B$4:$B$203,MATCH(C242,식자재단가!$C$4:$C$203,0)),""))</f>
        <v/>
      </c>
      <c r="C242" s="80"/>
      <c r="D242" s="59" t="str">
        <f aca="false">IF(C242="","",IFERROR(INDEX(식자재단가!$F$4:$F$203,MATCH(C242,식자재단가!$C$4:$C$203,0)),""))</f>
        <v/>
      </c>
      <c r="E242" s="84" t="n">
        <f aca="false">IF(C242="",0,IFERROR(INDEX(식자재단가!$G$4:$G$203,MATCH(C242,식자재단가!$C$4:$C$203,0)),0))</f>
        <v>0</v>
      </c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1" t="n">
        <f aca="false">N(INDEX(F242:R242,1,기본설정!$C$5+1))</f>
        <v>0</v>
      </c>
      <c r="T242" s="28" t="n">
        <f aca="false">S242*E242</f>
        <v>0</v>
      </c>
      <c r="U242" s="71" t="n">
        <f aca="false">N(INDEX(F242:R242,1,기본설정!$C$5))</f>
        <v>0</v>
      </c>
      <c r="V242" s="28" t="n">
        <f aca="false">U242*E242</f>
        <v>0</v>
      </c>
      <c r="W242" s="59" t="str">
        <f aca="false">IF(B242="","",IFERROR(INDEX(기본설정!$H$4:$H$14,MATCH(B242,기본설정!$G$4:$G$14,0)),""))</f>
        <v/>
      </c>
    </row>
    <row r="243" customFormat="false" ht="15" hidden="false" customHeight="false" outlineLevel="0" collapsed="false">
      <c r="A243" s="70"/>
      <c r="B243" s="81" t="str">
        <f aca="false">IF(C243="","",IFERROR(INDEX(식자재단가!$B$4:$B$203,MATCH(C243,식자재단가!$C$4:$C$203,0)),""))</f>
        <v/>
      </c>
      <c r="C243" s="80"/>
      <c r="D243" s="59" t="str">
        <f aca="false">IF(C243="","",IFERROR(INDEX(식자재단가!$F$4:$F$203,MATCH(C243,식자재단가!$C$4:$C$203,0)),""))</f>
        <v/>
      </c>
      <c r="E243" s="84" t="n">
        <f aca="false">IF(C243="",0,IFERROR(INDEX(식자재단가!$G$4:$G$203,MATCH(C243,식자재단가!$C$4:$C$203,0)),0))</f>
        <v>0</v>
      </c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1" t="n">
        <f aca="false">N(INDEX(F243:R243,1,기본설정!$C$5+1))</f>
        <v>0</v>
      </c>
      <c r="T243" s="28" t="n">
        <f aca="false">S243*E243</f>
        <v>0</v>
      </c>
      <c r="U243" s="71" t="n">
        <f aca="false">N(INDEX(F243:R243,1,기본설정!$C$5))</f>
        <v>0</v>
      </c>
      <c r="V243" s="28" t="n">
        <f aca="false">U243*E243</f>
        <v>0</v>
      </c>
      <c r="W243" s="59" t="str">
        <f aca="false">IF(B243="","",IFERROR(INDEX(기본설정!$H$4:$H$14,MATCH(B243,기본설정!$G$4:$G$14,0)),""))</f>
        <v/>
      </c>
    </row>
    <row r="244" customFormat="false" ht="15" hidden="false" customHeight="false" outlineLevel="0" collapsed="false">
      <c r="A244" s="70"/>
      <c r="B244" s="81" t="str">
        <f aca="false">IF(C244="","",IFERROR(INDEX(식자재단가!$B$4:$B$203,MATCH(C244,식자재단가!$C$4:$C$203,0)),""))</f>
        <v/>
      </c>
      <c r="C244" s="80"/>
      <c r="D244" s="59" t="str">
        <f aca="false">IF(C244="","",IFERROR(INDEX(식자재단가!$F$4:$F$203,MATCH(C244,식자재단가!$C$4:$C$203,0)),""))</f>
        <v/>
      </c>
      <c r="E244" s="84" t="n">
        <f aca="false">IF(C244="",0,IFERROR(INDEX(식자재단가!$G$4:$G$203,MATCH(C244,식자재단가!$C$4:$C$203,0)),0))</f>
        <v>0</v>
      </c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1" t="n">
        <f aca="false">N(INDEX(F244:R244,1,기본설정!$C$5+1))</f>
        <v>0</v>
      </c>
      <c r="T244" s="28" t="n">
        <f aca="false">S244*E244</f>
        <v>0</v>
      </c>
      <c r="U244" s="71" t="n">
        <f aca="false">N(INDEX(F244:R244,1,기본설정!$C$5))</f>
        <v>0</v>
      </c>
      <c r="V244" s="28" t="n">
        <f aca="false">U244*E244</f>
        <v>0</v>
      </c>
      <c r="W244" s="59" t="str">
        <f aca="false">IF(B244="","",IFERROR(INDEX(기본설정!$H$4:$H$14,MATCH(B244,기본설정!$G$4:$G$14,0)),""))</f>
        <v/>
      </c>
    </row>
    <row r="245" customFormat="false" ht="15" hidden="false" customHeight="false" outlineLevel="0" collapsed="false">
      <c r="A245" s="70"/>
      <c r="B245" s="81" t="str">
        <f aca="false">IF(C245="","",IFERROR(INDEX(식자재단가!$B$4:$B$203,MATCH(C245,식자재단가!$C$4:$C$203,0)),""))</f>
        <v/>
      </c>
      <c r="C245" s="80"/>
      <c r="D245" s="59" t="str">
        <f aca="false">IF(C245="","",IFERROR(INDEX(식자재단가!$F$4:$F$203,MATCH(C245,식자재단가!$C$4:$C$203,0)),""))</f>
        <v/>
      </c>
      <c r="E245" s="84" t="n">
        <f aca="false">IF(C245="",0,IFERROR(INDEX(식자재단가!$G$4:$G$203,MATCH(C245,식자재단가!$C$4:$C$203,0)),0))</f>
        <v>0</v>
      </c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1" t="n">
        <f aca="false">N(INDEX(F245:R245,1,기본설정!$C$5+1))</f>
        <v>0</v>
      </c>
      <c r="T245" s="28" t="n">
        <f aca="false">S245*E245</f>
        <v>0</v>
      </c>
      <c r="U245" s="71" t="n">
        <f aca="false">N(INDEX(F245:R245,1,기본설정!$C$5))</f>
        <v>0</v>
      </c>
      <c r="V245" s="28" t="n">
        <f aca="false">U245*E245</f>
        <v>0</v>
      </c>
      <c r="W245" s="59" t="str">
        <f aca="false">IF(B245="","",IFERROR(INDEX(기본설정!$H$4:$H$14,MATCH(B245,기본설정!$G$4:$G$14,0)),""))</f>
        <v/>
      </c>
    </row>
    <row r="246" customFormat="false" ht="15" hidden="false" customHeight="false" outlineLevel="0" collapsed="false">
      <c r="A246" s="70"/>
      <c r="B246" s="81" t="str">
        <f aca="false">IF(C246="","",IFERROR(INDEX(식자재단가!$B$4:$B$203,MATCH(C246,식자재단가!$C$4:$C$203,0)),""))</f>
        <v/>
      </c>
      <c r="C246" s="80"/>
      <c r="D246" s="59" t="str">
        <f aca="false">IF(C246="","",IFERROR(INDEX(식자재단가!$F$4:$F$203,MATCH(C246,식자재단가!$C$4:$C$203,0)),""))</f>
        <v/>
      </c>
      <c r="E246" s="84" t="n">
        <f aca="false">IF(C246="",0,IFERROR(INDEX(식자재단가!$G$4:$G$203,MATCH(C246,식자재단가!$C$4:$C$203,0)),0))</f>
        <v>0</v>
      </c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1" t="n">
        <f aca="false">N(INDEX(F246:R246,1,기본설정!$C$5+1))</f>
        <v>0</v>
      </c>
      <c r="T246" s="28" t="n">
        <f aca="false">S246*E246</f>
        <v>0</v>
      </c>
      <c r="U246" s="71" t="n">
        <f aca="false">N(INDEX(F246:R246,1,기본설정!$C$5))</f>
        <v>0</v>
      </c>
      <c r="V246" s="28" t="n">
        <f aca="false">U246*E246</f>
        <v>0</v>
      </c>
      <c r="W246" s="59" t="str">
        <f aca="false">IF(B246="","",IFERROR(INDEX(기본설정!$H$4:$H$14,MATCH(B246,기본설정!$G$4:$G$14,0)),""))</f>
        <v/>
      </c>
    </row>
    <row r="247" customFormat="false" ht="15" hidden="false" customHeight="false" outlineLevel="0" collapsed="false">
      <c r="A247" s="70"/>
      <c r="B247" s="81" t="str">
        <f aca="false">IF(C247="","",IFERROR(INDEX(식자재단가!$B$4:$B$203,MATCH(C247,식자재단가!$C$4:$C$203,0)),""))</f>
        <v/>
      </c>
      <c r="C247" s="80"/>
      <c r="D247" s="59" t="str">
        <f aca="false">IF(C247="","",IFERROR(INDEX(식자재단가!$F$4:$F$203,MATCH(C247,식자재단가!$C$4:$C$203,0)),""))</f>
        <v/>
      </c>
      <c r="E247" s="84" t="n">
        <f aca="false">IF(C247="",0,IFERROR(INDEX(식자재단가!$G$4:$G$203,MATCH(C247,식자재단가!$C$4:$C$203,0)),0))</f>
        <v>0</v>
      </c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1" t="n">
        <f aca="false">N(INDEX(F247:R247,1,기본설정!$C$5+1))</f>
        <v>0</v>
      </c>
      <c r="T247" s="28" t="n">
        <f aca="false">S247*E247</f>
        <v>0</v>
      </c>
      <c r="U247" s="71" t="n">
        <f aca="false">N(INDEX(F247:R247,1,기본설정!$C$5))</f>
        <v>0</v>
      </c>
      <c r="V247" s="28" t="n">
        <f aca="false">U247*E247</f>
        <v>0</v>
      </c>
      <c r="W247" s="59" t="str">
        <f aca="false">IF(B247="","",IFERROR(INDEX(기본설정!$H$4:$H$14,MATCH(B247,기본설정!$G$4:$G$14,0)),""))</f>
        <v/>
      </c>
    </row>
    <row r="248" customFormat="false" ht="15" hidden="false" customHeight="false" outlineLevel="0" collapsed="false">
      <c r="A248" s="70"/>
      <c r="B248" s="81" t="str">
        <f aca="false">IF(C248="","",IFERROR(INDEX(식자재단가!$B$4:$B$203,MATCH(C248,식자재단가!$C$4:$C$203,0)),""))</f>
        <v/>
      </c>
      <c r="C248" s="80"/>
      <c r="D248" s="59" t="str">
        <f aca="false">IF(C248="","",IFERROR(INDEX(식자재단가!$F$4:$F$203,MATCH(C248,식자재단가!$C$4:$C$203,0)),""))</f>
        <v/>
      </c>
      <c r="E248" s="84" t="n">
        <f aca="false">IF(C248="",0,IFERROR(INDEX(식자재단가!$G$4:$G$203,MATCH(C248,식자재단가!$C$4:$C$203,0)),0))</f>
        <v>0</v>
      </c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1" t="n">
        <f aca="false">N(INDEX(F248:R248,1,기본설정!$C$5+1))</f>
        <v>0</v>
      </c>
      <c r="T248" s="28" t="n">
        <f aca="false">S248*E248</f>
        <v>0</v>
      </c>
      <c r="U248" s="71" t="n">
        <f aca="false">N(INDEX(F248:R248,1,기본설정!$C$5))</f>
        <v>0</v>
      </c>
      <c r="V248" s="28" t="n">
        <f aca="false">U248*E248</f>
        <v>0</v>
      </c>
      <c r="W248" s="59" t="str">
        <f aca="false">IF(B248="","",IFERROR(INDEX(기본설정!$H$4:$H$14,MATCH(B248,기본설정!$G$4:$G$14,0)),""))</f>
        <v/>
      </c>
    </row>
    <row r="249" customFormat="false" ht="15" hidden="false" customHeight="false" outlineLevel="0" collapsed="false">
      <c r="A249" s="70"/>
      <c r="B249" s="81" t="str">
        <f aca="false">IF(C249="","",IFERROR(INDEX(식자재단가!$B$4:$B$203,MATCH(C249,식자재단가!$C$4:$C$203,0)),""))</f>
        <v/>
      </c>
      <c r="C249" s="80"/>
      <c r="D249" s="59" t="str">
        <f aca="false">IF(C249="","",IFERROR(INDEX(식자재단가!$F$4:$F$203,MATCH(C249,식자재단가!$C$4:$C$203,0)),""))</f>
        <v/>
      </c>
      <c r="E249" s="84" t="n">
        <f aca="false">IF(C249="",0,IFERROR(INDEX(식자재단가!$G$4:$G$203,MATCH(C249,식자재단가!$C$4:$C$203,0)),0))</f>
        <v>0</v>
      </c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1" t="n">
        <f aca="false">N(INDEX(F249:R249,1,기본설정!$C$5+1))</f>
        <v>0</v>
      </c>
      <c r="T249" s="28" t="n">
        <f aca="false">S249*E249</f>
        <v>0</v>
      </c>
      <c r="U249" s="71" t="n">
        <f aca="false">N(INDEX(F249:R249,1,기본설정!$C$5))</f>
        <v>0</v>
      </c>
      <c r="V249" s="28" t="n">
        <f aca="false">U249*E249</f>
        <v>0</v>
      </c>
      <c r="W249" s="59" t="str">
        <f aca="false">IF(B249="","",IFERROR(INDEX(기본설정!$H$4:$H$14,MATCH(B249,기본설정!$G$4:$G$14,0)),""))</f>
        <v/>
      </c>
    </row>
    <row r="250" customFormat="false" ht="15" hidden="false" customHeight="false" outlineLevel="0" collapsed="false">
      <c r="A250" s="70"/>
      <c r="B250" s="81" t="str">
        <f aca="false">IF(C250="","",IFERROR(INDEX(식자재단가!$B$4:$B$203,MATCH(C250,식자재단가!$C$4:$C$203,0)),""))</f>
        <v/>
      </c>
      <c r="C250" s="80"/>
      <c r="D250" s="59" t="str">
        <f aca="false">IF(C250="","",IFERROR(INDEX(식자재단가!$F$4:$F$203,MATCH(C250,식자재단가!$C$4:$C$203,0)),""))</f>
        <v/>
      </c>
      <c r="E250" s="84" t="n">
        <f aca="false">IF(C250="",0,IFERROR(INDEX(식자재단가!$G$4:$G$203,MATCH(C250,식자재단가!$C$4:$C$203,0)),0))</f>
        <v>0</v>
      </c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1" t="n">
        <f aca="false">N(INDEX(F250:R250,1,기본설정!$C$5+1))</f>
        <v>0</v>
      </c>
      <c r="T250" s="28" t="n">
        <f aca="false">S250*E250</f>
        <v>0</v>
      </c>
      <c r="U250" s="71" t="n">
        <f aca="false">N(INDEX(F250:R250,1,기본설정!$C$5))</f>
        <v>0</v>
      </c>
      <c r="V250" s="28" t="n">
        <f aca="false">U250*E250</f>
        <v>0</v>
      </c>
      <c r="W250" s="59" t="str">
        <f aca="false">IF(B250="","",IFERROR(INDEX(기본설정!$H$4:$H$14,MATCH(B250,기본설정!$G$4:$G$14,0)),""))</f>
        <v/>
      </c>
    </row>
    <row r="251" customFormat="false" ht="15" hidden="false" customHeight="false" outlineLevel="0" collapsed="false">
      <c r="A251" s="70"/>
      <c r="B251" s="81" t="str">
        <f aca="false">IF(C251="","",IFERROR(INDEX(식자재단가!$B$4:$B$203,MATCH(C251,식자재단가!$C$4:$C$203,0)),""))</f>
        <v/>
      </c>
      <c r="C251" s="80"/>
      <c r="D251" s="59" t="str">
        <f aca="false">IF(C251="","",IFERROR(INDEX(식자재단가!$F$4:$F$203,MATCH(C251,식자재단가!$C$4:$C$203,0)),""))</f>
        <v/>
      </c>
      <c r="E251" s="84" t="n">
        <f aca="false">IF(C251="",0,IFERROR(INDEX(식자재단가!$G$4:$G$203,MATCH(C251,식자재단가!$C$4:$C$203,0)),0))</f>
        <v>0</v>
      </c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1" t="n">
        <f aca="false">N(INDEX(F251:R251,1,기본설정!$C$5+1))</f>
        <v>0</v>
      </c>
      <c r="T251" s="28" t="n">
        <f aca="false">S251*E251</f>
        <v>0</v>
      </c>
      <c r="U251" s="71" t="n">
        <f aca="false">N(INDEX(F251:R251,1,기본설정!$C$5))</f>
        <v>0</v>
      </c>
      <c r="V251" s="28" t="n">
        <f aca="false">U251*E251</f>
        <v>0</v>
      </c>
      <c r="W251" s="59" t="str">
        <f aca="false">IF(B251="","",IFERROR(INDEX(기본설정!$H$4:$H$14,MATCH(B251,기본설정!$G$4:$G$14,0)),""))</f>
        <v/>
      </c>
    </row>
    <row r="252" customFormat="false" ht="15" hidden="false" customHeight="false" outlineLevel="0" collapsed="false">
      <c r="A252" s="70"/>
      <c r="B252" s="81" t="str">
        <f aca="false">IF(C252="","",IFERROR(INDEX(식자재단가!$B$4:$B$203,MATCH(C252,식자재단가!$C$4:$C$203,0)),""))</f>
        <v/>
      </c>
      <c r="C252" s="80"/>
      <c r="D252" s="59" t="str">
        <f aca="false">IF(C252="","",IFERROR(INDEX(식자재단가!$F$4:$F$203,MATCH(C252,식자재단가!$C$4:$C$203,0)),""))</f>
        <v/>
      </c>
      <c r="E252" s="84" t="n">
        <f aca="false">IF(C252="",0,IFERROR(INDEX(식자재단가!$G$4:$G$203,MATCH(C252,식자재단가!$C$4:$C$203,0)),0))</f>
        <v>0</v>
      </c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1" t="n">
        <f aca="false">N(INDEX(F252:R252,1,기본설정!$C$5+1))</f>
        <v>0</v>
      </c>
      <c r="T252" s="28" t="n">
        <f aca="false">S252*E252</f>
        <v>0</v>
      </c>
      <c r="U252" s="71" t="n">
        <f aca="false">N(INDEX(F252:R252,1,기본설정!$C$5))</f>
        <v>0</v>
      </c>
      <c r="V252" s="28" t="n">
        <f aca="false">U252*E252</f>
        <v>0</v>
      </c>
      <c r="W252" s="59" t="str">
        <f aca="false">IF(B252="","",IFERROR(INDEX(기본설정!$H$4:$H$14,MATCH(B252,기본설정!$G$4:$G$14,0)),""))</f>
        <v/>
      </c>
    </row>
    <row r="253" customFormat="false" ht="15" hidden="false" customHeight="false" outlineLevel="0" collapsed="false">
      <c r="A253" s="70"/>
      <c r="B253" s="81" t="str">
        <f aca="false">IF(C253="","",IFERROR(INDEX(식자재단가!$B$4:$B$203,MATCH(C253,식자재단가!$C$4:$C$203,0)),""))</f>
        <v/>
      </c>
      <c r="C253" s="80"/>
      <c r="D253" s="59" t="str">
        <f aca="false">IF(C253="","",IFERROR(INDEX(식자재단가!$F$4:$F$203,MATCH(C253,식자재단가!$C$4:$C$203,0)),""))</f>
        <v/>
      </c>
      <c r="E253" s="84" t="n">
        <f aca="false">IF(C253="",0,IFERROR(INDEX(식자재단가!$G$4:$G$203,MATCH(C253,식자재단가!$C$4:$C$203,0)),0))</f>
        <v>0</v>
      </c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1" t="n">
        <f aca="false">N(INDEX(F253:R253,1,기본설정!$C$5+1))</f>
        <v>0</v>
      </c>
      <c r="T253" s="28" t="n">
        <f aca="false">S253*E253</f>
        <v>0</v>
      </c>
      <c r="U253" s="71" t="n">
        <f aca="false">N(INDEX(F253:R253,1,기본설정!$C$5))</f>
        <v>0</v>
      </c>
      <c r="V253" s="28" t="n">
        <f aca="false">U253*E253</f>
        <v>0</v>
      </c>
      <c r="W253" s="59" t="str">
        <f aca="false">IF(B253="","",IFERROR(INDEX(기본설정!$H$4:$H$14,MATCH(B253,기본설정!$G$4:$G$14,0)),""))</f>
        <v/>
      </c>
    </row>
    <row r="254" customFormat="false" ht="15" hidden="false" customHeight="false" outlineLevel="0" collapsed="false">
      <c r="A254" s="70"/>
      <c r="B254" s="81" t="str">
        <f aca="false">IF(C254="","",IFERROR(INDEX(식자재단가!$B$4:$B$203,MATCH(C254,식자재단가!$C$4:$C$203,0)),""))</f>
        <v/>
      </c>
      <c r="C254" s="80"/>
      <c r="D254" s="59" t="str">
        <f aca="false">IF(C254="","",IFERROR(INDEX(식자재단가!$F$4:$F$203,MATCH(C254,식자재단가!$C$4:$C$203,0)),""))</f>
        <v/>
      </c>
      <c r="E254" s="84" t="n">
        <f aca="false">IF(C254="",0,IFERROR(INDEX(식자재단가!$G$4:$G$203,MATCH(C254,식자재단가!$C$4:$C$203,0)),0))</f>
        <v>0</v>
      </c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1" t="n">
        <f aca="false">N(INDEX(F254:R254,1,기본설정!$C$5+1))</f>
        <v>0</v>
      </c>
      <c r="T254" s="28" t="n">
        <f aca="false">S254*E254</f>
        <v>0</v>
      </c>
      <c r="U254" s="71" t="n">
        <f aca="false">N(INDEX(F254:R254,1,기본설정!$C$5))</f>
        <v>0</v>
      </c>
      <c r="V254" s="28" t="n">
        <f aca="false">U254*E254</f>
        <v>0</v>
      </c>
      <c r="W254" s="59" t="str">
        <f aca="false">IF(B254="","",IFERROR(INDEX(기본설정!$H$4:$H$14,MATCH(B254,기본설정!$G$4:$G$14,0)),""))</f>
        <v/>
      </c>
    </row>
    <row r="255" customFormat="false" ht="15" hidden="false" customHeight="false" outlineLevel="0" collapsed="false">
      <c r="A255" s="70"/>
      <c r="B255" s="81" t="str">
        <f aca="false">IF(C255="","",IFERROR(INDEX(식자재단가!$B$4:$B$203,MATCH(C255,식자재단가!$C$4:$C$203,0)),""))</f>
        <v/>
      </c>
      <c r="C255" s="80"/>
      <c r="D255" s="59" t="str">
        <f aca="false">IF(C255="","",IFERROR(INDEX(식자재단가!$F$4:$F$203,MATCH(C255,식자재단가!$C$4:$C$203,0)),""))</f>
        <v/>
      </c>
      <c r="E255" s="84" t="n">
        <f aca="false">IF(C255="",0,IFERROR(INDEX(식자재단가!$G$4:$G$203,MATCH(C255,식자재단가!$C$4:$C$203,0)),0))</f>
        <v>0</v>
      </c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1" t="n">
        <f aca="false">N(INDEX(F255:R255,1,기본설정!$C$5+1))</f>
        <v>0</v>
      </c>
      <c r="T255" s="28" t="n">
        <f aca="false">S255*E255</f>
        <v>0</v>
      </c>
      <c r="U255" s="71" t="n">
        <f aca="false">N(INDEX(F255:R255,1,기본설정!$C$5))</f>
        <v>0</v>
      </c>
      <c r="V255" s="28" t="n">
        <f aca="false">U255*E255</f>
        <v>0</v>
      </c>
      <c r="W255" s="59" t="str">
        <f aca="false">IF(B255="","",IFERROR(INDEX(기본설정!$H$4:$H$14,MATCH(B255,기본설정!$G$4:$G$14,0)),""))</f>
        <v/>
      </c>
    </row>
    <row r="256" customFormat="false" ht="15" hidden="false" customHeight="false" outlineLevel="0" collapsed="false">
      <c r="A256" s="70"/>
      <c r="B256" s="81" t="str">
        <f aca="false">IF(C256="","",IFERROR(INDEX(식자재단가!$B$4:$B$203,MATCH(C256,식자재단가!$C$4:$C$203,0)),""))</f>
        <v/>
      </c>
      <c r="C256" s="80"/>
      <c r="D256" s="59" t="str">
        <f aca="false">IF(C256="","",IFERROR(INDEX(식자재단가!$F$4:$F$203,MATCH(C256,식자재단가!$C$4:$C$203,0)),""))</f>
        <v/>
      </c>
      <c r="E256" s="84" t="n">
        <f aca="false">IF(C256="",0,IFERROR(INDEX(식자재단가!$G$4:$G$203,MATCH(C256,식자재단가!$C$4:$C$203,0)),0))</f>
        <v>0</v>
      </c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1" t="n">
        <f aca="false">N(INDEX(F256:R256,1,기본설정!$C$5+1))</f>
        <v>0</v>
      </c>
      <c r="T256" s="28" t="n">
        <f aca="false">S256*E256</f>
        <v>0</v>
      </c>
      <c r="U256" s="71" t="n">
        <f aca="false">N(INDEX(F256:R256,1,기본설정!$C$5))</f>
        <v>0</v>
      </c>
      <c r="V256" s="28" t="n">
        <f aca="false">U256*E256</f>
        <v>0</v>
      </c>
      <c r="W256" s="59" t="str">
        <f aca="false">IF(B256="","",IFERROR(INDEX(기본설정!$H$4:$H$14,MATCH(B256,기본설정!$G$4:$G$14,0)),""))</f>
        <v/>
      </c>
    </row>
    <row r="257" customFormat="false" ht="15" hidden="false" customHeight="false" outlineLevel="0" collapsed="false">
      <c r="A257" s="70"/>
      <c r="B257" s="81" t="str">
        <f aca="false">IF(C257="","",IFERROR(INDEX(식자재단가!$B$4:$B$203,MATCH(C257,식자재단가!$C$4:$C$203,0)),""))</f>
        <v/>
      </c>
      <c r="C257" s="80"/>
      <c r="D257" s="59" t="str">
        <f aca="false">IF(C257="","",IFERROR(INDEX(식자재단가!$F$4:$F$203,MATCH(C257,식자재단가!$C$4:$C$203,0)),""))</f>
        <v/>
      </c>
      <c r="E257" s="84" t="n">
        <f aca="false">IF(C257="",0,IFERROR(INDEX(식자재단가!$G$4:$G$203,MATCH(C257,식자재단가!$C$4:$C$203,0)),0))</f>
        <v>0</v>
      </c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1" t="n">
        <f aca="false">N(INDEX(F257:R257,1,기본설정!$C$5+1))</f>
        <v>0</v>
      </c>
      <c r="T257" s="28" t="n">
        <f aca="false">S257*E257</f>
        <v>0</v>
      </c>
      <c r="U257" s="71" t="n">
        <f aca="false">N(INDEX(F257:R257,1,기본설정!$C$5))</f>
        <v>0</v>
      </c>
      <c r="V257" s="28" t="n">
        <f aca="false">U257*E257</f>
        <v>0</v>
      </c>
      <c r="W257" s="59" t="str">
        <f aca="false">IF(B257="","",IFERROR(INDEX(기본설정!$H$4:$H$14,MATCH(B257,기본설정!$G$4:$G$14,0)),""))</f>
        <v/>
      </c>
    </row>
    <row r="258" customFormat="false" ht="15" hidden="false" customHeight="false" outlineLevel="0" collapsed="false">
      <c r="A258" s="70"/>
      <c r="B258" s="81" t="str">
        <f aca="false">IF(C258="","",IFERROR(INDEX(식자재단가!$B$4:$B$203,MATCH(C258,식자재단가!$C$4:$C$203,0)),""))</f>
        <v/>
      </c>
      <c r="C258" s="80"/>
      <c r="D258" s="59" t="str">
        <f aca="false">IF(C258="","",IFERROR(INDEX(식자재단가!$F$4:$F$203,MATCH(C258,식자재단가!$C$4:$C$203,0)),""))</f>
        <v/>
      </c>
      <c r="E258" s="84" t="n">
        <f aca="false">IF(C258="",0,IFERROR(INDEX(식자재단가!$G$4:$G$203,MATCH(C258,식자재단가!$C$4:$C$203,0)),0))</f>
        <v>0</v>
      </c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1" t="n">
        <f aca="false">N(INDEX(F258:R258,1,기본설정!$C$5+1))</f>
        <v>0</v>
      </c>
      <c r="T258" s="28" t="n">
        <f aca="false">S258*E258</f>
        <v>0</v>
      </c>
      <c r="U258" s="71" t="n">
        <f aca="false">N(INDEX(F258:R258,1,기본설정!$C$5))</f>
        <v>0</v>
      </c>
      <c r="V258" s="28" t="n">
        <f aca="false">U258*E258</f>
        <v>0</v>
      </c>
      <c r="W258" s="59" t="str">
        <f aca="false">IF(B258="","",IFERROR(INDEX(기본설정!$H$4:$H$14,MATCH(B258,기본설정!$G$4:$G$14,0)),""))</f>
        <v/>
      </c>
    </row>
    <row r="259" customFormat="false" ht="15" hidden="false" customHeight="false" outlineLevel="0" collapsed="false">
      <c r="A259" s="70"/>
      <c r="B259" s="81" t="str">
        <f aca="false">IF(C259="","",IFERROR(INDEX(식자재단가!$B$4:$B$203,MATCH(C259,식자재단가!$C$4:$C$203,0)),""))</f>
        <v/>
      </c>
      <c r="C259" s="80"/>
      <c r="D259" s="59" t="str">
        <f aca="false">IF(C259="","",IFERROR(INDEX(식자재단가!$F$4:$F$203,MATCH(C259,식자재단가!$C$4:$C$203,0)),""))</f>
        <v/>
      </c>
      <c r="E259" s="84" t="n">
        <f aca="false">IF(C259="",0,IFERROR(INDEX(식자재단가!$G$4:$G$203,MATCH(C259,식자재단가!$C$4:$C$203,0)),0))</f>
        <v>0</v>
      </c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1" t="n">
        <f aca="false">N(INDEX(F259:R259,1,기본설정!$C$5+1))</f>
        <v>0</v>
      </c>
      <c r="T259" s="28" t="n">
        <f aca="false">S259*E259</f>
        <v>0</v>
      </c>
      <c r="U259" s="71" t="n">
        <f aca="false">N(INDEX(F259:R259,1,기본설정!$C$5))</f>
        <v>0</v>
      </c>
      <c r="V259" s="28" t="n">
        <f aca="false">U259*E259</f>
        <v>0</v>
      </c>
      <c r="W259" s="59" t="str">
        <f aca="false">IF(B259="","",IFERROR(INDEX(기본설정!$H$4:$H$14,MATCH(B259,기본설정!$G$4:$G$14,0)),""))</f>
        <v/>
      </c>
    </row>
    <row r="260" customFormat="false" ht="15" hidden="false" customHeight="false" outlineLevel="0" collapsed="false">
      <c r="A260" s="70"/>
      <c r="B260" s="81" t="str">
        <f aca="false">IF(C260="","",IFERROR(INDEX(식자재단가!$B$4:$B$203,MATCH(C260,식자재단가!$C$4:$C$203,0)),""))</f>
        <v/>
      </c>
      <c r="C260" s="80"/>
      <c r="D260" s="59" t="str">
        <f aca="false">IF(C260="","",IFERROR(INDEX(식자재단가!$F$4:$F$203,MATCH(C260,식자재단가!$C$4:$C$203,0)),""))</f>
        <v/>
      </c>
      <c r="E260" s="84" t="n">
        <f aca="false">IF(C260="",0,IFERROR(INDEX(식자재단가!$G$4:$G$203,MATCH(C260,식자재단가!$C$4:$C$203,0)),0))</f>
        <v>0</v>
      </c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1" t="n">
        <f aca="false">N(INDEX(F260:R260,1,기본설정!$C$5+1))</f>
        <v>0</v>
      </c>
      <c r="T260" s="28" t="n">
        <f aca="false">S260*E260</f>
        <v>0</v>
      </c>
      <c r="U260" s="71" t="n">
        <f aca="false">N(INDEX(F260:R260,1,기본설정!$C$5))</f>
        <v>0</v>
      </c>
      <c r="V260" s="28" t="n">
        <f aca="false">U260*E260</f>
        <v>0</v>
      </c>
      <c r="W260" s="59" t="str">
        <f aca="false">IF(B260="","",IFERROR(INDEX(기본설정!$H$4:$H$14,MATCH(B260,기본설정!$G$4:$G$14,0)),""))</f>
        <v/>
      </c>
    </row>
    <row r="261" customFormat="false" ht="15" hidden="false" customHeight="false" outlineLevel="0" collapsed="false">
      <c r="A261" s="70"/>
      <c r="B261" s="81" t="str">
        <f aca="false">IF(C261="","",IFERROR(INDEX(식자재단가!$B$4:$B$203,MATCH(C261,식자재단가!$C$4:$C$203,0)),""))</f>
        <v/>
      </c>
      <c r="C261" s="80"/>
      <c r="D261" s="59" t="str">
        <f aca="false">IF(C261="","",IFERROR(INDEX(식자재단가!$F$4:$F$203,MATCH(C261,식자재단가!$C$4:$C$203,0)),""))</f>
        <v/>
      </c>
      <c r="E261" s="84" t="n">
        <f aca="false">IF(C261="",0,IFERROR(INDEX(식자재단가!$G$4:$G$203,MATCH(C261,식자재단가!$C$4:$C$203,0)),0))</f>
        <v>0</v>
      </c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1" t="n">
        <f aca="false">N(INDEX(F261:R261,1,기본설정!$C$5+1))</f>
        <v>0</v>
      </c>
      <c r="T261" s="28" t="n">
        <f aca="false">S261*E261</f>
        <v>0</v>
      </c>
      <c r="U261" s="71" t="n">
        <f aca="false">N(INDEX(F261:R261,1,기본설정!$C$5))</f>
        <v>0</v>
      </c>
      <c r="V261" s="28" t="n">
        <f aca="false">U261*E261</f>
        <v>0</v>
      </c>
      <c r="W261" s="59" t="str">
        <f aca="false">IF(B261="","",IFERROR(INDEX(기본설정!$H$4:$H$14,MATCH(B261,기본설정!$G$4:$G$14,0)),""))</f>
        <v/>
      </c>
    </row>
    <row r="262" customFormat="false" ht="15" hidden="false" customHeight="false" outlineLevel="0" collapsed="false">
      <c r="A262" s="70"/>
      <c r="B262" s="81" t="str">
        <f aca="false">IF(C262="","",IFERROR(INDEX(식자재단가!$B$4:$B$203,MATCH(C262,식자재단가!$C$4:$C$203,0)),""))</f>
        <v/>
      </c>
      <c r="C262" s="80"/>
      <c r="D262" s="59" t="str">
        <f aca="false">IF(C262="","",IFERROR(INDEX(식자재단가!$F$4:$F$203,MATCH(C262,식자재단가!$C$4:$C$203,0)),""))</f>
        <v/>
      </c>
      <c r="E262" s="84" t="n">
        <f aca="false">IF(C262="",0,IFERROR(INDEX(식자재단가!$G$4:$G$203,MATCH(C262,식자재단가!$C$4:$C$203,0)),0))</f>
        <v>0</v>
      </c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1" t="n">
        <f aca="false">N(INDEX(F262:R262,1,기본설정!$C$5+1))</f>
        <v>0</v>
      </c>
      <c r="T262" s="28" t="n">
        <f aca="false">S262*E262</f>
        <v>0</v>
      </c>
      <c r="U262" s="71" t="n">
        <f aca="false">N(INDEX(F262:R262,1,기본설정!$C$5))</f>
        <v>0</v>
      </c>
      <c r="V262" s="28" t="n">
        <f aca="false">U262*E262</f>
        <v>0</v>
      </c>
      <c r="W262" s="59" t="str">
        <f aca="false">IF(B262="","",IFERROR(INDEX(기본설정!$H$4:$H$14,MATCH(B262,기본설정!$G$4:$G$14,0)),""))</f>
        <v/>
      </c>
    </row>
    <row r="263" customFormat="false" ht="15" hidden="false" customHeight="false" outlineLevel="0" collapsed="false">
      <c r="A263" s="70"/>
      <c r="B263" s="81" t="str">
        <f aca="false">IF(C263="","",IFERROR(INDEX(식자재단가!$B$4:$B$203,MATCH(C263,식자재단가!$C$4:$C$203,0)),""))</f>
        <v/>
      </c>
      <c r="C263" s="80"/>
      <c r="D263" s="59" t="str">
        <f aca="false">IF(C263="","",IFERROR(INDEX(식자재단가!$F$4:$F$203,MATCH(C263,식자재단가!$C$4:$C$203,0)),""))</f>
        <v/>
      </c>
      <c r="E263" s="84" t="n">
        <f aca="false">IF(C263="",0,IFERROR(INDEX(식자재단가!$G$4:$G$203,MATCH(C263,식자재단가!$C$4:$C$203,0)),0))</f>
        <v>0</v>
      </c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1" t="n">
        <f aca="false">N(INDEX(F263:R263,1,기본설정!$C$5+1))</f>
        <v>0</v>
      </c>
      <c r="T263" s="28" t="n">
        <f aca="false">S263*E263</f>
        <v>0</v>
      </c>
      <c r="U263" s="71" t="n">
        <f aca="false">N(INDEX(F263:R263,1,기본설정!$C$5))</f>
        <v>0</v>
      </c>
      <c r="V263" s="28" t="n">
        <f aca="false">U263*E263</f>
        <v>0</v>
      </c>
      <c r="W263" s="59" t="str">
        <f aca="false">IF(B263="","",IFERROR(INDEX(기본설정!$H$4:$H$14,MATCH(B263,기본설정!$G$4:$G$14,0)),""))</f>
        <v/>
      </c>
    </row>
    <row r="264" customFormat="false" ht="15" hidden="false" customHeight="false" outlineLevel="0" collapsed="false">
      <c r="A264" s="70"/>
      <c r="B264" s="81" t="str">
        <f aca="false">IF(C264="","",IFERROR(INDEX(식자재단가!$B$4:$B$203,MATCH(C264,식자재단가!$C$4:$C$203,0)),""))</f>
        <v/>
      </c>
      <c r="C264" s="80"/>
      <c r="D264" s="59" t="str">
        <f aca="false">IF(C264="","",IFERROR(INDEX(식자재단가!$F$4:$F$203,MATCH(C264,식자재단가!$C$4:$C$203,0)),""))</f>
        <v/>
      </c>
      <c r="E264" s="84" t="n">
        <f aca="false">IF(C264="",0,IFERROR(INDEX(식자재단가!$G$4:$G$203,MATCH(C264,식자재단가!$C$4:$C$203,0)),0))</f>
        <v>0</v>
      </c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1" t="n">
        <f aca="false">N(INDEX(F264:R264,1,기본설정!$C$5+1))</f>
        <v>0</v>
      </c>
      <c r="T264" s="28" t="n">
        <f aca="false">S264*E264</f>
        <v>0</v>
      </c>
      <c r="U264" s="71" t="n">
        <f aca="false">N(INDEX(F264:R264,1,기본설정!$C$5))</f>
        <v>0</v>
      </c>
      <c r="V264" s="28" t="n">
        <f aca="false">U264*E264</f>
        <v>0</v>
      </c>
      <c r="W264" s="59" t="str">
        <f aca="false">IF(B264="","",IFERROR(INDEX(기본설정!$H$4:$H$14,MATCH(B264,기본설정!$G$4:$G$14,0)),""))</f>
        <v/>
      </c>
    </row>
    <row r="265" customFormat="false" ht="15" hidden="false" customHeight="false" outlineLevel="0" collapsed="false">
      <c r="A265" s="70"/>
      <c r="B265" s="81" t="str">
        <f aca="false">IF(C265="","",IFERROR(INDEX(식자재단가!$B$4:$B$203,MATCH(C265,식자재단가!$C$4:$C$203,0)),""))</f>
        <v/>
      </c>
      <c r="C265" s="80"/>
      <c r="D265" s="59" t="str">
        <f aca="false">IF(C265="","",IFERROR(INDEX(식자재단가!$F$4:$F$203,MATCH(C265,식자재단가!$C$4:$C$203,0)),""))</f>
        <v/>
      </c>
      <c r="E265" s="84" t="n">
        <f aca="false">IF(C265="",0,IFERROR(INDEX(식자재단가!$G$4:$G$203,MATCH(C265,식자재단가!$C$4:$C$203,0)),0))</f>
        <v>0</v>
      </c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1" t="n">
        <f aca="false">N(INDEX(F265:R265,1,기본설정!$C$5+1))</f>
        <v>0</v>
      </c>
      <c r="T265" s="28" t="n">
        <f aca="false">S265*E265</f>
        <v>0</v>
      </c>
      <c r="U265" s="71" t="n">
        <f aca="false">N(INDEX(F265:R265,1,기본설정!$C$5))</f>
        <v>0</v>
      </c>
      <c r="V265" s="28" t="n">
        <f aca="false">U265*E265</f>
        <v>0</v>
      </c>
      <c r="W265" s="59" t="str">
        <f aca="false">IF(B265="","",IFERROR(INDEX(기본설정!$H$4:$H$14,MATCH(B265,기본설정!$G$4:$G$14,0)),""))</f>
        <v/>
      </c>
    </row>
    <row r="266" customFormat="false" ht="15" hidden="false" customHeight="false" outlineLevel="0" collapsed="false">
      <c r="A266" s="70"/>
      <c r="B266" s="81" t="str">
        <f aca="false">IF(C266="","",IFERROR(INDEX(식자재단가!$B$4:$B$203,MATCH(C266,식자재단가!$C$4:$C$203,0)),""))</f>
        <v/>
      </c>
      <c r="C266" s="80"/>
      <c r="D266" s="59" t="str">
        <f aca="false">IF(C266="","",IFERROR(INDEX(식자재단가!$F$4:$F$203,MATCH(C266,식자재단가!$C$4:$C$203,0)),""))</f>
        <v/>
      </c>
      <c r="E266" s="84" t="n">
        <f aca="false">IF(C266="",0,IFERROR(INDEX(식자재단가!$G$4:$G$203,MATCH(C266,식자재단가!$C$4:$C$203,0)),0))</f>
        <v>0</v>
      </c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1" t="n">
        <f aca="false">N(INDEX(F266:R266,1,기본설정!$C$5+1))</f>
        <v>0</v>
      </c>
      <c r="T266" s="28" t="n">
        <f aca="false">S266*E266</f>
        <v>0</v>
      </c>
      <c r="U266" s="71" t="n">
        <f aca="false">N(INDEX(F266:R266,1,기본설정!$C$5))</f>
        <v>0</v>
      </c>
      <c r="V266" s="28" t="n">
        <f aca="false">U266*E266</f>
        <v>0</v>
      </c>
      <c r="W266" s="59" t="str">
        <f aca="false">IF(B266="","",IFERROR(INDEX(기본설정!$H$4:$H$14,MATCH(B266,기본설정!$G$4:$G$14,0)),""))</f>
        <v/>
      </c>
    </row>
    <row r="267" customFormat="false" ht="15" hidden="false" customHeight="false" outlineLevel="0" collapsed="false">
      <c r="A267" s="70"/>
      <c r="B267" s="81" t="str">
        <f aca="false">IF(C267="","",IFERROR(INDEX(식자재단가!$B$4:$B$203,MATCH(C267,식자재단가!$C$4:$C$203,0)),""))</f>
        <v/>
      </c>
      <c r="C267" s="80"/>
      <c r="D267" s="59" t="str">
        <f aca="false">IF(C267="","",IFERROR(INDEX(식자재단가!$F$4:$F$203,MATCH(C267,식자재단가!$C$4:$C$203,0)),""))</f>
        <v/>
      </c>
      <c r="E267" s="84" t="n">
        <f aca="false">IF(C267="",0,IFERROR(INDEX(식자재단가!$G$4:$G$203,MATCH(C267,식자재단가!$C$4:$C$203,0)),0))</f>
        <v>0</v>
      </c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1" t="n">
        <f aca="false">N(INDEX(F267:R267,1,기본설정!$C$5+1))</f>
        <v>0</v>
      </c>
      <c r="T267" s="28" t="n">
        <f aca="false">S267*E267</f>
        <v>0</v>
      </c>
      <c r="U267" s="71" t="n">
        <f aca="false">N(INDEX(F267:R267,1,기본설정!$C$5))</f>
        <v>0</v>
      </c>
      <c r="V267" s="28" t="n">
        <f aca="false">U267*E267</f>
        <v>0</v>
      </c>
      <c r="W267" s="59" t="str">
        <f aca="false">IF(B267="","",IFERROR(INDEX(기본설정!$H$4:$H$14,MATCH(B267,기본설정!$G$4:$G$14,0)),""))</f>
        <v/>
      </c>
    </row>
    <row r="268" customFormat="false" ht="15" hidden="false" customHeight="false" outlineLevel="0" collapsed="false">
      <c r="A268" s="70"/>
      <c r="B268" s="81" t="str">
        <f aca="false">IF(C268="","",IFERROR(INDEX(식자재단가!$B$4:$B$203,MATCH(C268,식자재단가!$C$4:$C$203,0)),""))</f>
        <v/>
      </c>
      <c r="C268" s="80"/>
      <c r="D268" s="59" t="str">
        <f aca="false">IF(C268="","",IFERROR(INDEX(식자재단가!$F$4:$F$203,MATCH(C268,식자재단가!$C$4:$C$203,0)),""))</f>
        <v/>
      </c>
      <c r="E268" s="84" t="n">
        <f aca="false">IF(C268="",0,IFERROR(INDEX(식자재단가!$G$4:$G$203,MATCH(C268,식자재단가!$C$4:$C$203,0)),0))</f>
        <v>0</v>
      </c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1" t="n">
        <f aca="false">N(INDEX(F268:R268,1,기본설정!$C$5+1))</f>
        <v>0</v>
      </c>
      <c r="T268" s="28" t="n">
        <f aca="false">S268*E268</f>
        <v>0</v>
      </c>
      <c r="U268" s="71" t="n">
        <f aca="false">N(INDEX(F268:R268,1,기본설정!$C$5))</f>
        <v>0</v>
      </c>
      <c r="V268" s="28" t="n">
        <f aca="false">U268*E268</f>
        <v>0</v>
      </c>
      <c r="W268" s="59" t="str">
        <f aca="false">IF(B268="","",IFERROR(INDEX(기본설정!$H$4:$H$14,MATCH(B268,기본설정!$G$4:$G$14,0)),""))</f>
        <v/>
      </c>
    </row>
    <row r="269" customFormat="false" ht="15" hidden="false" customHeight="false" outlineLevel="0" collapsed="false">
      <c r="A269" s="70"/>
      <c r="B269" s="81" t="str">
        <f aca="false">IF(C269="","",IFERROR(INDEX(식자재단가!$B$4:$B$203,MATCH(C269,식자재단가!$C$4:$C$203,0)),""))</f>
        <v/>
      </c>
      <c r="C269" s="80"/>
      <c r="D269" s="59" t="str">
        <f aca="false">IF(C269="","",IFERROR(INDEX(식자재단가!$F$4:$F$203,MATCH(C269,식자재단가!$C$4:$C$203,0)),""))</f>
        <v/>
      </c>
      <c r="E269" s="84" t="n">
        <f aca="false">IF(C269="",0,IFERROR(INDEX(식자재단가!$G$4:$G$203,MATCH(C269,식자재단가!$C$4:$C$203,0)),0))</f>
        <v>0</v>
      </c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1" t="n">
        <f aca="false">N(INDEX(F269:R269,1,기본설정!$C$5+1))</f>
        <v>0</v>
      </c>
      <c r="T269" s="28" t="n">
        <f aca="false">S269*E269</f>
        <v>0</v>
      </c>
      <c r="U269" s="71" t="n">
        <f aca="false">N(INDEX(F269:R269,1,기본설정!$C$5))</f>
        <v>0</v>
      </c>
      <c r="V269" s="28" t="n">
        <f aca="false">U269*E269</f>
        <v>0</v>
      </c>
      <c r="W269" s="59" t="str">
        <f aca="false">IF(B269="","",IFERROR(INDEX(기본설정!$H$4:$H$14,MATCH(B269,기본설정!$G$4:$G$14,0)),""))</f>
        <v/>
      </c>
    </row>
    <row r="270" customFormat="false" ht="15" hidden="false" customHeight="false" outlineLevel="0" collapsed="false">
      <c r="A270" s="70"/>
      <c r="B270" s="81" t="str">
        <f aca="false">IF(C270="","",IFERROR(INDEX(식자재단가!$B$4:$B$203,MATCH(C270,식자재단가!$C$4:$C$203,0)),""))</f>
        <v/>
      </c>
      <c r="C270" s="80"/>
      <c r="D270" s="59" t="str">
        <f aca="false">IF(C270="","",IFERROR(INDEX(식자재단가!$F$4:$F$203,MATCH(C270,식자재단가!$C$4:$C$203,0)),""))</f>
        <v/>
      </c>
      <c r="E270" s="84" t="n">
        <f aca="false">IF(C270="",0,IFERROR(INDEX(식자재단가!$G$4:$G$203,MATCH(C270,식자재단가!$C$4:$C$203,0)),0))</f>
        <v>0</v>
      </c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1" t="n">
        <f aca="false">N(INDEX(F270:R270,1,기본설정!$C$5+1))</f>
        <v>0</v>
      </c>
      <c r="T270" s="28" t="n">
        <f aca="false">S270*E270</f>
        <v>0</v>
      </c>
      <c r="U270" s="71" t="n">
        <f aca="false">N(INDEX(F270:R270,1,기본설정!$C$5))</f>
        <v>0</v>
      </c>
      <c r="V270" s="28" t="n">
        <f aca="false">U270*E270</f>
        <v>0</v>
      </c>
      <c r="W270" s="59" t="str">
        <f aca="false">IF(B270="","",IFERROR(INDEX(기본설정!$H$4:$H$14,MATCH(B270,기본설정!$G$4:$G$14,0)),""))</f>
        <v/>
      </c>
    </row>
    <row r="271" customFormat="false" ht="15" hidden="false" customHeight="false" outlineLevel="0" collapsed="false">
      <c r="A271" s="70"/>
      <c r="B271" s="81" t="str">
        <f aca="false">IF(C271="","",IFERROR(INDEX(식자재단가!$B$4:$B$203,MATCH(C271,식자재단가!$C$4:$C$203,0)),""))</f>
        <v/>
      </c>
      <c r="C271" s="80"/>
      <c r="D271" s="59" t="str">
        <f aca="false">IF(C271="","",IFERROR(INDEX(식자재단가!$F$4:$F$203,MATCH(C271,식자재단가!$C$4:$C$203,0)),""))</f>
        <v/>
      </c>
      <c r="E271" s="84" t="n">
        <f aca="false">IF(C271="",0,IFERROR(INDEX(식자재단가!$G$4:$G$203,MATCH(C271,식자재단가!$C$4:$C$203,0)),0))</f>
        <v>0</v>
      </c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1" t="n">
        <f aca="false">N(INDEX(F271:R271,1,기본설정!$C$5+1))</f>
        <v>0</v>
      </c>
      <c r="T271" s="28" t="n">
        <f aca="false">S271*E271</f>
        <v>0</v>
      </c>
      <c r="U271" s="71" t="n">
        <f aca="false">N(INDEX(F271:R271,1,기본설정!$C$5))</f>
        <v>0</v>
      </c>
      <c r="V271" s="28" t="n">
        <f aca="false">U271*E271</f>
        <v>0</v>
      </c>
      <c r="W271" s="59" t="str">
        <f aca="false">IF(B271="","",IFERROR(INDEX(기본설정!$H$4:$H$14,MATCH(B271,기본설정!$G$4:$G$14,0)),""))</f>
        <v/>
      </c>
    </row>
    <row r="272" customFormat="false" ht="15" hidden="false" customHeight="false" outlineLevel="0" collapsed="false">
      <c r="A272" s="70"/>
      <c r="B272" s="81" t="str">
        <f aca="false">IF(C272="","",IFERROR(INDEX(식자재단가!$B$4:$B$203,MATCH(C272,식자재단가!$C$4:$C$203,0)),""))</f>
        <v/>
      </c>
      <c r="C272" s="80"/>
      <c r="D272" s="59" t="str">
        <f aca="false">IF(C272="","",IFERROR(INDEX(식자재단가!$F$4:$F$203,MATCH(C272,식자재단가!$C$4:$C$203,0)),""))</f>
        <v/>
      </c>
      <c r="E272" s="84" t="n">
        <f aca="false">IF(C272="",0,IFERROR(INDEX(식자재단가!$G$4:$G$203,MATCH(C272,식자재단가!$C$4:$C$203,0)),0))</f>
        <v>0</v>
      </c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1" t="n">
        <f aca="false">N(INDEX(F272:R272,1,기본설정!$C$5+1))</f>
        <v>0</v>
      </c>
      <c r="T272" s="28" t="n">
        <f aca="false">S272*E272</f>
        <v>0</v>
      </c>
      <c r="U272" s="71" t="n">
        <f aca="false">N(INDEX(F272:R272,1,기본설정!$C$5))</f>
        <v>0</v>
      </c>
      <c r="V272" s="28" t="n">
        <f aca="false">U272*E272</f>
        <v>0</v>
      </c>
      <c r="W272" s="59" t="str">
        <f aca="false">IF(B272="","",IFERROR(INDEX(기본설정!$H$4:$H$14,MATCH(B272,기본설정!$G$4:$G$14,0)),""))</f>
        <v/>
      </c>
    </row>
    <row r="273" customFormat="false" ht="15" hidden="false" customHeight="false" outlineLevel="0" collapsed="false">
      <c r="A273" s="70"/>
      <c r="B273" s="81" t="str">
        <f aca="false">IF(C273="","",IFERROR(INDEX(식자재단가!$B$4:$B$203,MATCH(C273,식자재단가!$C$4:$C$203,0)),""))</f>
        <v/>
      </c>
      <c r="C273" s="80"/>
      <c r="D273" s="59" t="str">
        <f aca="false">IF(C273="","",IFERROR(INDEX(식자재단가!$F$4:$F$203,MATCH(C273,식자재단가!$C$4:$C$203,0)),""))</f>
        <v/>
      </c>
      <c r="E273" s="84" t="n">
        <f aca="false">IF(C273="",0,IFERROR(INDEX(식자재단가!$G$4:$G$203,MATCH(C273,식자재단가!$C$4:$C$203,0)),0))</f>
        <v>0</v>
      </c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1" t="n">
        <f aca="false">N(INDEX(F273:R273,1,기본설정!$C$5+1))</f>
        <v>0</v>
      </c>
      <c r="T273" s="28" t="n">
        <f aca="false">S273*E273</f>
        <v>0</v>
      </c>
      <c r="U273" s="71" t="n">
        <f aca="false">N(INDEX(F273:R273,1,기본설정!$C$5))</f>
        <v>0</v>
      </c>
      <c r="V273" s="28" t="n">
        <f aca="false">U273*E273</f>
        <v>0</v>
      </c>
      <c r="W273" s="59" t="str">
        <f aca="false">IF(B273="","",IFERROR(INDEX(기본설정!$H$4:$H$14,MATCH(B273,기본설정!$G$4:$G$14,0)),""))</f>
        <v/>
      </c>
    </row>
    <row r="274" customFormat="false" ht="15" hidden="false" customHeight="false" outlineLevel="0" collapsed="false">
      <c r="A274" s="70"/>
      <c r="B274" s="81" t="str">
        <f aca="false">IF(C274="","",IFERROR(INDEX(식자재단가!$B$4:$B$203,MATCH(C274,식자재단가!$C$4:$C$203,0)),""))</f>
        <v/>
      </c>
      <c r="C274" s="80"/>
      <c r="D274" s="59" t="str">
        <f aca="false">IF(C274="","",IFERROR(INDEX(식자재단가!$F$4:$F$203,MATCH(C274,식자재단가!$C$4:$C$203,0)),""))</f>
        <v/>
      </c>
      <c r="E274" s="84" t="n">
        <f aca="false">IF(C274="",0,IFERROR(INDEX(식자재단가!$G$4:$G$203,MATCH(C274,식자재단가!$C$4:$C$203,0)),0))</f>
        <v>0</v>
      </c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1" t="n">
        <f aca="false">N(INDEX(F274:R274,1,기본설정!$C$5+1))</f>
        <v>0</v>
      </c>
      <c r="T274" s="28" t="n">
        <f aca="false">S274*E274</f>
        <v>0</v>
      </c>
      <c r="U274" s="71" t="n">
        <f aca="false">N(INDEX(F274:R274,1,기본설정!$C$5))</f>
        <v>0</v>
      </c>
      <c r="V274" s="28" t="n">
        <f aca="false">U274*E274</f>
        <v>0</v>
      </c>
      <c r="W274" s="59" t="str">
        <f aca="false">IF(B274="","",IFERROR(INDEX(기본설정!$H$4:$H$14,MATCH(B274,기본설정!$G$4:$G$14,0)),""))</f>
        <v/>
      </c>
    </row>
    <row r="275" customFormat="false" ht="15" hidden="false" customHeight="false" outlineLevel="0" collapsed="false">
      <c r="A275" s="70"/>
      <c r="B275" s="81" t="str">
        <f aca="false">IF(C275="","",IFERROR(INDEX(식자재단가!$B$4:$B$203,MATCH(C275,식자재단가!$C$4:$C$203,0)),""))</f>
        <v/>
      </c>
      <c r="C275" s="80"/>
      <c r="D275" s="59" t="str">
        <f aca="false">IF(C275="","",IFERROR(INDEX(식자재단가!$F$4:$F$203,MATCH(C275,식자재단가!$C$4:$C$203,0)),""))</f>
        <v/>
      </c>
      <c r="E275" s="84" t="n">
        <f aca="false">IF(C275="",0,IFERROR(INDEX(식자재단가!$G$4:$G$203,MATCH(C275,식자재단가!$C$4:$C$203,0)),0))</f>
        <v>0</v>
      </c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1" t="n">
        <f aca="false">N(INDEX(F275:R275,1,기본설정!$C$5+1))</f>
        <v>0</v>
      </c>
      <c r="T275" s="28" t="n">
        <f aca="false">S275*E275</f>
        <v>0</v>
      </c>
      <c r="U275" s="71" t="n">
        <f aca="false">N(INDEX(F275:R275,1,기본설정!$C$5))</f>
        <v>0</v>
      </c>
      <c r="V275" s="28" t="n">
        <f aca="false">U275*E275</f>
        <v>0</v>
      </c>
      <c r="W275" s="59" t="str">
        <f aca="false">IF(B275="","",IFERROR(INDEX(기본설정!$H$4:$H$14,MATCH(B275,기본설정!$G$4:$G$14,0)),""))</f>
        <v/>
      </c>
    </row>
    <row r="276" customFormat="false" ht="15" hidden="false" customHeight="false" outlineLevel="0" collapsed="false">
      <c r="A276" s="70"/>
      <c r="B276" s="81" t="str">
        <f aca="false">IF(C276="","",IFERROR(INDEX(식자재단가!$B$4:$B$203,MATCH(C276,식자재단가!$C$4:$C$203,0)),""))</f>
        <v/>
      </c>
      <c r="C276" s="80"/>
      <c r="D276" s="59" t="str">
        <f aca="false">IF(C276="","",IFERROR(INDEX(식자재단가!$F$4:$F$203,MATCH(C276,식자재단가!$C$4:$C$203,0)),""))</f>
        <v/>
      </c>
      <c r="E276" s="84" t="n">
        <f aca="false">IF(C276="",0,IFERROR(INDEX(식자재단가!$G$4:$G$203,MATCH(C276,식자재단가!$C$4:$C$203,0)),0))</f>
        <v>0</v>
      </c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1" t="n">
        <f aca="false">N(INDEX(F276:R276,1,기본설정!$C$5+1))</f>
        <v>0</v>
      </c>
      <c r="T276" s="28" t="n">
        <f aca="false">S276*E276</f>
        <v>0</v>
      </c>
      <c r="U276" s="71" t="n">
        <f aca="false">N(INDEX(F276:R276,1,기본설정!$C$5))</f>
        <v>0</v>
      </c>
      <c r="V276" s="28" t="n">
        <f aca="false">U276*E276</f>
        <v>0</v>
      </c>
      <c r="W276" s="59" t="str">
        <f aca="false">IF(B276="","",IFERROR(INDEX(기본설정!$H$4:$H$14,MATCH(B276,기본설정!$G$4:$G$14,0)),""))</f>
        <v/>
      </c>
    </row>
    <row r="277" customFormat="false" ht="15" hidden="false" customHeight="false" outlineLevel="0" collapsed="false">
      <c r="A277" s="70"/>
      <c r="B277" s="81" t="str">
        <f aca="false">IF(C277="","",IFERROR(INDEX(식자재단가!$B$4:$B$203,MATCH(C277,식자재단가!$C$4:$C$203,0)),""))</f>
        <v/>
      </c>
      <c r="C277" s="80"/>
      <c r="D277" s="59" t="str">
        <f aca="false">IF(C277="","",IFERROR(INDEX(식자재단가!$F$4:$F$203,MATCH(C277,식자재단가!$C$4:$C$203,0)),""))</f>
        <v/>
      </c>
      <c r="E277" s="84" t="n">
        <f aca="false">IF(C277="",0,IFERROR(INDEX(식자재단가!$G$4:$G$203,MATCH(C277,식자재단가!$C$4:$C$203,0)),0))</f>
        <v>0</v>
      </c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1" t="n">
        <f aca="false">N(INDEX(F277:R277,1,기본설정!$C$5+1))</f>
        <v>0</v>
      </c>
      <c r="T277" s="28" t="n">
        <f aca="false">S277*E277</f>
        <v>0</v>
      </c>
      <c r="U277" s="71" t="n">
        <f aca="false">N(INDEX(F277:R277,1,기본설정!$C$5))</f>
        <v>0</v>
      </c>
      <c r="V277" s="28" t="n">
        <f aca="false">U277*E277</f>
        <v>0</v>
      </c>
      <c r="W277" s="59" t="str">
        <f aca="false">IF(B277="","",IFERROR(INDEX(기본설정!$H$4:$H$14,MATCH(B277,기본설정!$G$4:$G$14,0)),""))</f>
        <v/>
      </c>
    </row>
    <row r="278" customFormat="false" ht="15" hidden="false" customHeight="false" outlineLevel="0" collapsed="false">
      <c r="A278" s="70"/>
      <c r="B278" s="81" t="str">
        <f aca="false">IF(C278="","",IFERROR(INDEX(식자재단가!$B$4:$B$203,MATCH(C278,식자재단가!$C$4:$C$203,0)),""))</f>
        <v/>
      </c>
      <c r="C278" s="80"/>
      <c r="D278" s="59" t="str">
        <f aca="false">IF(C278="","",IFERROR(INDEX(식자재단가!$F$4:$F$203,MATCH(C278,식자재단가!$C$4:$C$203,0)),""))</f>
        <v/>
      </c>
      <c r="E278" s="84" t="n">
        <f aca="false">IF(C278="",0,IFERROR(INDEX(식자재단가!$G$4:$G$203,MATCH(C278,식자재단가!$C$4:$C$203,0)),0))</f>
        <v>0</v>
      </c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1" t="n">
        <f aca="false">N(INDEX(F278:R278,1,기본설정!$C$5+1))</f>
        <v>0</v>
      </c>
      <c r="T278" s="28" t="n">
        <f aca="false">S278*E278</f>
        <v>0</v>
      </c>
      <c r="U278" s="71" t="n">
        <f aca="false">N(INDEX(F278:R278,1,기본설정!$C$5))</f>
        <v>0</v>
      </c>
      <c r="V278" s="28" t="n">
        <f aca="false">U278*E278</f>
        <v>0</v>
      </c>
      <c r="W278" s="59" t="str">
        <f aca="false">IF(B278="","",IFERROR(INDEX(기본설정!$H$4:$H$14,MATCH(B278,기본설정!$G$4:$G$14,0)),""))</f>
        <v/>
      </c>
    </row>
    <row r="279" customFormat="false" ht="15" hidden="false" customHeight="false" outlineLevel="0" collapsed="false">
      <c r="A279" s="70"/>
      <c r="B279" s="81" t="str">
        <f aca="false">IF(C279="","",IFERROR(INDEX(식자재단가!$B$4:$B$203,MATCH(C279,식자재단가!$C$4:$C$203,0)),""))</f>
        <v/>
      </c>
      <c r="C279" s="80"/>
      <c r="D279" s="59" t="str">
        <f aca="false">IF(C279="","",IFERROR(INDEX(식자재단가!$F$4:$F$203,MATCH(C279,식자재단가!$C$4:$C$203,0)),""))</f>
        <v/>
      </c>
      <c r="E279" s="84" t="n">
        <f aca="false">IF(C279="",0,IFERROR(INDEX(식자재단가!$G$4:$G$203,MATCH(C279,식자재단가!$C$4:$C$203,0)),0))</f>
        <v>0</v>
      </c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1" t="n">
        <f aca="false">N(INDEX(F279:R279,1,기본설정!$C$5+1))</f>
        <v>0</v>
      </c>
      <c r="T279" s="28" t="n">
        <f aca="false">S279*E279</f>
        <v>0</v>
      </c>
      <c r="U279" s="71" t="n">
        <f aca="false">N(INDEX(F279:R279,1,기본설정!$C$5))</f>
        <v>0</v>
      </c>
      <c r="V279" s="28" t="n">
        <f aca="false">U279*E279</f>
        <v>0</v>
      </c>
      <c r="W279" s="59" t="str">
        <f aca="false">IF(B279="","",IFERROR(INDEX(기본설정!$H$4:$H$14,MATCH(B279,기본설정!$G$4:$G$14,0)),""))</f>
        <v/>
      </c>
    </row>
    <row r="280" customFormat="false" ht="15" hidden="false" customHeight="false" outlineLevel="0" collapsed="false">
      <c r="A280" s="70"/>
      <c r="B280" s="81" t="str">
        <f aca="false">IF(C280="","",IFERROR(INDEX(식자재단가!$B$4:$B$203,MATCH(C280,식자재단가!$C$4:$C$203,0)),""))</f>
        <v/>
      </c>
      <c r="C280" s="80"/>
      <c r="D280" s="59" t="str">
        <f aca="false">IF(C280="","",IFERROR(INDEX(식자재단가!$F$4:$F$203,MATCH(C280,식자재단가!$C$4:$C$203,0)),""))</f>
        <v/>
      </c>
      <c r="E280" s="84" t="n">
        <f aca="false">IF(C280="",0,IFERROR(INDEX(식자재단가!$G$4:$G$203,MATCH(C280,식자재단가!$C$4:$C$203,0)),0))</f>
        <v>0</v>
      </c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1" t="n">
        <f aca="false">N(INDEX(F280:R280,1,기본설정!$C$5+1))</f>
        <v>0</v>
      </c>
      <c r="T280" s="28" t="n">
        <f aca="false">S280*E280</f>
        <v>0</v>
      </c>
      <c r="U280" s="71" t="n">
        <f aca="false">N(INDEX(F280:R280,1,기본설정!$C$5))</f>
        <v>0</v>
      </c>
      <c r="V280" s="28" t="n">
        <f aca="false">U280*E280</f>
        <v>0</v>
      </c>
      <c r="W280" s="59" t="str">
        <f aca="false">IF(B280="","",IFERROR(INDEX(기본설정!$H$4:$H$14,MATCH(B280,기본설정!$G$4:$G$14,0)),""))</f>
        <v/>
      </c>
    </row>
    <row r="281" customFormat="false" ht="15" hidden="false" customHeight="false" outlineLevel="0" collapsed="false">
      <c r="A281" s="70"/>
      <c r="B281" s="81" t="str">
        <f aca="false">IF(C281="","",IFERROR(INDEX(식자재단가!$B$4:$B$203,MATCH(C281,식자재단가!$C$4:$C$203,0)),""))</f>
        <v/>
      </c>
      <c r="C281" s="80"/>
      <c r="D281" s="59" t="str">
        <f aca="false">IF(C281="","",IFERROR(INDEX(식자재단가!$F$4:$F$203,MATCH(C281,식자재단가!$C$4:$C$203,0)),""))</f>
        <v/>
      </c>
      <c r="E281" s="84" t="n">
        <f aca="false">IF(C281="",0,IFERROR(INDEX(식자재단가!$G$4:$G$203,MATCH(C281,식자재단가!$C$4:$C$203,0)),0))</f>
        <v>0</v>
      </c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1" t="n">
        <f aca="false">N(INDEX(F281:R281,1,기본설정!$C$5+1))</f>
        <v>0</v>
      </c>
      <c r="T281" s="28" t="n">
        <f aca="false">S281*E281</f>
        <v>0</v>
      </c>
      <c r="U281" s="71" t="n">
        <f aca="false">N(INDEX(F281:R281,1,기본설정!$C$5))</f>
        <v>0</v>
      </c>
      <c r="V281" s="28" t="n">
        <f aca="false">U281*E281</f>
        <v>0</v>
      </c>
      <c r="W281" s="59" t="str">
        <f aca="false">IF(B281="","",IFERROR(INDEX(기본설정!$H$4:$H$14,MATCH(B281,기본설정!$G$4:$G$14,0)),""))</f>
        <v/>
      </c>
    </row>
    <row r="282" customFormat="false" ht="15" hidden="false" customHeight="false" outlineLevel="0" collapsed="false">
      <c r="A282" s="70"/>
      <c r="B282" s="81" t="str">
        <f aca="false">IF(C282="","",IFERROR(INDEX(식자재단가!$B$4:$B$203,MATCH(C282,식자재단가!$C$4:$C$203,0)),""))</f>
        <v/>
      </c>
      <c r="C282" s="80"/>
      <c r="D282" s="59" t="str">
        <f aca="false">IF(C282="","",IFERROR(INDEX(식자재단가!$F$4:$F$203,MATCH(C282,식자재단가!$C$4:$C$203,0)),""))</f>
        <v/>
      </c>
      <c r="E282" s="84" t="n">
        <f aca="false">IF(C282="",0,IFERROR(INDEX(식자재단가!$G$4:$G$203,MATCH(C282,식자재단가!$C$4:$C$203,0)),0))</f>
        <v>0</v>
      </c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1" t="n">
        <f aca="false">N(INDEX(F282:R282,1,기본설정!$C$5+1))</f>
        <v>0</v>
      </c>
      <c r="T282" s="28" t="n">
        <f aca="false">S282*E282</f>
        <v>0</v>
      </c>
      <c r="U282" s="71" t="n">
        <f aca="false">N(INDEX(F282:R282,1,기본설정!$C$5))</f>
        <v>0</v>
      </c>
      <c r="V282" s="28" t="n">
        <f aca="false">U282*E282</f>
        <v>0</v>
      </c>
      <c r="W282" s="59" t="str">
        <f aca="false">IF(B282="","",IFERROR(INDEX(기본설정!$H$4:$H$14,MATCH(B282,기본설정!$G$4:$G$14,0)),""))</f>
        <v/>
      </c>
    </row>
    <row r="283" customFormat="false" ht="15" hidden="false" customHeight="false" outlineLevel="0" collapsed="false">
      <c r="A283" s="70"/>
      <c r="B283" s="81" t="str">
        <f aca="false">IF(C283="","",IFERROR(INDEX(식자재단가!$B$4:$B$203,MATCH(C283,식자재단가!$C$4:$C$203,0)),""))</f>
        <v/>
      </c>
      <c r="C283" s="80"/>
      <c r="D283" s="59" t="str">
        <f aca="false">IF(C283="","",IFERROR(INDEX(식자재단가!$F$4:$F$203,MATCH(C283,식자재단가!$C$4:$C$203,0)),""))</f>
        <v/>
      </c>
      <c r="E283" s="84" t="n">
        <f aca="false">IF(C283="",0,IFERROR(INDEX(식자재단가!$G$4:$G$203,MATCH(C283,식자재단가!$C$4:$C$203,0)),0))</f>
        <v>0</v>
      </c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1" t="n">
        <f aca="false">N(INDEX(F283:R283,1,기본설정!$C$5+1))</f>
        <v>0</v>
      </c>
      <c r="T283" s="28" t="n">
        <f aca="false">S283*E283</f>
        <v>0</v>
      </c>
      <c r="U283" s="71" t="n">
        <f aca="false">N(INDEX(F283:R283,1,기본설정!$C$5))</f>
        <v>0</v>
      </c>
      <c r="V283" s="28" t="n">
        <f aca="false">U283*E283</f>
        <v>0</v>
      </c>
      <c r="W283" s="59" t="str">
        <f aca="false">IF(B283="","",IFERROR(INDEX(기본설정!$H$4:$H$14,MATCH(B283,기본설정!$G$4:$G$14,0)),""))</f>
        <v/>
      </c>
    </row>
    <row r="284" customFormat="false" ht="15" hidden="false" customHeight="false" outlineLevel="0" collapsed="false">
      <c r="A284" s="70"/>
      <c r="B284" s="81" t="str">
        <f aca="false">IF(C284="","",IFERROR(INDEX(식자재단가!$B$4:$B$203,MATCH(C284,식자재단가!$C$4:$C$203,0)),""))</f>
        <v/>
      </c>
      <c r="C284" s="80"/>
      <c r="D284" s="59" t="str">
        <f aca="false">IF(C284="","",IFERROR(INDEX(식자재단가!$F$4:$F$203,MATCH(C284,식자재단가!$C$4:$C$203,0)),""))</f>
        <v/>
      </c>
      <c r="E284" s="84" t="n">
        <f aca="false">IF(C284="",0,IFERROR(INDEX(식자재단가!$G$4:$G$203,MATCH(C284,식자재단가!$C$4:$C$203,0)),0))</f>
        <v>0</v>
      </c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1" t="n">
        <f aca="false">N(INDEX(F284:R284,1,기본설정!$C$5+1))</f>
        <v>0</v>
      </c>
      <c r="T284" s="28" t="n">
        <f aca="false">S284*E284</f>
        <v>0</v>
      </c>
      <c r="U284" s="71" t="n">
        <f aca="false">N(INDEX(F284:R284,1,기본설정!$C$5))</f>
        <v>0</v>
      </c>
      <c r="V284" s="28" t="n">
        <f aca="false">U284*E284</f>
        <v>0</v>
      </c>
      <c r="W284" s="59" t="str">
        <f aca="false">IF(B284="","",IFERROR(INDEX(기본설정!$H$4:$H$14,MATCH(B284,기본설정!$G$4:$G$14,0)),""))</f>
        <v/>
      </c>
    </row>
    <row r="285" customFormat="false" ht="15" hidden="false" customHeight="false" outlineLevel="0" collapsed="false">
      <c r="A285" s="70"/>
      <c r="B285" s="81" t="str">
        <f aca="false">IF(C285="","",IFERROR(INDEX(식자재단가!$B$4:$B$203,MATCH(C285,식자재단가!$C$4:$C$203,0)),""))</f>
        <v/>
      </c>
      <c r="C285" s="80"/>
      <c r="D285" s="59" t="str">
        <f aca="false">IF(C285="","",IFERROR(INDEX(식자재단가!$F$4:$F$203,MATCH(C285,식자재단가!$C$4:$C$203,0)),""))</f>
        <v/>
      </c>
      <c r="E285" s="84" t="n">
        <f aca="false">IF(C285="",0,IFERROR(INDEX(식자재단가!$G$4:$G$203,MATCH(C285,식자재단가!$C$4:$C$203,0)),0))</f>
        <v>0</v>
      </c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1" t="n">
        <f aca="false">N(INDEX(F285:R285,1,기본설정!$C$5+1))</f>
        <v>0</v>
      </c>
      <c r="T285" s="28" t="n">
        <f aca="false">S285*E285</f>
        <v>0</v>
      </c>
      <c r="U285" s="71" t="n">
        <f aca="false">N(INDEX(F285:R285,1,기본설정!$C$5))</f>
        <v>0</v>
      </c>
      <c r="V285" s="28" t="n">
        <f aca="false">U285*E285</f>
        <v>0</v>
      </c>
      <c r="W285" s="59" t="str">
        <f aca="false">IF(B285="","",IFERROR(INDEX(기본설정!$H$4:$H$14,MATCH(B285,기본설정!$G$4:$G$14,0)),""))</f>
        <v/>
      </c>
    </row>
    <row r="286" customFormat="false" ht="15" hidden="false" customHeight="false" outlineLevel="0" collapsed="false">
      <c r="A286" s="70"/>
      <c r="B286" s="81" t="str">
        <f aca="false">IF(C286="","",IFERROR(INDEX(식자재단가!$B$4:$B$203,MATCH(C286,식자재단가!$C$4:$C$203,0)),""))</f>
        <v/>
      </c>
      <c r="C286" s="80"/>
      <c r="D286" s="59" t="str">
        <f aca="false">IF(C286="","",IFERROR(INDEX(식자재단가!$F$4:$F$203,MATCH(C286,식자재단가!$C$4:$C$203,0)),""))</f>
        <v/>
      </c>
      <c r="E286" s="84" t="n">
        <f aca="false">IF(C286="",0,IFERROR(INDEX(식자재단가!$G$4:$G$203,MATCH(C286,식자재단가!$C$4:$C$203,0)),0))</f>
        <v>0</v>
      </c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1" t="n">
        <f aca="false">N(INDEX(F286:R286,1,기본설정!$C$5+1))</f>
        <v>0</v>
      </c>
      <c r="T286" s="28" t="n">
        <f aca="false">S286*E286</f>
        <v>0</v>
      </c>
      <c r="U286" s="71" t="n">
        <f aca="false">N(INDEX(F286:R286,1,기본설정!$C$5))</f>
        <v>0</v>
      </c>
      <c r="V286" s="28" t="n">
        <f aca="false">U286*E286</f>
        <v>0</v>
      </c>
      <c r="W286" s="59" t="str">
        <f aca="false">IF(B286="","",IFERROR(INDEX(기본설정!$H$4:$H$14,MATCH(B286,기본설정!$G$4:$G$14,0)),""))</f>
        <v/>
      </c>
    </row>
    <row r="287" customFormat="false" ht="15" hidden="false" customHeight="false" outlineLevel="0" collapsed="false">
      <c r="A287" s="70"/>
      <c r="B287" s="81" t="str">
        <f aca="false">IF(C287="","",IFERROR(INDEX(식자재단가!$B$4:$B$203,MATCH(C287,식자재단가!$C$4:$C$203,0)),""))</f>
        <v/>
      </c>
      <c r="C287" s="80"/>
      <c r="D287" s="59" t="str">
        <f aca="false">IF(C287="","",IFERROR(INDEX(식자재단가!$F$4:$F$203,MATCH(C287,식자재단가!$C$4:$C$203,0)),""))</f>
        <v/>
      </c>
      <c r="E287" s="84" t="n">
        <f aca="false">IF(C287="",0,IFERROR(INDEX(식자재단가!$G$4:$G$203,MATCH(C287,식자재단가!$C$4:$C$203,0)),0))</f>
        <v>0</v>
      </c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1" t="n">
        <f aca="false">N(INDEX(F287:R287,1,기본설정!$C$5+1))</f>
        <v>0</v>
      </c>
      <c r="T287" s="28" t="n">
        <f aca="false">S287*E287</f>
        <v>0</v>
      </c>
      <c r="U287" s="71" t="n">
        <f aca="false">N(INDEX(F287:R287,1,기본설정!$C$5))</f>
        <v>0</v>
      </c>
      <c r="V287" s="28" t="n">
        <f aca="false">U287*E287</f>
        <v>0</v>
      </c>
      <c r="W287" s="59" t="str">
        <f aca="false">IF(B287="","",IFERROR(INDEX(기본설정!$H$4:$H$14,MATCH(B287,기본설정!$G$4:$G$14,0)),""))</f>
        <v/>
      </c>
    </row>
    <row r="288" customFormat="false" ht="15" hidden="false" customHeight="false" outlineLevel="0" collapsed="false">
      <c r="A288" s="70"/>
      <c r="B288" s="81" t="str">
        <f aca="false">IF(C288="","",IFERROR(INDEX(식자재단가!$B$4:$B$203,MATCH(C288,식자재단가!$C$4:$C$203,0)),""))</f>
        <v/>
      </c>
      <c r="C288" s="80"/>
      <c r="D288" s="59" t="str">
        <f aca="false">IF(C288="","",IFERROR(INDEX(식자재단가!$F$4:$F$203,MATCH(C288,식자재단가!$C$4:$C$203,0)),""))</f>
        <v/>
      </c>
      <c r="E288" s="84" t="n">
        <f aca="false">IF(C288="",0,IFERROR(INDEX(식자재단가!$G$4:$G$203,MATCH(C288,식자재단가!$C$4:$C$203,0)),0))</f>
        <v>0</v>
      </c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1" t="n">
        <f aca="false">N(INDEX(F288:R288,1,기본설정!$C$5+1))</f>
        <v>0</v>
      </c>
      <c r="T288" s="28" t="n">
        <f aca="false">S288*E288</f>
        <v>0</v>
      </c>
      <c r="U288" s="71" t="n">
        <f aca="false">N(INDEX(F288:R288,1,기본설정!$C$5))</f>
        <v>0</v>
      </c>
      <c r="V288" s="28" t="n">
        <f aca="false">U288*E288</f>
        <v>0</v>
      </c>
      <c r="W288" s="59" t="str">
        <f aca="false">IF(B288="","",IFERROR(INDEX(기본설정!$H$4:$H$14,MATCH(B288,기본설정!$G$4:$G$14,0)),""))</f>
        <v/>
      </c>
    </row>
    <row r="289" customFormat="false" ht="15" hidden="false" customHeight="false" outlineLevel="0" collapsed="false">
      <c r="A289" s="70"/>
      <c r="B289" s="81" t="str">
        <f aca="false">IF(C289="","",IFERROR(INDEX(식자재단가!$B$4:$B$203,MATCH(C289,식자재단가!$C$4:$C$203,0)),""))</f>
        <v/>
      </c>
      <c r="C289" s="80"/>
      <c r="D289" s="59" t="str">
        <f aca="false">IF(C289="","",IFERROR(INDEX(식자재단가!$F$4:$F$203,MATCH(C289,식자재단가!$C$4:$C$203,0)),""))</f>
        <v/>
      </c>
      <c r="E289" s="84" t="n">
        <f aca="false">IF(C289="",0,IFERROR(INDEX(식자재단가!$G$4:$G$203,MATCH(C289,식자재단가!$C$4:$C$203,0)),0))</f>
        <v>0</v>
      </c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1" t="n">
        <f aca="false">N(INDEX(F289:R289,1,기본설정!$C$5+1))</f>
        <v>0</v>
      </c>
      <c r="T289" s="28" t="n">
        <f aca="false">S289*E289</f>
        <v>0</v>
      </c>
      <c r="U289" s="71" t="n">
        <f aca="false">N(INDEX(F289:R289,1,기본설정!$C$5))</f>
        <v>0</v>
      </c>
      <c r="V289" s="28" t="n">
        <f aca="false">U289*E289</f>
        <v>0</v>
      </c>
      <c r="W289" s="59" t="str">
        <f aca="false">IF(B289="","",IFERROR(INDEX(기본설정!$H$4:$H$14,MATCH(B289,기본설정!$G$4:$G$14,0)),""))</f>
        <v/>
      </c>
    </row>
    <row r="290" customFormat="false" ht="15" hidden="false" customHeight="false" outlineLevel="0" collapsed="false">
      <c r="A290" s="70"/>
      <c r="B290" s="81" t="str">
        <f aca="false">IF(C290="","",IFERROR(INDEX(식자재단가!$B$4:$B$203,MATCH(C290,식자재단가!$C$4:$C$203,0)),""))</f>
        <v/>
      </c>
      <c r="C290" s="80"/>
      <c r="D290" s="59" t="str">
        <f aca="false">IF(C290="","",IFERROR(INDEX(식자재단가!$F$4:$F$203,MATCH(C290,식자재단가!$C$4:$C$203,0)),""))</f>
        <v/>
      </c>
      <c r="E290" s="84" t="n">
        <f aca="false">IF(C290="",0,IFERROR(INDEX(식자재단가!$G$4:$G$203,MATCH(C290,식자재단가!$C$4:$C$203,0)),0))</f>
        <v>0</v>
      </c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1" t="n">
        <f aca="false">N(INDEX(F290:R290,1,기본설정!$C$5+1))</f>
        <v>0</v>
      </c>
      <c r="T290" s="28" t="n">
        <f aca="false">S290*E290</f>
        <v>0</v>
      </c>
      <c r="U290" s="71" t="n">
        <f aca="false">N(INDEX(F290:R290,1,기본설정!$C$5))</f>
        <v>0</v>
      </c>
      <c r="V290" s="28" t="n">
        <f aca="false">U290*E290</f>
        <v>0</v>
      </c>
      <c r="W290" s="59" t="str">
        <f aca="false">IF(B290="","",IFERROR(INDEX(기본설정!$H$4:$H$14,MATCH(B290,기본설정!$G$4:$G$14,0)),""))</f>
        <v/>
      </c>
    </row>
    <row r="291" customFormat="false" ht="15" hidden="false" customHeight="false" outlineLevel="0" collapsed="false">
      <c r="A291" s="70"/>
      <c r="B291" s="81" t="str">
        <f aca="false">IF(C291="","",IFERROR(INDEX(식자재단가!$B$4:$B$203,MATCH(C291,식자재단가!$C$4:$C$203,0)),""))</f>
        <v/>
      </c>
      <c r="C291" s="80"/>
      <c r="D291" s="59" t="str">
        <f aca="false">IF(C291="","",IFERROR(INDEX(식자재단가!$F$4:$F$203,MATCH(C291,식자재단가!$C$4:$C$203,0)),""))</f>
        <v/>
      </c>
      <c r="E291" s="84" t="n">
        <f aca="false">IF(C291="",0,IFERROR(INDEX(식자재단가!$G$4:$G$203,MATCH(C291,식자재단가!$C$4:$C$203,0)),0))</f>
        <v>0</v>
      </c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1" t="n">
        <f aca="false">N(INDEX(F291:R291,1,기본설정!$C$5+1))</f>
        <v>0</v>
      </c>
      <c r="T291" s="28" t="n">
        <f aca="false">S291*E291</f>
        <v>0</v>
      </c>
      <c r="U291" s="71" t="n">
        <f aca="false">N(INDEX(F291:R291,1,기본설정!$C$5))</f>
        <v>0</v>
      </c>
      <c r="V291" s="28" t="n">
        <f aca="false">U291*E291</f>
        <v>0</v>
      </c>
      <c r="W291" s="59" t="str">
        <f aca="false">IF(B291="","",IFERROR(INDEX(기본설정!$H$4:$H$14,MATCH(B291,기본설정!$G$4:$G$14,0)),""))</f>
        <v/>
      </c>
    </row>
    <row r="292" customFormat="false" ht="15" hidden="false" customHeight="false" outlineLevel="0" collapsed="false">
      <c r="A292" s="70"/>
      <c r="B292" s="81" t="str">
        <f aca="false">IF(C292="","",IFERROR(INDEX(식자재단가!$B$4:$B$203,MATCH(C292,식자재단가!$C$4:$C$203,0)),""))</f>
        <v/>
      </c>
      <c r="C292" s="80"/>
      <c r="D292" s="59" t="str">
        <f aca="false">IF(C292="","",IFERROR(INDEX(식자재단가!$F$4:$F$203,MATCH(C292,식자재단가!$C$4:$C$203,0)),""))</f>
        <v/>
      </c>
      <c r="E292" s="84" t="n">
        <f aca="false">IF(C292="",0,IFERROR(INDEX(식자재단가!$G$4:$G$203,MATCH(C292,식자재단가!$C$4:$C$203,0)),0))</f>
        <v>0</v>
      </c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1" t="n">
        <f aca="false">N(INDEX(F292:R292,1,기본설정!$C$5+1))</f>
        <v>0</v>
      </c>
      <c r="T292" s="28" t="n">
        <f aca="false">S292*E292</f>
        <v>0</v>
      </c>
      <c r="U292" s="71" t="n">
        <f aca="false">N(INDEX(F292:R292,1,기본설정!$C$5))</f>
        <v>0</v>
      </c>
      <c r="V292" s="28" t="n">
        <f aca="false">U292*E292</f>
        <v>0</v>
      </c>
      <c r="W292" s="59" t="str">
        <f aca="false">IF(B292="","",IFERROR(INDEX(기본설정!$H$4:$H$14,MATCH(B292,기본설정!$G$4:$G$14,0)),""))</f>
        <v/>
      </c>
    </row>
    <row r="293" customFormat="false" ht="15" hidden="false" customHeight="false" outlineLevel="0" collapsed="false">
      <c r="A293" s="70"/>
      <c r="B293" s="81" t="str">
        <f aca="false">IF(C293="","",IFERROR(INDEX(식자재단가!$B$4:$B$203,MATCH(C293,식자재단가!$C$4:$C$203,0)),""))</f>
        <v/>
      </c>
      <c r="C293" s="80"/>
      <c r="D293" s="59" t="str">
        <f aca="false">IF(C293="","",IFERROR(INDEX(식자재단가!$F$4:$F$203,MATCH(C293,식자재단가!$C$4:$C$203,0)),""))</f>
        <v/>
      </c>
      <c r="E293" s="84" t="n">
        <f aca="false">IF(C293="",0,IFERROR(INDEX(식자재단가!$G$4:$G$203,MATCH(C293,식자재단가!$C$4:$C$203,0)),0))</f>
        <v>0</v>
      </c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1" t="n">
        <f aca="false">N(INDEX(F293:R293,1,기본설정!$C$5+1))</f>
        <v>0</v>
      </c>
      <c r="T293" s="28" t="n">
        <f aca="false">S293*E293</f>
        <v>0</v>
      </c>
      <c r="U293" s="71" t="n">
        <f aca="false">N(INDEX(F293:R293,1,기본설정!$C$5))</f>
        <v>0</v>
      </c>
      <c r="V293" s="28" t="n">
        <f aca="false">U293*E293</f>
        <v>0</v>
      </c>
      <c r="W293" s="59" t="str">
        <f aca="false">IF(B293="","",IFERROR(INDEX(기본설정!$H$4:$H$14,MATCH(B293,기본설정!$G$4:$G$14,0)),""))</f>
        <v/>
      </c>
    </row>
    <row r="294" customFormat="false" ht="15" hidden="false" customHeight="false" outlineLevel="0" collapsed="false">
      <c r="A294" s="70"/>
      <c r="B294" s="81" t="str">
        <f aca="false">IF(C294="","",IFERROR(INDEX(식자재단가!$B$4:$B$203,MATCH(C294,식자재단가!$C$4:$C$203,0)),""))</f>
        <v/>
      </c>
      <c r="C294" s="80"/>
      <c r="D294" s="59" t="str">
        <f aca="false">IF(C294="","",IFERROR(INDEX(식자재단가!$F$4:$F$203,MATCH(C294,식자재단가!$C$4:$C$203,0)),""))</f>
        <v/>
      </c>
      <c r="E294" s="84" t="n">
        <f aca="false">IF(C294="",0,IFERROR(INDEX(식자재단가!$G$4:$G$203,MATCH(C294,식자재단가!$C$4:$C$203,0)),0))</f>
        <v>0</v>
      </c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1" t="n">
        <f aca="false">N(INDEX(F294:R294,1,기본설정!$C$5+1))</f>
        <v>0</v>
      </c>
      <c r="T294" s="28" t="n">
        <f aca="false">S294*E294</f>
        <v>0</v>
      </c>
      <c r="U294" s="71" t="n">
        <f aca="false">N(INDEX(F294:R294,1,기본설정!$C$5))</f>
        <v>0</v>
      </c>
      <c r="V294" s="28" t="n">
        <f aca="false">U294*E294</f>
        <v>0</v>
      </c>
      <c r="W294" s="59" t="str">
        <f aca="false">IF(B294="","",IFERROR(INDEX(기본설정!$H$4:$H$14,MATCH(B294,기본설정!$G$4:$G$14,0)),""))</f>
        <v/>
      </c>
    </row>
    <row r="295" customFormat="false" ht="15" hidden="false" customHeight="false" outlineLevel="0" collapsed="false">
      <c r="A295" s="70"/>
      <c r="B295" s="81" t="str">
        <f aca="false">IF(C295="","",IFERROR(INDEX(식자재단가!$B$4:$B$203,MATCH(C295,식자재단가!$C$4:$C$203,0)),""))</f>
        <v/>
      </c>
      <c r="C295" s="80"/>
      <c r="D295" s="59" t="str">
        <f aca="false">IF(C295="","",IFERROR(INDEX(식자재단가!$F$4:$F$203,MATCH(C295,식자재단가!$C$4:$C$203,0)),""))</f>
        <v/>
      </c>
      <c r="E295" s="84" t="n">
        <f aca="false">IF(C295="",0,IFERROR(INDEX(식자재단가!$G$4:$G$203,MATCH(C295,식자재단가!$C$4:$C$203,0)),0))</f>
        <v>0</v>
      </c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1" t="n">
        <f aca="false">N(INDEX(F295:R295,1,기본설정!$C$5+1))</f>
        <v>0</v>
      </c>
      <c r="T295" s="28" t="n">
        <f aca="false">S295*E295</f>
        <v>0</v>
      </c>
      <c r="U295" s="71" t="n">
        <f aca="false">N(INDEX(F295:R295,1,기본설정!$C$5))</f>
        <v>0</v>
      </c>
      <c r="V295" s="28" t="n">
        <f aca="false">U295*E295</f>
        <v>0</v>
      </c>
      <c r="W295" s="59" t="str">
        <f aca="false">IF(B295="","",IFERROR(INDEX(기본설정!$H$4:$H$14,MATCH(B295,기본설정!$G$4:$G$14,0)),""))</f>
        <v/>
      </c>
    </row>
    <row r="296" customFormat="false" ht="15" hidden="false" customHeight="false" outlineLevel="0" collapsed="false">
      <c r="A296" s="70"/>
      <c r="B296" s="81" t="str">
        <f aca="false">IF(C296="","",IFERROR(INDEX(식자재단가!$B$4:$B$203,MATCH(C296,식자재단가!$C$4:$C$203,0)),""))</f>
        <v/>
      </c>
      <c r="C296" s="80"/>
      <c r="D296" s="59" t="str">
        <f aca="false">IF(C296="","",IFERROR(INDEX(식자재단가!$F$4:$F$203,MATCH(C296,식자재단가!$C$4:$C$203,0)),""))</f>
        <v/>
      </c>
      <c r="E296" s="84" t="n">
        <f aca="false">IF(C296="",0,IFERROR(INDEX(식자재단가!$G$4:$G$203,MATCH(C296,식자재단가!$C$4:$C$203,0)),0))</f>
        <v>0</v>
      </c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1" t="n">
        <f aca="false">N(INDEX(F296:R296,1,기본설정!$C$5+1))</f>
        <v>0</v>
      </c>
      <c r="T296" s="28" t="n">
        <f aca="false">S296*E296</f>
        <v>0</v>
      </c>
      <c r="U296" s="71" t="n">
        <f aca="false">N(INDEX(F296:R296,1,기본설정!$C$5))</f>
        <v>0</v>
      </c>
      <c r="V296" s="28" t="n">
        <f aca="false">U296*E296</f>
        <v>0</v>
      </c>
      <c r="W296" s="59" t="str">
        <f aca="false">IF(B296="","",IFERROR(INDEX(기본설정!$H$4:$H$14,MATCH(B296,기본설정!$G$4:$G$14,0)),""))</f>
        <v/>
      </c>
    </row>
    <row r="297" customFormat="false" ht="15" hidden="false" customHeight="false" outlineLevel="0" collapsed="false">
      <c r="A297" s="70"/>
      <c r="B297" s="81" t="str">
        <f aca="false">IF(C297="","",IFERROR(INDEX(식자재단가!$B$4:$B$203,MATCH(C297,식자재단가!$C$4:$C$203,0)),""))</f>
        <v/>
      </c>
      <c r="C297" s="80"/>
      <c r="D297" s="59" t="str">
        <f aca="false">IF(C297="","",IFERROR(INDEX(식자재단가!$F$4:$F$203,MATCH(C297,식자재단가!$C$4:$C$203,0)),""))</f>
        <v/>
      </c>
      <c r="E297" s="84" t="n">
        <f aca="false">IF(C297="",0,IFERROR(INDEX(식자재단가!$G$4:$G$203,MATCH(C297,식자재단가!$C$4:$C$203,0)),0))</f>
        <v>0</v>
      </c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1" t="n">
        <f aca="false">N(INDEX(F297:R297,1,기본설정!$C$5+1))</f>
        <v>0</v>
      </c>
      <c r="T297" s="28" t="n">
        <f aca="false">S297*E297</f>
        <v>0</v>
      </c>
      <c r="U297" s="71" t="n">
        <f aca="false">N(INDEX(F297:R297,1,기본설정!$C$5))</f>
        <v>0</v>
      </c>
      <c r="V297" s="28" t="n">
        <f aca="false">U297*E297</f>
        <v>0</v>
      </c>
      <c r="W297" s="59" t="str">
        <f aca="false">IF(B297="","",IFERROR(INDEX(기본설정!$H$4:$H$14,MATCH(B297,기본설정!$G$4:$G$14,0)),""))</f>
        <v/>
      </c>
    </row>
    <row r="298" customFormat="false" ht="15" hidden="false" customHeight="false" outlineLevel="0" collapsed="false">
      <c r="A298" s="70"/>
      <c r="B298" s="81" t="str">
        <f aca="false">IF(C298="","",IFERROR(INDEX(식자재단가!$B$4:$B$203,MATCH(C298,식자재단가!$C$4:$C$203,0)),""))</f>
        <v/>
      </c>
      <c r="C298" s="80"/>
      <c r="D298" s="59" t="str">
        <f aca="false">IF(C298="","",IFERROR(INDEX(식자재단가!$F$4:$F$203,MATCH(C298,식자재단가!$C$4:$C$203,0)),""))</f>
        <v/>
      </c>
      <c r="E298" s="84" t="n">
        <f aca="false">IF(C298="",0,IFERROR(INDEX(식자재단가!$G$4:$G$203,MATCH(C298,식자재단가!$C$4:$C$203,0)),0))</f>
        <v>0</v>
      </c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1" t="n">
        <f aca="false">N(INDEX(F298:R298,1,기본설정!$C$5+1))</f>
        <v>0</v>
      </c>
      <c r="T298" s="28" t="n">
        <f aca="false">S298*E298</f>
        <v>0</v>
      </c>
      <c r="U298" s="71" t="n">
        <f aca="false">N(INDEX(F298:R298,1,기본설정!$C$5))</f>
        <v>0</v>
      </c>
      <c r="V298" s="28" t="n">
        <f aca="false">U298*E298</f>
        <v>0</v>
      </c>
      <c r="W298" s="59" t="str">
        <f aca="false">IF(B298="","",IFERROR(INDEX(기본설정!$H$4:$H$14,MATCH(B298,기본설정!$G$4:$G$14,0)),""))</f>
        <v/>
      </c>
    </row>
    <row r="299" customFormat="false" ht="15" hidden="false" customHeight="false" outlineLevel="0" collapsed="false">
      <c r="A299" s="70"/>
      <c r="B299" s="81" t="str">
        <f aca="false">IF(C299="","",IFERROR(INDEX(식자재단가!$B$4:$B$203,MATCH(C299,식자재단가!$C$4:$C$203,0)),""))</f>
        <v/>
      </c>
      <c r="C299" s="80"/>
      <c r="D299" s="59" t="str">
        <f aca="false">IF(C299="","",IFERROR(INDEX(식자재단가!$F$4:$F$203,MATCH(C299,식자재단가!$C$4:$C$203,0)),""))</f>
        <v/>
      </c>
      <c r="E299" s="84" t="n">
        <f aca="false">IF(C299="",0,IFERROR(INDEX(식자재단가!$G$4:$G$203,MATCH(C299,식자재단가!$C$4:$C$203,0)),0))</f>
        <v>0</v>
      </c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1" t="n">
        <f aca="false">N(INDEX(F299:R299,1,기본설정!$C$5+1))</f>
        <v>0</v>
      </c>
      <c r="T299" s="28" t="n">
        <f aca="false">S299*E299</f>
        <v>0</v>
      </c>
      <c r="U299" s="71" t="n">
        <f aca="false">N(INDEX(F299:R299,1,기본설정!$C$5))</f>
        <v>0</v>
      </c>
      <c r="V299" s="28" t="n">
        <f aca="false">U299*E299</f>
        <v>0</v>
      </c>
      <c r="W299" s="59" t="str">
        <f aca="false">IF(B299="","",IFERROR(INDEX(기본설정!$H$4:$H$14,MATCH(B299,기본설정!$G$4:$G$14,0)),""))</f>
        <v/>
      </c>
    </row>
    <row r="300" customFormat="false" ht="15" hidden="false" customHeight="false" outlineLevel="0" collapsed="false">
      <c r="A300" s="70"/>
      <c r="B300" s="81" t="str">
        <f aca="false">IF(C300="","",IFERROR(INDEX(식자재단가!$B$4:$B$203,MATCH(C300,식자재단가!$C$4:$C$203,0)),""))</f>
        <v/>
      </c>
      <c r="C300" s="80"/>
      <c r="D300" s="59" t="str">
        <f aca="false">IF(C300="","",IFERROR(INDEX(식자재단가!$F$4:$F$203,MATCH(C300,식자재단가!$C$4:$C$203,0)),""))</f>
        <v/>
      </c>
      <c r="E300" s="84" t="n">
        <f aca="false">IF(C300="",0,IFERROR(INDEX(식자재단가!$G$4:$G$203,MATCH(C300,식자재단가!$C$4:$C$203,0)),0))</f>
        <v>0</v>
      </c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1" t="n">
        <f aca="false">N(INDEX(F300:R300,1,기본설정!$C$5+1))</f>
        <v>0</v>
      </c>
      <c r="T300" s="28" t="n">
        <f aca="false">S300*E300</f>
        <v>0</v>
      </c>
      <c r="U300" s="71" t="n">
        <f aca="false">N(INDEX(F300:R300,1,기본설정!$C$5))</f>
        <v>0</v>
      </c>
      <c r="V300" s="28" t="n">
        <f aca="false">U300*E300</f>
        <v>0</v>
      </c>
      <c r="W300" s="59" t="str">
        <f aca="false">IF(B300="","",IFERROR(INDEX(기본설정!$H$4:$H$14,MATCH(B300,기본설정!$G$4:$G$14,0)),""))</f>
        <v/>
      </c>
    </row>
    <row r="301" customFormat="false" ht="15" hidden="false" customHeight="false" outlineLevel="0" collapsed="false">
      <c r="A301" s="70"/>
      <c r="B301" s="81" t="str">
        <f aca="false">IF(C301="","",IFERROR(INDEX(식자재단가!$B$4:$B$203,MATCH(C301,식자재단가!$C$4:$C$203,0)),""))</f>
        <v/>
      </c>
      <c r="C301" s="80"/>
      <c r="D301" s="59" t="str">
        <f aca="false">IF(C301="","",IFERROR(INDEX(식자재단가!$F$4:$F$203,MATCH(C301,식자재단가!$C$4:$C$203,0)),""))</f>
        <v/>
      </c>
      <c r="E301" s="84" t="n">
        <f aca="false">IF(C301="",0,IFERROR(INDEX(식자재단가!$G$4:$G$203,MATCH(C301,식자재단가!$C$4:$C$203,0)),0))</f>
        <v>0</v>
      </c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1" t="n">
        <f aca="false">N(INDEX(F301:R301,1,기본설정!$C$5+1))</f>
        <v>0</v>
      </c>
      <c r="T301" s="28" t="n">
        <f aca="false">S301*E301</f>
        <v>0</v>
      </c>
      <c r="U301" s="71" t="n">
        <f aca="false">N(INDEX(F301:R301,1,기본설정!$C$5))</f>
        <v>0</v>
      </c>
      <c r="V301" s="28" t="n">
        <f aca="false">U301*E301</f>
        <v>0</v>
      </c>
      <c r="W301" s="59" t="str">
        <f aca="false">IF(B301="","",IFERROR(INDEX(기본설정!$H$4:$H$14,MATCH(B301,기본설정!$G$4:$G$14,0)),""))</f>
        <v/>
      </c>
    </row>
    <row r="302" customFormat="false" ht="15" hidden="false" customHeight="false" outlineLevel="0" collapsed="false">
      <c r="A302" s="70"/>
      <c r="B302" s="81" t="str">
        <f aca="false">IF(C302="","",IFERROR(INDEX(식자재단가!$B$4:$B$203,MATCH(C302,식자재단가!$C$4:$C$203,0)),""))</f>
        <v/>
      </c>
      <c r="C302" s="80"/>
      <c r="D302" s="59" t="str">
        <f aca="false">IF(C302="","",IFERROR(INDEX(식자재단가!$F$4:$F$203,MATCH(C302,식자재단가!$C$4:$C$203,0)),""))</f>
        <v/>
      </c>
      <c r="E302" s="84" t="n">
        <f aca="false">IF(C302="",0,IFERROR(INDEX(식자재단가!$G$4:$G$203,MATCH(C302,식자재단가!$C$4:$C$203,0)),0))</f>
        <v>0</v>
      </c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1" t="n">
        <f aca="false">N(INDEX(F302:R302,1,기본설정!$C$5+1))</f>
        <v>0</v>
      </c>
      <c r="T302" s="28" t="n">
        <f aca="false">S302*E302</f>
        <v>0</v>
      </c>
      <c r="U302" s="71" t="n">
        <f aca="false">N(INDEX(F302:R302,1,기본설정!$C$5))</f>
        <v>0</v>
      </c>
      <c r="V302" s="28" t="n">
        <f aca="false">U302*E302</f>
        <v>0</v>
      </c>
      <c r="W302" s="59" t="str">
        <f aca="false">IF(B302="","",IFERROR(INDEX(기본설정!$H$4:$H$14,MATCH(B302,기본설정!$G$4:$G$14,0)),""))</f>
        <v/>
      </c>
    </row>
    <row r="303" customFormat="false" ht="15" hidden="false" customHeight="false" outlineLevel="0" collapsed="false">
      <c r="A303" s="70"/>
      <c r="B303" s="81" t="str">
        <f aca="false">IF(C303="","",IFERROR(INDEX(식자재단가!$B$4:$B$203,MATCH(C303,식자재단가!$C$4:$C$203,0)),""))</f>
        <v/>
      </c>
      <c r="C303" s="80"/>
      <c r="D303" s="59" t="str">
        <f aca="false">IF(C303="","",IFERROR(INDEX(식자재단가!$F$4:$F$203,MATCH(C303,식자재단가!$C$4:$C$203,0)),""))</f>
        <v/>
      </c>
      <c r="E303" s="84" t="n">
        <f aca="false">IF(C303="",0,IFERROR(INDEX(식자재단가!$G$4:$G$203,MATCH(C303,식자재단가!$C$4:$C$203,0)),0))</f>
        <v>0</v>
      </c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1" t="n">
        <f aca="false">N(INDEX(F303:R303,1,기본설정!$C$5+1))</f>
        <v>0</v>
      </c>
      <c r="T303" s="28" t="n">
        <f aca="false">S303*E303</f>
        <v>0</v>
      </c>
      <c r="U303" s="71" t="n">
        <f aca="false">N(INDEX(F303:R303,1,기본설정!$C$5))</f>
        <v>0</v>
      </c>
      <c r="V303" s="28" t="n">
        <f aca="false">U303*E303</f>
        <v>0</v>
      </c>
      <c r="W303" s="59" t="str">
        <f aca="false">IF(B303="","",IFERROR(INDEX(기본설정!$H$4:$H$14,MATCH(B303,기본설정!$G$4:$G$14,0)),""))</f>
        <v/>
      </c>
    </row>
    <row r="304" customFormat="false" ht="15" hidden="false" customHeight="false" outlineLevel="0" collapsed="false">
      <c r="A304" s="70"/>
      <c r="B304" s="81" t="str">
        <f aca="false">IF(C304="","",IFERROR(INDEX(식자재단가!$B$4:$B$203,MATCH(C304,식자재단가!$C$4:$C$203,0)),""))</f>
        <v/>
      </c>
      <c r="C304" s="80"/>
      <c r="D304" s="59" t="str">
        <f aca="false">IF(C304="","",IFERROR(INDEX(식자재단가!$F$4:$F$203,MATCH(C304,식자재단가!$C$4:$C$203,0)),""))</f>
        <v/>
      </c>
      <c r="E304" s="84" t="n">
        <f aca="false">IF(C304="",0,IFERROR(INDEX(식자재단가!$G$4:$G$203,MATCH(C304,식자재단가!$C$4:$C$203,0)),0))</f>
        <v>0</v>
      </c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1" t="n">
        <f aca="false">N(INDEX(F304:R304,1,기본설정!$C$5+1))</f>
        <v>0</v>
      </c>
      <c r="T304" s="28" t="n">
        <f aca="false">S304*E304</f>
        <v>0</v>
      </c>
      <c r="U304" s="71" t="n">
        <f aca="false">N(INDEX(F304:R304,1,기본설정!$C$5))</f>
        <v>0</v>
      </c>
      <c r="V304" s="28" t="n">
        <f aca="false">U304*E304</f>
        <v>0</v>
      </c>
      <c r="W304" s="59" t="str">
        <f aca="false">IF(B304="","",IFERROR(INDEX(기본설정!$H$4:$H$14,MATCH(B304,기본설정!$G$4:$G$14,0)),""))</f>
        <v/>
      </c>
    </row>
    <row r="305" customFormat="false" ht="15" hidden="false" customHeight="false" outlineLevel="0" collapsed="false">
      <c r="A305" s="70"/>
      <c r="B305" s="81" t="str">
        <f aca="false">IF(C305="","",IFERROR(INDEX(식자재단가!$B$4:$B$203,MATCH(C305,식자재단가!$C$4:$C$203,0)),""))</f>
        <v/>
      </c>
      <c r="C305" s="80"/>
      <c r="D305" s="59" t="str">
        <f aca="false">IF(C305="","",IFERROR(INDEX(식자재단가!$F$4:$F$203,MATCH(C305,식자재단가!$C$4:$C$203,0)),""))</f>
        <v/>
      </c>
      <c r="E305" s="84" t="n">
        <f aca="false">IF(C305="",0,IFERROR(INDEX(식자재단가!$G$4:$G$203,MATCH(C305,식자재단가!$C$4:$C$203,0)),0))</f>
        <v>0</v>
      </c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1" t="n">
        <f aca="false">N(INDEX(F305:R305,1,기본설정!$C$5+1))</f>
        <v>0</v>
      </c>
      <c r="T305" s="28" t="n">
        <f aca="false">S305*E305</f>
        <v>0</v>
      </c>
      <c r="U305" s="71" t="n">
        <f aca="false">N(INDEX(F305:R305,1,기본설정!$C$5))</f>
        <v>0</v>
      </c>
      <c r="V305" s="28" t="n">
        <f aca="false">U305*E305</f>
        <v>0</v>
      </c>
      <c r="W305" s="59" t="str">
        <f aca="false">IF(B305="","",IFERROR(INDEX(기본설정!$H$4:$H$14,MATCH(B305,기본설정!$G$4:$G$14,0)),""))</f>
        <v/>
      </c>
    </row>
    <row r="306" customFormat="false" ht="15" hidden="false" customHeight="false" outlineLevel="0" collapsed="false">
      <c r="A306" s="70"/>
      <c r="B306" s="81" t="str">
        <f aca="false">IF(C306="","",IFERROR(INDEX(식자재단가!$B$4:$B$203,MATCH(C306,식자재단가!$C$4:$C$203,0)),""))</f>
        <v/>
      </c>
      <c r="C306" s="80"/>
      <c r="D306" s="59" t="str">
        <f aca="false">IF(C306="","",IFERROR(INDEX(식자재단가!$F$4:$F$203,MATCH(C306,식자재단가!$C$4:$C$203,0)),""))</f>
        <v/>
      </c>
      <c r="E306" s="84" t="n">
        <f aca="false">IF(C306="",0,IFERROR(INDEX(식자재단가!$G$4:$G$203,MATCH(C306,식자재단가!$C$4:$C$203,0)),0))</f>
        <v>0</v>
      </c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1" t="n">
        <f aca="false">N(INDEX(F306:R306,1,기본설정!$C$5+1))</f>
        <v>0</v>
      </c>
      <c r="T306" s="28" t="n">
        <f aca="false">S306*E306</f>
        <v>0</v>
      </c>
      <c r="U306" s="71" t="n">
        <f aca="false">N(INDEX(F306:R306,1,기본설정!$C$5))</f>
        <v>0</v>
      </c>
      <c r="V306" s="28" t="n">
        <f aca="false">U306*E306</f>
        <v>0</v>
      </c>
      <c r="W306" s="59" t="str">
        <f aca="false">IF(B306="","",IFERROR(INDEX(기본설정!$H$4:$H$14,MATCH(B306,기본설정!$G$4:$G$14,0)),""))</f>
        <v/>
      </c>
    </row>
    <row r="307" customFormat="false" ht="15" hidden="false" customHeight="false" outlineLevel="0" collapsed="false">
      <c r="A307" s="70"/>
      <c r="B307" s="81" t="str">
        <f aca="false">IF(C307="","",IFERROR(INDEX(식자재단가!$B$4:$B$203,MATCH(C307,식자재단가!$C$4:$C$203,0)),""))</f>
        <v/>
      </c>
      <c r="C307" s="80"/>
      <c r="D307" s="59" t="str">
        <f aca="false">IF(C307="","",IFERROR(INDEX(식자재단가!$F$4:$F$203,MATCH(C307,식자재단가!$C$4:$C$203,0)),""))</f>
        <v/>
      </c>
      <c r="E307" s="84" t="n">
        <f aca="false">IF(C307="",0,IFERROR(INDEX(식자재단가!$G$4:$G$203,MATCH(C307,식자재단가!$C$4:$C$203,0)),0))</f>
        <v>0</v>
      </c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1" t="n">
        <f aca="false">N(INDEX(F307:R307,1,기본설정!$C$5+1))</f>
        <v>0</v>
      </c>
      <c r="T307" s="28" t="n">
        <f aca="false">S307*E307</f>
        <v>0</v>
      </c>
      <c r="U307" s="71" t="n">
        <f aca="false">N(INDEX(F307:R307,1,기본설정!$C$5))</f>
        <v>0</v>
      </c>
      <c r="V307" s="28" t="n">
        <f aca="false">U307*E307</f>
        <v>0</v>
      </c>
      <c r="W307" s="59" t="str">
        <f aca="false">IF(B307="","",IFERROR(INDEX(기본설정!$H$4:$H$14,MATCH(B307,기본설정!$G$4:$G$14,0)),""))</f>
        <v/>
      </c>
    </row>
    <row r="308" customFormat="false" ht="15" hidden="false" customHeight="false" outlineLevel="0" collapsed="false">
      <c r="A308" s="70"/>
      <c r="B308" s="81" t="str">
        <f aca="false">IF(C308="","",IFERROR(INDEX(식자재단가!$B$4:$B$203,MATCH(C308,식자재단가!$C$4:$C$203,0)),""))</f>
        <v/>
      </c>
      <c r="C308" s="80"/>
      <c r="D308" s="59" t="str">
        <f aca="false">IF(C308="","",IFERROR(INDEX(식자재단가!$F$4:$F$203,MATCH(C308,식자재단가!$C$4:$C$203,0)),""))</f>
        <v/>
      </c>
      <c r="E308" s="84" t="n">
        <f aca="false">IF(C308="",0,IFERROR(INDEX(식자재단가!$G$4:$G$203,MATCH(C308,식자재단가!$C$4:$C$203,0)),0))</f>
        <v>0</v>
      </c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1" t="n">
        <f aca="false">N(INDEX(F308:R308,1,기본설정!$C$5+1))</f>
        <v>0</v>
      </c>
      <c r="T308" s="28" t="n">
        <f aca="false">S308*E308</f>
        <v>0</v>
      </c>
      <c r="U308" s="71" t="n">
        <f aca="false">N(INDEX(F308:R308,1,기본설정!$C$5))</f>
        <v>0</v>
      </c>
      <c r="V308" s="28" t="n">
        <f aca="false">U308*E308</f>
        <v>0</v>
      </c>
      <c r="W308" s="59" t="str">
        <f aca="false">IF(B308="","",IFERROR(INDEX(기본설정!$H$4:$H$14,MATCH(B308,기본설정!$G$4:$G$14,0)),""))</f>
        <v/>
      </c>
    </row>
    <row r="309" customFormat="false" ht="15" hidden="false" customHeight="false" outlineLevel="0" collapsed="false">
      <c r="A309" s="70"/>
      <c r="B309" s="81" t="str">
        <f aca="false">IF(C309="","",IFERROR(INDEX(식자재단가!$B$4:$B$203,MATCH(C309,식자재단가!$C$4:$C$203,0)),""))</f>
        <v/>
      </c>
      <c r="C309" s="80"/>
      <c r="D309" s="59" t="str">
        <f aca="false">IF(C309="","",IFERROR(INDEX(식자재단가!$F$4:$F$203,MATCH(C309,식자재단가!$C$4:$C$203,0)),""))</f>
        <v/>
      </c>
      <c r="E309" s="84" t="n">
        <f aca="false">IF(C309="",0,IFERROR(INDEX(식자재단가!$G$4:$G$203,MATCH(C309,식자재단가!$C$4:$C$203,0)),0))</f>
        <v>0</v>
      </c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1" t="n">
        <f aca="false">N(INDEX(F309:R309,1,기본설정!$C$5+1))</f>
        <v>0</v>
      </c>
      <c r="T309" s="28" t="n">
        <f aca="false">S309*E309</f>
        <v>0</v>
      </c>
      <c r="U309" s="71" t="n">
        <f aca="false">N(INDEX(F309:R309,1,기본설정!$C$5))</f>
        <v>0</v>
      </c>
      <c r="V309" s="28" t="n">
        <f aca="false">U309*E309</f>
        <v>0</v>
      </c>
      <c r="W309" s="59" t="str">
        <f aca="false">IF(B309="","",IFERROR(INDEX(기본설정!$H$4:$H$14,MATCH(B309,기본설정!$G$4:$G$14,0)),""))</f>
        <v/>
      </c>
    </row>
    <row r="310" customFormat="false" ht="15" hidden="false" customHeight="false" outlineLevel="0" collapsed="false">
      <c r="A310" s="70"/>
      <c r="B310" s="81" t="str">
        <f aca="false">IF(C310="","",IFERROR(INDEX(식자재단가!$B$4:$B$203,MATCH(C310,식자재단가!$C$4:$C$203,0)),""))</f>
        <v/>
      </c>
      <c r="C310" s="80"/>
      <c r="D310" s="59" t="str">
        <f aca="false">IF(C310="","",IFERROR(INDEX(식자재단가!$F$4:$F$203,MATCH(C310,식자재단가!$C$4:$C$203,0)),""))</f>
        <v/>
      </c>
      <c r="E310" s="84" t="n">
        <f aca="false">IF(C310="",0,IFERROR(INDEX(식자재단가!$G$4:$G$203,MATCH(C310,식자재단가!$C$4:$C$203,0)),0))</f>
        <v>0</v>
      </c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1" t="n">
        <f aca="false">N(INDEX(F310:R310,1,기본설정!$C$5+1))</f>
        <v>0</v>
      </c>
      <c r="T310" s="28" t="n">
        <f aca="false">S310*E310</f>
        <v>0</v>
      </c>
      <c r="U310" s="71" t="n">
        <f aca="false">N(INDEX(F310:R310,1,기본설정!$C$5))</f>
        <v>0</v>
      </c>
      <c r="V310" s="28" t="n">
        <f aca="false">U310*E310</f>
        <v>0</v>
      </c>
      <c r="W310" s="59" t="str">
        <f aca="false">IF(B310="","",IFERROR(INDEX(기본설정!$H$4:$H$14,MATCH(B310,기본설정!$G$4:$G$14,0)),""))</f>
        <v/>
      </c>
    </row>
    <row r="311" customFormat="false" ht="15" hidden="false" customHeight="false" outlineLevel="0" collapsed="false">
      <c r="A311" s="70"/>
      <c r="B311" s="81" t="str">
        <f aca="false">IF(C311="","",IFERROR(INDEX(식자재단가!$B$4:$B$203,MATCH(C311,식자재단가!$C$4:$C$203,0)),""))</f>
        <v/>
      </c>
      <c r="C311" s="80"/>
      <c r="D311" s="59" t="str">
        <f aca="false">IF(C311="","",IFERROR(INDEX(식자재단가!$F$4:$F$203,MATCH(C311,식자재단가!$C$4:$C$203,0)),""))</f>
        <v/>
      </c>
      <c r="E311" s="84" t="n">
        <f aca="false">IF(C311="",0,IFERROR(INDEX(식자재단가!$G$4:$G$203,MATCH(C311,식자재단가!$C$4:$C$203,0)),0))</f>
        <v>0</v>
      </c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1" t="n">
        <f aca="false">N(INDEX(F311:R311,1,기본설정!$C$5+1))</f>
        <v>0</v>
      </c>
      <c r="T311" s="28" t="n">
        <f aca="false">S311*E311</f>
        <v>0</v>
      </c>
      <c r="U311" s="71" t="n">
        <f aca="false">N(INDEX(F311:R311,1,기본설정!$C$5))</f>
        <v>0</v>
      </c>
      <c r="V311" s="28" t="n">
        <f aca="false">U311*E311</f>
        <v>0</v>
      </c>
      <c r="W311" s="59" t="str">
        <f aca="false">IF(B311="","",IFERROR(INDEX(기본설정!$H$4:$H$14,MATCH(B311,기본설정!$G$4:$G$14,0)),""))</f>
        <v/>
      </c>
    </row>
    <row r="312" customFormat="false" ht="15" hidden="false" customHeight="false" outlineLevel="0" collapsed="false">
      <c r="A312" s="70"/>
      <c r="B312" s="81" t="str">
        <f aca="false">IF(C312="","",IFERROR(INDEX(식자재단가!$B$4:$B$203,MATCH(C312,식자재단가!$C$4:$C$203,0)),""))</f>
        <v/>
      </c>
      <c r="C312" s="80"/>
      <c r="D312" s="59" t="str">
        <f aca="false">IF(C312="","",IFERROR(INDEX(식자재단가!$F$4:$F$203,MATCH(C312,식자재단가!$C$4:$C$203,0)),""))</f>
        <v/>
      </c>
      <c r="E312" s="84" t="n">
        <f aca="false">IF(C312="",0,IFERROR(INDEX(식자재단가!$G$4:$G$203,MATCH(C312,식자재단가!$C$4:$C$203,0)),0))</f>
        <v>0</v>
      </c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1" t="n">
        <f aca="false">N(INDEX(F312:R312,1,기본설정!$C$5+1))</f>
        <v>0</v>
      </c>
      <c r="T312" s="28" t="n">
        <f aca="false">S312*E312</f>
        <v>0</v>
      </c>
      <c r="U312" s="71" t="n">
        <f aca="false">N(INDEX(F312:R312,1,기본설정!$C$5))</f>
        <v>0</v>
      </c>
      <c r="V312" s="28" t="n">
        <f aca="false">U312*E312</f>
        <v>0</v>
      </c>
      <c r="W312" s="59" t="str">
        <f aca="false">IF(B312="","",IFERROR(INDEX(기본설정!$H$4:$H$14,MATCH(B312,기본설정!$G$4:$G$14,0)),""))</f>
        <v/>
      </c>
    </row>
    <row r="313" customFormat="false" ht="15" hidden="false" customHeight="false" outlineLevel="0" collapsed="false">
      <c r="A313" s="70"/>
      <c r="B313" s="81" t="str">
        <f aca="false">IF(C313="","",IFERROR(INDEX(식자재단가!$B$4:$B$203,MATCH(C313,식자재단가!$C$4:$C$203,0)),""))</f>
        <v/>
      </c>
      <c r="C313" s="80"/>
      <c r="D313" s="59" t="str">
        <f aca="false">IF(C313="","",IFERROR(INDEX(식자재단가!$F$4:$F$203,MATCH(C313,식자재단가!$C$4:$C$203,0)),""))</f>
        <v/>
      </c>
      <c r="E313" s="84" t="n">
        <f aca="false">IF(C313="",0,IFERROR(INDEX(식자재단가!$G$4:$G$203,MATCH(C313,식자재단가!$C$4:$C$203,0)),0))</f>
        <v>0</v>
      </c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1" t="n">
        <f aca="false">N(INDEX(F313:R313,1,기본설정!$C$5+1))</f>
        <v>0</v>
      </c>
      <c r="T313" s="28" t="n">
        <f aca="false">S313*E313</f>
        <v>0</v>
      </c>
      <c r="U313" s="71" t="n">
        <f aca="false">N(INDEX(F313:R313,1,기본설정!$C$5))</f>
        <v>0</v>
      </c>
      <c r="V313" s="28" t="n">
        <f aca="false">U313*E313</f>
        <v>0</v>
      </c>
      <c r="W313" s="59" t="str">
        <f aca="false">IF(B313="","",IFERROR(INDEX(기본설정!$H$4:$H$14,MATCH(B313,기본설정!$G$4:$G$14,0)),""))</f>
        <v/>
      </c>
    </row>
    <row r="314" customFormat="false" ht="15" hidden="false" customHeight="false" outlineLevel="0" collapsed="false">
      <c r="A314" s="70"/>
      <c r="B314" s="81" t="str">
        <f aca="false">IF(C314="","",IFERROR(INDEX(식자재단가!$B$4:$B$203,MATCH(C314,식자재단가!$C$4:$C$203,0)),""))</f>
        <v/>
      </c>
      <c r="C314" s="80"/>
      <c r="D314" s="59" t="str">
        <f aca="false">IF(C314="","",IFERROR(INDEX(식자재단가!$F$4:$F$203,MATCH(C314,식자재단가!$C$4:$C$203,0)),""))</f>
        <v/>
      </c>
      <c r="E314" s="84" t="n">
        <f aca="false">IF(C314="",0,IFERROR(INDEX(식자재단가!$G$4:$G$203,MATCH(C314,식자재단가!$C$4:$C$203,0)),0))</f>
        <v>0</v>
      </c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1" t="n">
        <f aca="false">N(INDEX(F314:R314,1,기본설정!$C$5+1))</f>
        <v>0</v>
      </c>
      <c r="T314" s="28" t="n">
        <f aca="false">S314*E314</f>
        <v>0</v>
      </c>
      <c r="U314" s="71" t="n">
        <f aca="false">N(INDEX(F314:R314,1,기본설정!$C$5))</f>
        <v>0</v>
      </c>
      <c r="V314" s="28" t="n">
        <f aca="false">U314*E314</f>
        <v>0</v>
      </c>
      <c r="W314" s="59" t="str">
        <f aca="false">IF(B314="","",IFERROR(INDEX(기본설정!$H$4:$H$14,MATCH(B314,기본설정!$G$4:$G$14,0)),""))</f>
        <v/>
      </c>
    </row>
    <row r="315" customFormat="false" ht="15" hidden="false" customHeight="false" outlineLevel="0" collapsed="false">
      <c r="A315" s="70"/>
      <c r="B315" s="81" t="str">
        <f aca="false">IF(C315="","",IFERROR(INDEX(식자재단가!$B$4:$B$203,MATCH(C315,식자재단가!$C$4:$C$203,0)),""))</f>
        <v/>
      </c>
      <c r="C315" s="80"/>
      <c r="D315" s="59" t="str">
        <f aca="false">IF(C315="","",IFERROR(INDEX(식자재단가!$F$4:$F$203,MATCH(C315,식자재단가!$C$4:$C$203,0)),""))</f>
        <v/>
      </c>
      <c r="E315" s="84" t="n">
        <f aca="false">IF(C315="",0,IFERROR(INDEX(식자재단가!$G$4:$G$203,MATCH(C315,식자재단가!$C$4:$C$203,0)),0))</f>
        <v>0</v>
      </c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1" t="n">
        <f aca="false">N(INDEX(F315:R315,1,기본설정!$C$5+1))</f>
        <v>0</v>
      </c>
      <c r="T315" s="28" t="n">
        <f aca="false">S315*E315</f>
        <v>0</v>
      </c>
      <c r="U315" s="71" t="n">
        <f aca="false">N(INDEX(F315:R315,1,기본설정!$C$5))</f>
        <v>0</v>
      </c>
      <c r="V315" s="28" t="n">
        <f aca="false">U315*E315</f>
        <v>0</v>
      </c>
      <c r="W315" s="59" t="str">
        <f aca="false">IF(B315="","",IFERROR(INDEX(기본설정!$H$4:$H$14,MATCH(B315,기본설정!$G$4:$G$14,0)),""))</f>
        <v/>
      </c>
    </row>
    <row r="316" customFormat="false" ht="15" hidden="false" customHeight="false" outlineLevel="0" collapsed="false">
      <c r="A316" s="70"/>
      <c r="B316" s="81" t="str">
        <f aca="false">IF(C316="","",IFERROR(INDEX(식자재단가!$B$4:$B$203,MATCH(C316,식자재단가!$C$4:$C$203,0)),""))</f>
        <v/>
      </c>
      <c r="C316" s="80"/>
      <c r="D316" s="59" t="str">
        <f aca="false">IF(C316="","",IFERROR(INDEX(식자재단가!$F$4:$F$203,MATCH(C316,식자재단가!$C$4:$C$203,0)),""))</f>
        <v/>
      </c>
      <c r="E316" s="84" t="n">
        <f aca="false">IF(C316="",0,IFERROR(INDEX(식자재단가!$G$4:$G$203,MATCH(C316,식자재단가!$C$4:$C$203,0)),0))</f>
        <v>0</v>
      </c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1" t="n">
        <f aca="false">N(INDEX(F316:R316,1,기본설정!$C$5+1))</f>
        <v>0</v>
      </c>
      <c r="T316" s="28" t="n">
        <f aca="false">S316*E316</f>
        <v>0</v>
      </c>
      <c r="U316" s="71" t="n">
        <f aca="false">N(INDEX(F316:R316,1,기본설정!$C$5))</f>
        <v>0</v>
      </c>
      <c r="V316" s="28" t="n">
        <f aca="false">U316*E316</f>
        <v>0</v>
      </c>
      <c r="W316" s="59" t="str">
        <f aca="false">IF(B316="","",IFERROR(INDEX(기본설정!$H$4:$H$14,MATCH(B316,기본설정!$G$4:$G$14,0)),""))</f>
        <v/>
      </c>
    </row>
    <row r="317" customFormat="false" ht="15" hidden="false" customHeight="false" outlineLevel="0" collapsed="false">
      <c r="A317" s="70"/>
      <c r="B317" s="81" t="str">
        <f aca="false">IF(C317="","",IFERROR(INDEX(식자재단가!$B$4:$B$203,MATCH(C317,식자재단가!$C$4:$C$203,0)),""))</f>
        <v/>
      </c>
      <c r="C317" s="80"/>
      <c r="D317" s="59" t="str">
        <f aca="false">IF(C317="","",IFERROR(INDEX(식자재단가!$F$4:$F$203,MATCH(C317,식자재단가!$C$4:$C$203,0)),""))</f>
        <v/>
      </c>
      <c r="E317" s="84" t="n">
        <f aca="false">IF(C317="",0,IFERROR(INDEX(식자재단가!$G$4:$G$203,MATCH(C317,식자재단가!$C$4:$C$203,0)),0))</f>
        <v>0</v>
      </c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1" t="n">
        <f aca="false">N(INDEX(F317:R317,1,기본설정!$C$5+1))</f>
        <v>0</v>
      </c>
      <c r="T317" s="28" t="n">
        <f aca="false">S317*E317</f>
        <v>0</v>
      </c>
      <c r="U317" s="71" t="n">
        <f aca="false">N(INDEX(F317:R317,1,기본설정!$C$5))</f>
        <v>0</v>
      </c>
      <c r="V317" s="28" t="n">
        <f aca="false">U317*E317</f>
        <v>0</v>
      </c>
      <c r="W317" s="59" t="str">
        <f aca="false">IF(B317="","",IFERROR(INDEX(기본설정!$H$4:$H$14,MATCH(B317,기본설정!$G$4:$G$14,0)),""))</f>
        <v/>
      </c>
    </row>
    <row r="318" customFormat="false" ht="15" hidden="false" customHeight="false" outlineLevel="0" collapsed="false">
      <c r="A318" s="70"/>
      <c r="B318" s="81" t="str">
        <f aca="false">IF(C318="","",IFERROR(INDEX(식자재단가!$B$4:$B$203,MATCH(C318,식자재단가!$C$4:$C$203,0)),""))</f>
        <v/>
      </c>
      <c r="C318" s="80"/>
      <c r="D318" s="59" t="str">
        <f aca="false">IF(C318="","",IFERROR(INDEX(식자재단가!$F$4:$F$203,MATCH(C318,식자재단가!$C$4:$C$203,0)),""))</f>
        <v/>
      </c>
      <c r="E318" s="84" t="n">
        <f aca="false">IF(C318="",0,IFERROR(INDEX(식자재단가!$G$4:$G$203,MATCH(C318,식자재단가!$C$4:$C$203,0)),0))</f>
        <v>0</v>
      </c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1" t="n">
        <f aca="false">N(INDEX(F318:R318,1,기본설정!$C$5+1))</f>
        <v>0</v>
      </c>
      <c r="T318" s="28" t="n">
        <f aca="false">S318*E318</f>
        <v>0</v>
      </c>
      <c r="U318" s="71" t="n">
        <f aca="false">N(INDEX(F318:R318,1,기본설정!$C$5))</f>
        <v>0</v>
      </c>
      <c r="V318" s="28" t="n">
        <f aca="false">U318*E318</f>
        <v>0</v>
      </c>
      <c r="W318" s="59" t="str">
        <f aca="false">IF(B318="","",IFERROR(INDEX(기본설정!$H$4:$H$14,MATCH(B318,기본설정!$G$4:$G$14,0)),""))</f>
        <v/>
      </c>
    </row>
    <row r="319" customFormat="false" ht="15" hidden="false" customHeight="false" outlineLevel="0" collapsed="false">
      <c r="A319" s="70"/>
      <c r="B319" s="81" t="str">
        <f aca="false">IF(C319="","",IFERROR(INDEX(식자재단가!$B$4:$B$203,MATCH(C319,식자재단가!$C$4:$C$203,0)),""))</f>
        <v/>
      </c>
      <c r="C319" s="80"/>
      <c r="D319" s="59" t="str">
        <f aca="false">IF(C319="","",IFERROR(INDEX(식자재단가!$F$4:$F$203,MATCH(C319,식자재단가!$C$4:$C$203,0)),""))</f>
        <v/>
      </c>
      <c r="E319" s="84" t="n">
        <f aca="false">IF(C319="",0,IFERROR(INDEX(식자재단가!$G$4:$G$203,MATCH(C319,식자재단가!$C$4:$C$203,0)),0))</f>
        <v>0</v>
      </c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1" t="n">
        <f aca="false">N(INDEX(F319:R319,1,기본설정!$C$5+1))</f>
        <v>0</v>
      </c>
      <c r="T319" s="28" t="n">
        <f aca="false">S319*E319</f>
        <v>0</v>
      </c>
      <c r="U319" s="71" t="n">
        <f aca="false">N(INDEX(F319:R319,1,기본설정!$C$5))</f>
        <v>0</v>
      </c>
      <c r="V319" s="28" t="n">
        <f aca="false">U319*E319</f>
        <v>0</v>
      </c>
      <c r="W319" s="59" t="str">
        <f aca="false">IF(B319="","",IFERROR(INDEX(기본설정!$H$4:$H$14,MATCH(B319,기본설정!$G$4:$G$14,0)),""))</f>
        <v/>
      </c>
    </row>
    <row r="320" customFormat="false" ht="15" hidden="false" customHeight="false" outlineLevel="0" collapsed="false">
      <c r="A320" s="70"/>
      <c r="B320" s="81" t="str">
        <f aca="false">IF(C320="","",IFERROR(INDEX(식자재단가!$B$4:$B$203,MATCH(C320,식자재단가!$C$4:$C$203,0)),""))</f>
        <v/>
      </c>
      <c r="C320" s="80"/>
      <c r="D320" s="59" t="str">
        <f aca="false">IF(C320="","",IFERROR(INDEX(식자재단가!$F$4:$F$203,MATCH(C320,식자재단가!$C$4:$C$203,0)),""))</f>
        <v/>
      </c>
      <c r="E320" s="84" t="n">
        <f aca="false">IF(C320="",0,IFERROR(INDEX(식자재단가!$G$4:$G$203,MATCH(C320,식자재단가!$C$4:$C$203,0)),0))</f>
        <v>0</v>
      </c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1" t="n">
        <f aca="false">N(INDEX(F320:R320,1,기본설정!$C$5+1))</f>
        <v>0</v>
      </c>
      <c r="T320" s="28" t="n">
        <f aca="false">S320*E320</f>
        <v>0</v>
      </c>
      <c r="U320" s="71" t="n">
        <f aca="false">N(INDEX(F320:R320,1,기본설정!$C$5))</f>
        <v>0</v>
      </c>
      <c r="V320" s="28" t="n">
        <f aca="false">U320*E320</f>
        <v>0</v>
      </c>
      <c r="W320" s="59" t="str">
        <f aca="false">IF(B320="","",IFERROR(INDEX(기본설정!$H$4:$H$14,MATCH(B320,기본설정!$G$4:$G$14,0)),""))</f>
        <v/>
      </c>
    </row>
    <row r="321" customFormat="false" ht="15" hidden="false" customHeight="false" outlineLevel="0" collapsed="false">
      <c r="A321" s="70"/>
      <c r="B321" s="81" t="str">
        <f aca="false">IF(C321="","",IFERROR(INDEX(식자재단가!$B$4:$B$203,MATCH(C321,식자재단가!$C$4:$C$203,0)),""))</f>
        <v/>
      </c>
      <c r="C321" s="80"/>
      <c r="D321" s="59" t="str">
        <f aca="false">IF(C321="","",IFERROR(INDEX(식자재단가!$F$4:$F$203,MATCH(C321,식자재단가!$C$4:$C$203,0)),""))</f>
        <v/>
      </c>
      <c r="E321" s="84" t="n">
        <f aca="false">IF(C321="",0,IFERROR(INDEX(식자재단가!$G$4:$G$203,MATCH(C321,식자재단가!$C$4:$C$203,0)),0))</f>
        <v>0</v>
      </c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1" t="n">
        <f aca="false">N(INDEX(F321:R321,1,기본설정!$C$5+1))</f>
        <v>0</v>
      </c>
      <c r="T321" s="28" t="n">
        <f aca="false">S321*E321</f>
        <v>0</v>
      </c>
      <c r="U321" s="71" t="n">
        <f aca="false">N(INDEX(F321:R321,1,기본설정!$C$5))</f>
        <v>0</v>
      </c>
      <c r="V321" s="28" t="n">
        <f aca="false">U321*E321</f>
        <v>0</v>
      </c>
      <c r="W321" s="59" t="str">
        <f aca="false">IF(B321="","",IFERROR(INDEX(기본설정!$H$4:$H$14,MATCH(B321,기본설정!$G$4:$G$14,0)),""))</f>
        <v/>
      </c>
    </row>
    <row r="322" customFormat="false" ht="15" hidden="false" customHeight="false" outlineLevel="0" collapsed="false">
      <c r="A322" s="70"/>
      <c r="B322" s="81" t="str">
        <f aca="false">IF(C322="","",IFERROR(INDEX(식자재단가!$B$4:$B$203,MATCH(C322,식자재단가!$C$4:$C$203,0)),""))</f>
        <v/>
      </c>
      <c r="C322" s="80"/>
      <c r="D322" s="59" t="str">
        <f aca="false">IF(C322="","",IFERROR(INDEX(식자재단가!$F$4:$F$203,MATCH(C322,식자재단가!$C$4:$C$203,0)),""))</f>
        <v/>
      </c>
      <c r="E322" s="84" t="n">
        <f aca="false">IF(C322="",0,IFERROR(INDEX(식자재단가!$G$4:$G$203,MATCH(C322,식자재단가!$C$4:$C$203,0)),0))</f>
        <v>0</v>
      </c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1" t="n">
        <f aca="false">N(INDEX(F322:R322,1,기본설정!$C$5+1))</f>
        <v>0</v>
      </c>
      <c r="T322" s="28" t="n">
        <f aca="false">S322*E322</f>
        <v>0</v>
      </c>
      <c r="U322" s="71" t="n">
        <f aca="false">N(INDEX(F322:R322,1,기본설정!$C$5))</f>
        <v>0</v>
      </c>
      <c r="V322" s="28" t="n">
        <f aca="false">U322*E322</f>
        <v>0</v>
      </c>
      <c r="W322" s="59" t="str">
        <f aca="false">IF(B322="","",IFERROR(INDEX(기본설정!$H$4:$H$14,MATCH(B322,기본설정!$G$4:$G$14,0)),""))</f>
        <v/>
      </c>
    </row>
    <row r="323" customFormat="false" ht="15" hidden="false" customHeight="false" outlineLevel="0" collapsed="false">
      <c r="A323" s="70"/>
      <c r="B323" s="81" t="str">
        <f aca="false">IF(C323="","",IFERROR(INDEX(식자재단가!$B$4:$B$203,MATCH(C323,식자재단가!$C$4:$C$203,0)),""))</f>
        <v/>
      </c>
      <c r="C323" s="80"/>
      <c r="D323" s="59" t="str">
        <f aca="false">IF(C323="","",IFERROR(INDEX(식자재단가!$F$4:$F$203,MATCH(C323,식자재단가!$C$4:$C$203,0)),""))</f>
        <v/>
      </c>
      <c r="E323" s="84" t="n">
        <f aca="false">IF(C323="",0,IFERROR(INDEX(식자재단가!$G$4:$G$203,MATCH(C323,식자재단가!$C$4:$C$203,0)),0))</f>
        <v>0</v>
      </c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1" t="n">
        <f aca="false">N(INDEX(F323:R323,1,기본설정!$C$5+1))</f>
        <v>0</v>
      </c>
      <c r="T323" s="28" t="n">
        <f aca="false">S323*E323</f>
        <v>0</v>
      </c>
      <c r="U323" s="71" t="n">
        <f aca="false">N(INDEX(F323:R323,1,기본설정!$C$5))</f>
        <v>0</v>
      </c>
      <c r="V323" s="28" t="n">
        <f aca="false">U323*E323</f>
        <v>0</v>
      </c>
      <c r="W323" s="59" t="str">
        <f aca="false">IF(B323="","",IFERROR(INDEX(기본설정!$H$4:$H$14,MATCH(B323,기본설정!$G$4:$G$14,0)),""))</f>
        <v/>
      </c>
    </row>
    <row r="324" customFormat="false" ht="15" hidden="false" customHeight="false" outlineLevel="0" collapsed="false">
      <c r="A324" s="70"/>
      <c r="B324" s="81" t="str">
        <f aca="false">IF(C324="","",IFERROR(INDEX(식자재단가!$B$4:$B$203,MATCH(C324,식자재단가!$C$4:$C$203,0)),""))</f>
        <v/>
      </c>
      <c r="C324" s="80"/>
      <c r="D324" s="59" t="str">
        <f aca="false">IF(C324="","",IFERROR(INDEX(식자재단가!$F$4:$F$203,MATCH(C324,식자재단가!$C$4:$C$203,0)),""))</f>
        <v/>
      </c>
      <c r="E324" s="84" t="n">
        <f aca="false">IF(C324="",0,IFERROR(INDEX(식자재단가!$G$4:$G$203,MATCH(C324,식자재단가!$C$4:$C$203,0)),0))</f>
        <v>0</v>
      </c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1" t="n">
        <f aca="false">N(INDEX(F324:R324,1,기본설정!$C$5+1))</f>
        <v>0</v>
      </c>
      <c r="T324" s="28" t="n">
        <f aca="false">S324*E324</f>
        <v>0</v>
      </c>
      <c r="U324" s="71" t="n">
        <f aca="false">N(INDEX(F324:R324,1,기본설정!$C$5))</f>
        <v>0</v>
      </c>
      <c r="V324" s="28" t="n">
        <f aca="false">U324*E324</f>
        <v>0</v>
      </c>
      <c r="W324" s="59" t="str">
        <f aca="false">IF(B324="","",IFERROR(INDEX(기본설정!$H$4:$H$14,MATCH(B324,기본설정!$G$4:$G$14,0)),""))</f>
        <v/>
      </c>
    </row>
    <row r="325" customFormat="false" ht="15" hidden="false" customHeight="false" outlineLevel="0" collapsed="false">
      <c r="A325" s="70"/>
      <c r="B325" s="81" t="str">
        <f aca="false">IF(C325="","",IFERROR(INDEX(식자재단가!$B$4:$B$203,MATCH(C325,식자재단가!$C$4:$C$203,0)),""))</f>
        <v/>
      </c>
      <c r="C325" s="80"/>
      <c r="D325" s="59" t="str">
        <f aca="false">IF(C325="","",IFERROR(INDEX(식자재단가!$F$4:$F$203,MATCH(C325,식자재단가!$C$4:$C$203,0)),""))</f>
        <v/>
      </c>
      <c r="E325" s="84" t="n">
        <f aca="false">IF(C325="",0,IFERROR(INDEX(식자재단가!$G$4:$G$203,MATCH(C325,식자재단가!$C$4:$C$203,0)),0))</f>
        <v>0</v>
      </c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1" t="n">
        <f aca="false">N(INDEX(F325:R325,1,기본설정!$C$5+1))</f>
        <v>0</v>
      </c>
      <c r="T325" s="28" t="n">
        <f aca="false">S325*E325</f>
        <v>0</v>
      </c>
      <c r="U325" s="71" t="n">
        <f aca="false">N(INDEX(F325:R325,1,기본설정!$C$5))</f>
        <v>0</v>
      </c>
      <c r="V325" s="28" t="n">
        <f aca="false">U325*E325</f>
        <v>0</v>
      </c>
      <c r="W325" s="59" t="str">
        <f aca="false">IF(B325="","",IFERROR(INDEX(기본설정!$H$4:$H$14,MATCH(B325,기본설정!$G$4:$G$14,0)),""))</f>
        <v/>
      </c>
    </row>
    <row r="326" customFormat="false" ht="15" hidden="false" customHeight="false" outlineLevel="0" collapsed="false">
      <c r="A326" s="70"/>
      <c r="B326" s="81" t="str">
        <f aca="false">IF(C326="","",IFERROR(INDEX(식자재단가!$B$4:$B$203,MATCH(C326,식자재단가!$C$4:$C$203,0)),""))</f>
        <v/>
      </c>
      <c r="C326" s="80"/>
      <c r="D326" s="59" t="str">
        <f aca="false">IF(C326="","",IFERROR(INDEX(식자재단가!$F$4:$F$203,MATCH(C326,식자재단가!$C$4:$C$203,0)),""))</f>
        <v/>
      </c>
      <c r="E326" s="84" t="n">
        <f aca="false">IF(C326="",0,IFERROR(INDEX(식자재단가!$G$4:$G$203,MATCH(C326,식자재단가!$C$4:$C$203,0)),0))</f>
        <v>0</v>
      </c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1" t="n">
        <f aca="false">N(INDEX(F326:R326,1,기본설정!$C$5+1))</f>
        <v>0</v>
      </c>
      <c r="T326" s="28" t="n">
        <f aca="false">S326*E326</f>
        <v>0</v>
      </c>
      <c r="U326" s="71" t="n">
        <f aca="false">N(INDEX(F326:R326,1,기본설정!$C$5))</f>
        <v>0</v>
      </c>
      <c r="V326" s="28" t="n">
        <f aca="false">U326*E326</f>
        <v>0</v>
      </c>
      <c r="W326" s="59" t="str">
        <f aca="false">IF(B326="","",IFERROR(INDEX(기본설정!$H$4:$H$14,MATCH(B326,기본설정!$G$4:$G$14,0)),""))</f>
        <v/>
      </c>
    </row>
    <row r="327" customFormat="false" ht="15" hidden="false" customHeight="false" outlineLevel="0" collapsed="false">
      <c r="A327" s="70"/>
      <c r="B327" s="81" t="str">
        <f aca="false">IF(C327="","",IFERROR(INDEX(식자재단가!$B$4:$B$203,MATCH(C327,식자재단가!$C$4:$C$203,0)),""))</f>
        <v/>
      </c>
      <c r="C327" s="80"/>
      <c r="D327" s="59" t="str">
        <f aca="false">IF(C327="","",IFERROR(INDEX(식자재단가!$F$4:$F$203,MATCH(C327,식자재단가!$C$4:$C$203,0)),""))</f>
        <v/>
      </c>
      <c r="E327" s="84" t="n">
        <f aca="false">IF(C327="",0,IFERROR(INDEX(식자재단가!$G$4:$G$203,MATCH(C327,식자재단가!$C$4:$C$203,0)),0))</f>
        <v>0</v>
      </c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1" t="n">
        <f aca="false">N(INDEX(F327:R327,1,기본설정!$C$5+1))</f>
        <v>0</v>
      </c>
      <c r="T327" s="28" t="n">
        <f aca="false">S327*E327</f>
        <v>0</v>
      </c>
      <c r="U327" s="71" t="n">
        <f aca="false">N(INDEX(F327:R327,1,기본설정!$C$5))</f>
        <v>0</v>
      </c>
      <c r="V327" s="28" t="n">
        <f aca="false">U327*E327</f>
        <v>0</v>
      </c>
      <c r="W327" s="59" t="str">
        <f aca="false">IF(B327="","",IFERROR(INDEX(기본설정!$H$4:$H$14,MATCH(B327,기본설정!$G$4:$G$14,0)),""))</f>
        <v/>
      </c>
    </row>
    <row r="328" customFormat="false" ht="15" hidden="false" customHeight="false" outlineLevel="0" collapsed="false">
      <c r="A328" s="70"/>
      <c r="B328" s="81" t="str">
        <f aca="false">IF(C328="","",IFERROR(INDEX(식자재단가!$B$4:$B$203,MATCH(C328,식자재단가!$C$4:$C$203,0)),""))</f>
        <v/>
      </c>
      <c r="C328" s="80"/>
      <c r="D328" s="59" t="str">
        <f aca="false">IF(C328="","",IFERROR(INDEX(식자재단가!$F$4:$F$203,MATCH(C328,식자재단가!$C$4:$C$203,0)),""))</f>
        <v/>
      </c>
      <c r="E328" s="84" t="n">
        <f aca="false">IF(C328="",0,IFERROR(INDEX(식자재단가!$G$4:$G$203,MATCH(C328,식자재단가!$C$4:$C$203,0)),0))</f>
        <v>0</v>
      </c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1" t="n">
        <f aca="false">N(INDEX(F328:R328,1,기본설정!$C$5+1))</f>
        <v>0</v>
      </c>
      <c r="T328" s="28" t="n">
        <f aca="false">S328*E328</f>
        <v>0</v>
      </c>
      <c r="U328" s="71" t="n">
        <f aca="false">N(INDEX(F328:R328,1,기본설정!$C$5))</f>
        <v>0</v>
      </c>
      <c r="V328" s="28" t="n">
        <f aca="false">U328*E328</f>
        <v>0</v>
      </c>
      <c r="W328" s="59" t="str">
        <f aca="false">IF(B328="","",IFERROR(INDEX(기본설정!$H$4:$H$14,MATCH(B328,기본설정!$G$4:$G$14,0)),""))</f>
        <v/>
      </c>
    </row>
    <row r="329" customFormat="false" ht="15" hidden="false" customHeight="false" outlineLevel="0" collapsed="false">
      <c r="A329" s="70"/>
      <c r="B329" s="81" t="str">
        <f aca="false">IF(C329="","",IFERROR(INDEX(식자재단가!$B$4:$B$203,MATCH(C329,식자재단가!$C$4:$C$203,0)),""))</f>
        <v/>
      </c>
      <c r="C329" s="80"/>
      <c r="D329" s="59" t="str">
        <f aca="false">IF(C329="","",IFERROR(INDEX(식자재단가!$F$4:$F$203,MATCH(C329,식자재단가!$C$4:$C$203,0)),""))</f>
        <v/>
      </c>
      <c r="E329" s="84" t="n">
        <f aca="false">IF(C329="",0,IFERROR(INDEX(식자재단가!$G$4:$G$203,MATCH(C329,식자재단가!$C$4:$C$203,0)),0))</f>
        <v>0</v>
      </c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1" t="n">
        <f aca="false">N(INDEX(F329:R329,1,기본설정!$C$5+1))</f>
        <v>0</v>
      </c>
      <c r="T329" s="28" t="n">
        <f aca="false">S329*E329</f>
        <v>0</v>
      </c>
      <c r="U329" s="71" t="n">
        <f aca="false">N(INDEX(F329:R329,1,기본설정!$C$5))</f>
        <v>0</v>
      </c>
      <c r="V329" s="28" t="n">
        <f aca="false">U329*E329</f>
        <v>0</v>
      </c>
      <c r="W329" s="59" t="str">
        <f aca="false">IF(B329="","",IFERROR(INDEX(기본설정!$H$4:$H$14,MATCH(B329,기본설정!$G$4:$G$14,0)),""))</f>
        <v/>
      </c>
    </row>
    <row r="330" customFormat="false" ht="15" hidden="false" customHeight="false" outlineLevel="0" collapsed="false">
      <c r="A330" s="70"/>
      <c r="B330" s="81" t="str">
        <f aca="false">IF(C330="","",IFERROR(INDEX(식자재단가!$B$4:$B$203,MATCH(C330,식자재단가!$C$4:$C$203,0)),""))</f>
        <v/>
      </c>
      <c r="C330" s="80"/>
      <c r="D330" s="59" t="str">
        <f aca="false">IF(C330="","",IFERROR(INDEX(식자재단가!$F$4:$F$203,MATCH(C330,식자재단가!$C$4:$C$203,0)),""))</f>
        <v/>
      </c>
      <c r="E330" s="84" t="n">
        <f aca="false">IF(C330="",0,IFERROR(INDEX(식자재단가!$G$4:$G$203,MATCH(C330,식자재단가!$C$4:$C$203,0)),0))</f>
        <v>0</v>
      </c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1" t="n">
        <f aca="false">N(INDEX(F330:R330,1,기본설정!$C$5+1))</f>
        <v>0</v>
      </c>
      <c r="T330" s="28" t="n">
        <f aca="false">S330*E330</f>
        <v>0</v>
      </c>
      <c r="U330" s="71" t="n">
        <f aca="false">N(INDEX(F330:R330,1,기본설정!$C$5))</f>
        <v>0</v>
      </c>
      <c r="V330" s="28" t="n">
        <f aca="false">U330*E330</f>
        <v>0</v>
      </c>
      <c r="W330" s="59" t="str">
        <f aca="false">IF(B330="","",IFERROR(INDEX(기본설정!$H$4:$H$14,MATCH(B330,기본설정!$G$4:$G$14,0)),""))</f>
        <v/>
      </c>
    </row>
    <row r="331" customFormat="false" ht="15" hidden="false" customHeight="false" outlineLevel="0" collapsed="false">
      <c r="A331" s="70"/>
      <c r="B331" s="81" t="str">
        <f aca="false">IF(C331="","",IFERROR(INDEX(식자재단가!$B$4:$B$203,MATCH(C331,식자재단가!$C$4:$C$203,0)),""))</f>
        <v/>
      </c>
      <c r="C331" s="80"/>
      <c r="D331" s="59" t="str">
        <f aca="false">IF(C331="","",IFERROR(INDEX(식자재단가!$F$4:$F$203,MATCH(C331,식자재단가!$C$4:$C$203,0)),""))</f>
        <v/>
      </c>
      <c r="E331" s="84" t="n">
        <f aca="false">IF(C331="",0,IFERROR(INDEX(식자재단가!$G$4:$G$203,MATCH(C331,식자재단가!$C$4:$C$203,0)),0))</f>
        <v>0</v>
      </c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1" t="n">
        <f aca="false">N(INDEX(F331:R331,1,기본설정!$C$5+1))</f>
        <v>0</v>
      </c>
      <c r="T331" s="28" t="n">
        <f aca="false">S331*E331</f>
        <v>0</v>
      </c>
      <c r="U331" s="71" t="n">
        <f aca="false">N(INDEX(F331:R331,1,기본설정!$C$5))</f>
        <v>0</v>
      </c>
      <c r="V331" s="28" t="n">
        <f aca="false">U331*E331</f>
        <v>0</v>
      </c>
      <c r="W331" s="59" t="str">
        <f aca="false">IF(B331="","",IFERROR(INDEX(기본설정!$H$4:$H$14,MATCH(B331,기본설정!$G$4:$G$14,0)),""))</f>
        <v/>
      </c>
    </row>
    <row r="332" customFormat="false" ht="15" hidden="false" customHeight="false" outlineLevel="0" collapsed="false">
      <c r="A332" s="70"/>
      <c r="B332" s="81" t="str">
        <f aca="false">IF(C332="","",IFERROR(INDEX(식자재단가!$B$4:$B$203,MATCH(C332,식자재단가!$C$4:$C$203,0)),""))</f>
        <v/>
      </c>
      <c r="C332" s="80"/>
      <c r="D332" s="59" t="str">
        <f aca="false">IF(C332="","",IFERROR(INDEX(식자재단가!$F$4:$F$203,MATCH(C332,식자재단가!$C$4:$C$203,0)),""))</f>
        <v/>
      </c>
      <c r="E332" s="84" t="n">
        <f aca="false">IF(C332="",0,IFERROR(INDEX(식자재단가!$G$4:$G$203,MATCH(C332,식자재단가!$C$4:$C$203,0)),0))</f>
        <v>0</v>
      </c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1" t="n">
        <f aca="false">N(INDEX(F332:R332,1,기본설정!$C$5+1))</f>
        <v>0</v>
      </c>
      <c r="T332" s="28" t="n">
        <f aca="false">S332*E332</f>
        <v>0</v>
      </c>
      <c r="U332" s="71" t="n">
        <f aca="false">N(INDEX(F332:R332,1,기본설정!$C$5))</f>
        <v>0</v>
      </c>
      <c r="V332" s="28" t="n">
        <f aca="false">U332*E332</f>
        <v>0</v>
      </c>
      <c r="W332" s="59" t="str">
        <f aca="false">IF(B332="","",IFERROR(INDEX(기본설정!$H$4:$H$14,MATCH(B332,기본설정!$G$4:$G$14,0)),""))</f>
        <v/>
      </c>
    </row>
    <row r="333" customFormat="false" ht="15" hidden="false" customHeight="false" outlineLevel="0" collapsed="false">
      <c r="A333" s="70"/>
      <c r="B333" s="81" t="str">
        <f aca="false">IF(C333="","",IFERROR(INDEX(식자재단가!$B$4:$B$203,MATCH(C333,식자재단가!$C$4:$C$203,0)),""))</f>
        <v/>
      </c>
      <c r="C333" s="80"/>
      <c r="D333" s="59" t="str">
        <f aca="false">IF(C333="","",IFERROR(INDEX(식자재단가!$F$4:$F$203,MATCH(C333,식자재단가!$C$4:$C$203,0)),""))</f>
        <v/>
      </c>
      <c r="E333" s="84" t="n">
        <f aca="false">IF(C333="",0,IFERROR(INDEX(식자재단가!$G$4:$G$203,MATCH(C333,식자재단가!$C$4:$C$203,0)),0))</f>
        <v>0</v>
      </c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1" t="n">
        <f aca="false">N(INDEX(F333:R333,1,기본설정!$C$5+1))</f>
        <v>0</v>
      </c>
      <c r="T333" s="28" t="n">
        <f aca="false">S333*E333</f>
        <v>0</v>
      </c>
      <c r="U333" s="71" t="n">
        <f aca="false">N(INDEX(F333:R333,1,기본설정!$C$5))</f>
        <v>0</v>
      </c>
      <c r="V333" s="28" t="n">
        <f aca="false">U333*E333</f>
        <v>0</v>
      </c>
      <c r="W333" s="59" t="str">
        <f aca="false">IF(B333="","",IFERROR(INDEX(기본설정!$H$4:$H$14,MATCH(B333,기본설정!$G$4:$G$14,0)),""))</f>
        <v/>
      </c>
    </row>
    <row r="334" customFormat="false" ht="15" hidden="false" customHeight="false" outlineLevel="0" collapsed="false">
      <c r="A334" s="70"/>
      <c r="B334" s="81" t="str">
        <f aca="false">IF(C334="","",IFERROR(INDEX(식자재단가!$B$4:$B$203,MATCH(C334,식자재단가!$C$4:$C$203,0)),""))</f>
        <v/>
      </c>
      <c r="C334" s="80"/>
      <c r="D334" s="59" t="str">
        <f aca="false">IF(C334="","",IFERROR(INDEX(식자재단가!$F$4:$F$203,MATCH(C334,식자재단가!$C$4:$C$203,0)),""))</f>
        <v/>
      </c>
      <c r="E334" s="84" t="n">
        <f aca="false">IF(C334="",0,IFERROR(INDEX(식자재단가!$G$4:$G$203,MATCH(C334,식자재단가!$C$4:$C$203,0)),0))</f>
        <v>0</v>
      </c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1" t="n">
        <f aca="false">N(INDEX(F334:R334,1,기본설정!$C$5+1))</f>
        <v>0</v>
      </c>
      <c r="T334" s="28" t="n">
        <f aca="false">S334*E334</f>
        <v>0</v>
      </c>
      <c r="U334" s="71" t="n">
        <f aca="false">N(INDEX(F334:R334,1,기본설정!$C$5))</f>
        <v>0</v>
      </c>
      <c r="V334" s="28" t="n">
        <f aca="false">U334*E334</f>
        <v>0</v>
      </c>
      <c r="W334" s="59" t="str">
        <f aca="false">IF(B334="","",IFERROR(INDEX(기본설정!$H$4:$H$14,MATCH(B334,기본설정!$G$4:$G$14,0)),""))</f>
        <v/>
      </c>
    </row>
    <row r="335" customFormat="false" ht="15" hidden="false" customHeight="false" outlineLevel="0" collapsed="false">
      <c r="A335" s="70"/>
      <c r="B335" s="81" t="str">
        <f aca="false">IF(C335="","",IFERROR(INDEX(식자재단가!$B$4:$B$203,MATCH(C335,식자재단가!$C$4:$C$203,0)),""))</f>
        <v/>
      </c>
      <c r="C335" s="80"/>
      <c r="D335" s="59" t="str">
        <f aca="false">IF(C335="","",IFERROR(INDEX(식자재단가!$F$4:$F$203,MATCH(C335,식자재단가!$C$4:$C$203,0)),""))</f>
        <v/>
      </c>
      <c r="E335" s="84" t="n">
        <f aca="false">IF(C335="",0,IFERROR(INDEX(식자재단가!$G$4:$G$203,MATCH(C335,식자재단가!$C$4:$C$203,0)),0))</f>
        <v>0</v>
      </c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1" t="n">
        <f aca="false">N(INDEX(F335:R335,1,기본설정!$C$5+1))</f>
        <v>0</v>
      </c>
      <c r="T335" s="28" t="n">
        <f aca="false">S335*E335</f>
        <v>0</v>
      </c>
      <c r="U335" s="71" t="n">
        <f aca="false">N(INDEX(F335:R335,1,기본설정!$C$5))</f>
        <v>0</v>
      </c>
      <c r="V335" s="28" t="n">
        <f aca="false">U335*E335</f>
        <v>0</v>
      </c>
      <c r="W335" s="59" t="str">
        <f aca="false">IF(B335="","",IFERROR(INDEX(기본설정!$H$4:$H$14,MATCH(B335,기본설정!$G$4:$G$14,0)),""))</f>
        <v/>
      </c>
    </row>
    <row r="336" customFormat="false" ht="15" hidden="false" customHeight="false" outlineLevel="0" collapsed="false">
      <c r="A336" s="70"/>
      <c r="B336" s="81" t="str">
        <f aca="false">IF(C336="","",IFERROR(INDEX(식자재단가!$B$4:$B$203,MATCH(C336,식자재단가!$C$4:$C$203,0)),""))</f>
        <v/>
      </c>
      <c r="C336" s="80"/>
      <c r="D336" s="59" t="str">
        <f aca="false">IF(C336="","",IFERROR(INDEX(식자재단가!$F$4:$F$203,MATCH(C336,식자재단가!$C$4:$C$203,0)),""))</f>
        <v/>
      </c>
      <c r="E336" s="84" t="n">
        <f aca="false">IF(C336="",0,IFERROR(INDEX(식자재단가!$G$4:$G$203,MATCH(C336,식자재단가!$C$4:$C$203,0)),0))</f>
        <v>0</v>
      </c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1" t="n">
        <f aca="false">N(INDEX(F336:R336,1,기본설정!$C$5+1))</f>
        <v>0</v>
      </c>
      <c r="T336" s="28" t="n">
        <f aca="false">S336*E336</f>
        <v>0</v>
      </c>
      <c r="U336" s="71" t="n">
        <f aca="false">N(INDEX(F336:R336,1,기본설정!$C$5))</f>
        <v>0</v>
      </c>
      <c r="V336" s="28" t="n">
        <f aca="false">U336*E336</f>
        <v>0</v>
      </c>
      <c r="W336" s="59" t="str">
        <f aca="false">IF(B336="","",IFERROR(INDEX(기본설정!$H$4:$H$14,MATCH(B336,기본설정!$G$4:$G$14,0)),""))</f>
        <v/>
      </c>
    </row>
    <row r="337" customFormat="false" ht="15" hidden="false" customHeight="false" outlineLevel="0" collapsed="false">
      <c r="A337" s="70"/>
      <c r="B337" s="81" t="str">
        <f aca="false">IF(C337="","",IFERROR(INDEX(식자재단가!$B$4:$B$203,MATCH(C337,식자재단가!$C$4:$C$203,0)),""))</f>
        <v/>
      </c>
      <c r="C337" s="80"/>
      <c r="D337" s="59" t="str">
        <f aca="false">IF(C337="","",IFERROR(INDEX(식자재단가!$F$4:$F$203,MATCH(C337,식자재단가!$C$4:$C$203,0)),""))</f>
        <v/>
      </c>
      <c r="E337" s="84" t="n">
        <f aca="false">IF(C337="",0,IFERROR(INDEX(식자재단가!$G$4:$G$203,MATCH(C337,식자재단가!$C$4:$C$203,0)),0))</f>
        <v>0</v>
      </c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1" t="n">
        <f aca="false">N(INDEX(F337:R337,1,기본설정!$C$5+1))</f>
        <v>0</v>
      </c>
      <c r="T337" s="28" t="n">
        <f aca="false">S337*E337</f>
        <v>0</v>
      </c>
      <c r="U337" s="71" t="n">
        <f aca="false">N(INDEX(F337:R337,1,기본설정!$C$5))</f>
        <v>0</v>
      </c>
      <c r="V337" s="28" t="n">
        <f aca="false">U337*E337</f>
        <v>0</v>
      </c>
      <c r="W337" s="59" t="str">
        <f aca="false">IF(B337="","",IFERROR(INDEX(기본설정!$H$4:$H$14,MATCH(B337,기본설정!$G$4:$G$14,0)),""))</f>
        <v/>
      </c>
    </row>
    <row r="338" customFormat="false" ht="15" hidden="false" customHeight="false" outlineLevel="0" collapsed="false">
      <c r="A338" s="70"/>
      <c r="B338" s="81" t="str">
        <f aca="false">IF(C338="","",IFERROR(INDEX(식자재단가!$B$4:$B$203,MATCH(C338,식자재단가!$C$4:$C$203,0)),""))</f>
        <v/>
      </c>
      <c r="C338" s="80"/>
      <c r="D338" s="59" t="str">
        <f aca="false">IF(C338="","",IFERROR(INDEX(식자재단가!$F$4:$F$203,MATCH(C338,식자재단가!$C$4:$C$203,0)),""))</f>
        <v/>
      </c>
      <c r="E338" s="84" t="n">
        <f aca="false">IF(C338="",0,IFERROR(INDEX(식자재단가!$G$4:$G$203,MATCH(C338,식자재단가!$C$4:$C$203,0)),0))</f>
        <v>0</v>
      </c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1" t="n">
        <f aca="false">N(INDEX(F338:R338,1,기본설정!$C$5+1))</f>
        <v>0</v>
      </c>
      <c r="T338" s="28" t="n">
        <f aca="false">S338*E338</f>
        <v>0</v>
      </c>
      <c r="U338" s="71" t="n">
        <f aca="false">N(INDEX(F338:R338,1,기본설정!$C$5))</f>
        <v>0</v>
      </c>
      <c r="V338" s="28" t="n">
        <f aca="false">U338*E338</f>
        <v>0</v>
      </c>
      <c r="W338" s="59" t="str">
        <f aca="false">IF(B338="","",IFERROR(INDEX(기본설정!$H$4:$H$14,MATCH(B338,기본설정!$G$4:$G$14,0)),""))</f>
        <v/>
      </c>
    </row>
    <row r="339" customFormat="false" ht="15" hidden="false" customHeight="false" outlineLevel="0" collapsed="false">
      <c r="A339" s="70"/>
      <c r="B339" s="81" t="str">
        <f aca="false">IF(C339="","",IFERROR(INDEX(식자재단가!$B$4:$B$203,MATCH(C339,식자재단가!$C$4:$C$203,0)),""))</f>
        <v/>
      </c>
      <c r="C339" s="80"/>
      <c r="D339" s="59" t="str">
        <f aca="false">IF(C339="","",IFERROR(INDEX(식자재단가!$F$4:$F$203,MATCH(C339,식자재단가!$C$4:$C$203,0)),""))</f>
        <v/>
      </c>
      <c r="E339" s="84" t="n">
        <f aca="false">IF(C339="",0,IFERROR(INDEX(식자재단가!$G$4:$G$203,MATCH(C339,식자재단가!$C$4:$C$203,0)),0))</f>
        <v>0</v>
      </c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1" t="n">
        <f aca="false">N(INDEX(F339:R339,1,기본설정!$C$5+1))</f>
        <v>0</v>
      </c>
      <c r="T339" s="28" t="n">
        <f aca="false">S339*E339</f>
        <v>0</v>
      </c>
      <c r="U339" s="71" t="n">
        <f aca="false">N(INDEX(F339:R339,1,기본설정!$C$5))</f>
        <v>0</v>
      </c>
      <c r="V339" s="28" t="n">
        <f aca="false">U339*E339</f>
        <v>0</v>
      </c>
      <c r="W339" s="59" t="str">
        <f aca="false">IF(B339="","",IFERROR(INDEX(기본설정!$H$4:$H$14,MATCH(B339,기본설정!$G$4:$G$14,0)),""))</f>
        <v/>
      </c>
    </row>
    <row r="340" customFormat="false" ht="15" hidden="false" customHeight="false" outlineLevel="0" collapsed="false">
      <c r="A340" s="70"/>
      <c r="B340" s="81" t="str">
        <f aca="false">IF(C340="","",IFERROR(INDEX(식자재단가!$B$4:$B$203,MATCH(C340,식자재단가!$C$4:$C$203,0)),""))</f>
        <v/>
      </c>
      <c r="C340" s="80"/>
      <c r="D340" s="59" t="str">
        <f aca="false">IF(C340="","",IFERROR(INDEX(식자재단가!$F$4:$F$203,MATCH(C340,식자재단가!$C$4:$C$203,0)),""))</f>
        <v/>
      </c>
      <c r="E340" s="84" t="n">
        <f aca="false">IF(C340="",0,IFERROR(INDEX(식자재단가!$G$4:$G$203,MATCH(C340,식자재단가!$C$4:$C$203,0)),0))</f>
        <v>0</v>
      </c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1" t="n">
        <f aca="false">N(INDEX(F340:R340,1,기본설정!$C$5+1))</f>
        <v>0</v>
      </c>
      <c r="T340" s="28" t="n">
        <f aca="false">S340*E340</f>
        <v>0</v>
      </c>
      <c r="U340" s="71" t="n">
        <f aca="false">N(INDEX(F340:R340,1,기본설정!$C$5))</f>
        <v>0</v>
      </c>
      <c r="V340" s="28" t="n">
        <f aca="false">U340*E340</f>
        <v>0</v>
      </c>
      <c r="W340" s="59" t="str">
        <f aca="false">IF(B340="","",IFERROR(INDEX(기본설정!$H$4:$H$14,MATCH(B340,기본설정!$G$4:$G$14,0)),""))</f>
        <v/>
      </c>
    </row>
    <row r="341" customFormat="false" ht="15" hidden="false" customHeight="false" outlineLevel="0" collapsed="false">
      <c r="A341" s="70"/>
      <c r="B341" s="81" t="str">
        <f aca="false">IF(C341="","",IFERROR(INDEX(식자재단가!$B$4:$B$203,MATCH(C341,식자재단가!$C$4:$C$203,0)),""))</f>
        <v/>
      </c>
      <c r="C341" s="80"/>
      <c r="D341" s="59" t="str">
        <f aca="false">IF(C341="","",IFERROR(INDEX(식자재단가!$F$4:$F$203,MATCH(C341,식자재단가!$C$4:$C$203,0)),""))</f>
        <v/>
      </c>
      <c r="E341" s="84" t="n">
        <f aca="false">IF(C341="",0,IFERROR(INDEX(식자재단가!$G$4:$G$203,MATCH(C341,식자재단가!$C$4:$C$203,0)),0))</f>
        <v>0</v>
      </c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1" t="n">
        <f aca="false">N(INDEX(F341:R341,1,기본설정!$C$5+1))</f>
        <v>0</v>
      </c>
      <c r="T341" s="28" t="n">
        <f aca="false">S341*E341</f>
        <v>0</v>
      </c>
      <c r="U341" s="71" t="n">
        <f aca="false">N(INDEX(F341:R341,1,기본설정!$C$5))</f>
        <v>0</v>
      </c>
      <c r="V341" s="28" t="n">
        <f aca="false">U341*E341</f>
        <v>0</v>
      </c>
      <c r="W341" s="59" t="str">
        <f aca="false">IF(B341="","",IFERROR(INDEX(기본설정!$H$4:$H$14,MATCH(B341,기본설정!$G$4:$G$14,0)),""))</f>
        <v/>
      </c>
    </row>
    <row r="342" customFormat="false" ht="15" hidden="false" customHeight="false" outlineLevel="0" collapsed="false">
      <c r="A342" s="70"/>
      <c r="B342" s="81" t="str">
        <f aca="false">IF(C342="","",IFERROR(INDEX(식자재단가!$B$4:$B$203,MATCH(C342,식자재단가!$C$4:$C$203,0)),""))</f>
        <v/>
      </c>
      <c r="C342" s="80"/>
      <c r="D342" s="59" t="str">
        <f aca="false">IF(C342="","",IFERROR(INDEX(식자재단가!$F$4:$F$203,MATCH(C342,식자재단가!$C$4:$C$203,0)),""))</f>
        <v/>
      </c>
      <c r="E342" s="84" t="n">
        <f aca="false">IF(C342="",0,IFERROR(INDEX(식자재단가!$G$4:$G$203,MATCH(C342,식자재단가!$C$4:$C$203,0)),0))</f>
        <v>0</v>
      </c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1" t="n">
        <f aca="false">N(INDEX(F342:R342,1,기본설정!$C$5+1))</f>
        <v>0</v>
      </c>
      <c r="T342" s="28" t="n">
        <f aca="false">S342*E342</f>
        <v>0</v>
      </c>
      <c r="U342" s="71" t="n">
        <f aca="false">N(INDEX(F342:R342,1,기본설정!$C$5))</f>
        <v>0</v>
      </c>
      <c r="V342" s="28" t="n">
        <f aca="false">U342*E342</f>
        <v>0</v>
      </c>
      <c r="W342" s="59" t="str">
        <f aca="false">IF(B342="","",IFERROR(INDEX(기본설정!$H$4:$H$14,MATCH(B342,기본설정!$G$4:$G$14,0)),""))</f>
        <v/>
      </c>
    </row>
    <row r="343" customFormat="false" ht="15" hidden="false" customHeight="false" outlineLevel="0" collapsed="false">
      <c r="A343" s="70"/>
      <c r="B343" s="81" t="str">
        <f aca="false">IF(C343="","",IFERROR(INDEX(식자재단가!$B$4:$B$203,MATCH(C343,식자재단가!$C$4:$C$203,0)),""))</f>
        <v/>
      </c>
      <c r="C343" s="80"/>
      <c r="D343" s="59" t="str">
        <f aca="false">IF(C343="","",IFERROR(INDEX(식자재단가!$F$4:$F$203,MATCH(C343,식자재단가!$C$4:$C$203,0)),""))</f>
        <v/>
      </c>
      <c r="E343" s="84" t="n">
        <f aca="false">IF(C343="",0,IFERROR(INDEX(식자재단가!$G$4:$G$203,MATCH(C343,식자재단가!$C$4:$C$203,0)),0))</f>
        <v>0</v>
      </c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1" t="n">
        <f aca="false">N(INDEX(F343:R343,1,기본설정!$C$5+1))</f>
        <v>0</v>
      </c>
      <c r="T343" s="28" t="n">
        <f aca="false">S343*E343</f>
        <v>0</v>
      </c>
      <c r="U343" s="71" t="n">
        <f aca="false">N(INDEX(F343:R343,1,기본설정!$C$5))</f>
        <v>0</v>
      </c>
      <c r="V343" s="28" t="n">
        <f aca="false">U343*E343</f>
        <v>0</v>
      </c>
      <c r="W343" s="59" t="str">
        <f aca="false">IF(B343="","",IFERROR(INDEX(기본설정!$H$4:$H$14,MATCH(B343,기본설정!$G$4:$G$14,0)),""))</f>
        <v/>
      </c>
    </row>
    <row r="344" customFormat="false" ht="15" hidden="false" customHeight="false" outlineLevel="0" collapsed="false">
      <c r="A344" s="70"/>
      <c r="B344" s="81" t="str">
        <f aca="false">IF(C344="","",IFERROR(INDEX(식자재단가!$B$4:$B$203,MATCH(C344,식자재단가!$C$4:$C$203,0)),""))</f>
        <v/>
      </c>
      <c r="C344" s="80"/>
      <c r="D344" s="59" t="str">
        <f aca="false">IF(C344="","",IFERROR(INDEX(식자재단가!$F$4:$F$203,MATCH(C344,식자재단가!$C$4:$C$203,0)),""))</f>
        <v/>
      </c>
      <c r="E344" s="84" t="n">
        <f aca="false">IF(C344="",0,IFERROR(INDEX(식자재단가!$G$4:$G$203,MATCH(C344,식자재단가!$C$4:$C$203,0)),0))</f>
        <v>0</v>
      </c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1" t="n">
        <f aca="false">N(INDEX(F344:R344,1,기본설정!$C$5+1))</f>
        <v>0</v>
      </c>
      <c r="T344" s="28" t="n">
        <f aca="false">S344*E344</f>
        <v>0</v>
      </c>
      <c r="U344" s="71" t="n">
        <f aca="false">N(INDEX(F344:R344,1,기본설정!$C$5))</f>
        <v>0</v>
      </c>
      <c r="V344" s="28" t="n">
        <f aca="false">U344*E344</f>
        <v>0</v>
      </c>
      <c r="W344" s="59" t="str">
        <f aca="false">IF(B344="","",IFERROR(INDEX(기본설정!$H$4:$H$14,MATCH(B344,기본설정!$G$4:$G$14,0)),""))</f>
        <v/>
      </c>
    </row>
    <row r="345" customFormat="false" ht="15" hidden="false" customHeight="false" outlineLevel="0" collapsed="false">
      <c r="A345" s="70"/>
      <c r="B345" s="81" t="str">
        <f aca="false">IF(C345="","",IFERROR(INDEX(식자재단가!$B$4:$B$203,MATCH(C345,식자재단가!$C$4:$C$203,0)),""))</f>
        <v/>
      </c>
      <c r="C345" s="80"/>
      <c r="D345" s="59" t="str">
        <f aca="false">IF(C345="","",IFERROR(INDEX(식자재단가!$F$4:$F$203,MATCH(C345,식자재단가!$C$4:$C$203,0)),""))</f>
        <v/>
      </c>
      <c r="E345" s="84" t="n">
        <f aca="false">IF(C345="",0,IFERROR(INDEX(식자재단가!$G$4:$G$203,MATCH(C345,식자재단가!$C$4:$C$203,0)),0))</f>
        <v>0</v>
      </c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1" t="n">
        <f aca="false">N(INDEX(F345:R345,1,기본설정!$C$5+1))</f>
        <v>0</v>
      </c>
      <c r="T345" s="28" t="n">
        <f aca="false">S345*E345</f>
        <v>0</v>
      </c>
      <c r="U345" s="71" t="n">
        <f aca="false">N(INDEX(F345:R345,1,기본설정!$C$5))</f>
        <v>0</v>
      </c>
      <c r="V345" s="28" t="n">
        <f aca="false">U345*E345</f>
        <v>0</v>
      </c>
      <c r="W345" s="59" t="str">
        <f aca="false">IF(B345="","",IFERROR(INDEX(기본설정!$H$4:$H$14,MATCH(B345,기본설정!$G$4:$G$14,0)),""))</f>
        <v/>
      </c>
    </row>
    <row r="346" customFormat="false" ht="15" hidden="false" customHeight="false" outlineLevel="0" collapsed="false">
      <c r="A346" s="70"/>
      <c r="B346" s="81" t="str">
        <f aca="false">IF(C346="","",IFERROR(INDEX(식자재단가!$B$4:$B$203,MATCH(C346,식자재단가!$C$4:$C$203,0)),""))</f>
        <v/>
      </c>
      <c r="C346" s="80"/>
      <c r="D346" s="59" t="str">
        <f aca="false">IF(C346="","",IFERROR(INDEX(식자재단가!$F$4:$F$203,MATCH(C346,식자재단가!$C$4:$C$203,0)),""))</f>
        <v/>
      </c>
      <c r="E346" s="84" t="n">
        <f aca="false">IF(C346="",0,IFERROR(INDEX(식자재단가!$G$4:$G$203,MATCH(C346,식자재단가!$C$4:$C$203,0)),0))</f>
        <v>0</v>
      </c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1" t="n">
        <f aca="false">N(INDEX(F346:R346,1,기본설정!$C$5+1))</f>
        <v>0</v>
      </c>
      <c r="T346" s="28" t="n">
        <f aca="false">S346*E346</f>
        <v>0</v>
      </c>
      <c r="U346" s="71" t="n">
        <f aca="false">N(INDEX(F346:R346,1,기본설정!$C$5))</f>
        <v>0</v>
      </c>
      <c r="V346" s="28" t="n">
        <f aca="false">U346*E346</f>
        <v>0</v>
      </c>
      <c r="W346" s="59" t="str">
        <f aca="false">IF(B346="","",IFERROR(INDEX(기본설정!$H$4:$H$14,MATCH(B346,기본설정!$G$4:$G$14,0)),""))</f>
        <v/>
      </c>
    </row>
    <row r="347" customFormat="false" ht="15" hidden="false" customHeight="false" outlineLevel="0" collapsed="false">
      <c r="A347" s="70"/>
      <c r="B347" s="81" t="str">
        <f aca="false">IF(C347="","",IFERROR(INDEX(식자재단가!$B$4:$B$203,MATCH(C347,식자재단가!$C$4:$C$203,0)),""))</f>
        <v/>
      </c>
      <c r="C347" s="80"/>
      <c r="D347" s="59" t="str">
        <f aca="false">IF(C347="","",IFERROR(INDEX(식자재단가!$F$4:$F$203,MATCH(C347,식자재단가!$C$4:$C$203,0)),""))</f>
        <v/>
      </c>
      <c r="E347" s="84" t="n">
        <f aca="false">IF(C347="",0,IFERROR(INDEX(식자재단가!$G$4:$G$203,MATCH(C347,식자재단가!$C$4:$C$203,0)),0))</f>
        <v>0</v>
      </c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1" t="n">
        <f aca="false">N(INDEX(F347:R347,1,기본설정!$C$5+1))</f>
        <v>0</v>
      </c>
      <c r="T347" s="28" t="n">
        <f aca="false">S347*E347</f>
        <v>0</v>
      </c>
      <c r="U347" s="71" t="n">
        <f aca="false">N(INDEX(F347:R347,1,기본설정!$C$5))</f>
        <v>0</v>
      </c>
      <c r="V347" s="28" t="n">
        <f aca="false">U347*E347</f>
        <v>0</v>
      </c>
      <c r="W347" s="59" t="str">
        <f aca="false">IF(B347="","",IFERROR(INDEX(기본설정!$H$4:$H$14,MATCH(B347,기본설정!$G$4:$G$14,0)),""))</f>
        <v/>
      </c>
    </row>
    <row r="348" customFormat="false" ht="15" hidden="false" customHeight="false" outlineLevel="0" collapsed="false">
      <c r="A348" s="70"/>
      <c r="B348" s="81" t="str">
        <f aca="false">IF(C348="","",IFERROR(INDEX(식자재단가!$B$4:$B$203,MATCH(C348,식자재단가!$C$4:$C$203,0)),""))</f>
        <v/>
      </c>
      <c r="C348" s="80"/>
      <c r="D348" s="59" t="str">
        <f aca="false">IF(C348="","",IFERROR(INDEX(식자재단가!$F$4:$F$203,MATCH(C348,식자재단가!$C$4:$C$203,0)),""))</f>
        <v/>
      </c>
      <c r="E348" s="84" t="n">
        <f aca="false">IF(C348="",0,IFERROR(INDEX(식자재단가!$G$4:$G$203,MATCH(C348,식자재단가!$C$4:$C$203,0)),0))</f>
        <v>0</v>
      </c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1" t="n">
        <f aca="false">N(INDEX(F348:R348,1,기본설정!$C$5+1))</f>
        <v>0</v>
      </c>
      <c r="T348" s="28" t="n">
        <f aca="false">S348*E348</f>
        <v>0</v>
      </c>
      <c r="U348" s="71" t="n">
        <f aca="false">N(INDEX(F348:R348,1,기본설정!$C$5))</f>
        <v>0</v>
      </c>
      <c r="V348" s="28" t="n">
        <f aca="false">U348*E348</f>
        <v>0</v>
      </c>
      <c r="W348" s="59" t="str">
        <f aca="false">IF(B348="","",IFERROR(INDEX(기본설정!$H$4:$H$14,MATCH(B348,기본설정!$G$4:$G$14,0)),""))</f>
        <v/>
      </c>
    </row>
    <row r="349" customFormat="false" ht="15" hidden="false" customHeight="false" outlineLevel="0" collapsed="false">
      <c r="A349" s="70"/>
      <c r="B349" s="81" t="str">
        <f aca="false">IF(C349="","",IFERROR(INDEX(식자재단가!$B$4:$B$203,MATCH(C349,식자재단가!$C$4:$C$203,0)),""))</f>
        <v/>
      </c>
      <c r="C349" s="80"/>
      <c r="D349" s="59" t="str">
        <f aca="false">IF(C349="","",IFERROR(INDEX(식자재단가!$F$4:$F$203,MATCH(C349,식자재단가!$C$4:$C$203,0)),""))</f>
        <v/>
      </c>
      <c r="E349" s="84" t="n">
        <f aca="false">IF(C349="",0,IFERROR(INDEX(식자재단가!$G$4:$G$203,MATCH(C349,식자재단가!$C$4:$C$203,0)),0))</f>
        <v>0</v>
      </c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1" t="n">
        <f aca="false">N(INDEX(F349:R349,1,기본설정!$C$5+1))</f>
        <v>0</v>
      </c>
      <c r="T349" s="28" t="n">
        <f aca="false">S349*E349</f>
        <v>0</v>
      </c>
      <c r="U349" s="71" t="n">
        <f aca="false">N(INDEX(F349:R349,1,기본설정!$C$5))</f>
        <v>0</v>
      </c>
      <c r="V349" s="28" t="n">
        <f aca="false">U349*E349</f>
        <v>0</v>
      </c>
      <c r="W349" s="59" t="str">
        <f aca="false">IF(B349="","",IFERROR(INDEX(기본설정!$H$4:$H$14,MATCH(B349,기본설정!$G$4:$G$14,0)),""))</f>
        <v/>
      </c>
    </row>
    <row r="350" customFormat="false" ht="15" hidden="false" customHeight="false" outlineLevel="0" collapsed="false">
      <c r="A350" s="70"/>
      <c r="B350" s="81" t="str">
        <f aca="false">IF(C350="","",IFERROR(INDEX(식자재단가!$B$4:$B$203,MATCH(C350,식자재단가!$C$4:$C$203,0)),""))</f>
        <v/>
      </c>
      <c r="C350" s="80"/>
      <c r="D350" s="59" t="str">
        <f aca="false">IF(C350="","",IFERROR(INDEX(식자재단가!$F$4:$F$203,MATCH(C350,식자재단가!$C$4:$C$203,0)),""))</f>
        <v/>
      </c>
      <c r="E350" s="84" t="n">
        <f aca="false">IF(C350="",0,IFERROR(INDEX(식자재단가!$G$4:$G$203,MATCH(C350,식자재단가!$C$4:$C$203,0)),0))</f>
        <v>0</v>
      </c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1" t="n">
        <f aca="false">N(INDEX(F350:R350,1,기본설정!$C$5+1))</f>
        <v>0</v>
      </c>
      <c r="T350" s="28" t="n">
        <f aca="false">S350*E350</f>
        <v>0</v>
      </c>
      <c r="U350" s="71" t="n">
        <f aca="false">N(INDEX(F350:R350,1,기본설정!$C$5))</f>
        <v>0</v>
      </c>
      <c r="V350" s="28" t="n">
        <f aca="false">U350*E350</f>
        <v>0</v>
      </c>
      <c r="W350" s="59" t="str">
        <f aca="false">IF(B350="","",IFERROR(INDEX(기본설정!$H$4:$H$14,MATCH(B350,기본설정!$G$4:$G$14,0)),""))</f>
        <v/>
      </c>
    </row>
    <row r="351" customFormat="false" ht="15" hidden="false" customHeight="false" outlineLevel="0" collapsed="false">
      <c r="A351" s="70"/>
      <c r="B351" s="81" t="str">
        <f aca="false">IF(C351="","",IFERROR(INDEX(식자재단가!$B$4:$B$203,MATCH(C351,식자재단가!$C$4:$C$203,0)),""))</f>
        <v/>
      </c>
      <c r="C351" s="80"/>
      <c r="D351" s="59" t="str">
        <f aca="false">IF(C351="","",IFERROR(INDEX(식자재단가!$F$4:$F$203,MATCH(C351,식자재단가!$C$4:$C$203,0)),""))</f>
        <v/>
      </c>
      <c r="E351" s="84" t="n">
        <f aca="false">IF(C351="",0,IFERROR(INDEX(식자재단가!$G$4:$G$203,MATCH(C351,식자재단가!$C$4:$C$203,0)),0))</f>
        <v>0</v>
      </c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1" t="n">
        <f aca="false">N(INDEX(F351:R351,1,기본설정!$C$5+1))</f>
        <v>0</v>
      </c>
      <c r="T351" s="28" t="n">
        <f aca="false">S351*E351</f>
        <v>0</v>
      </c>
      <c r="U351" s="71" t="n">
        <f aca="false">N(INDEX(F351:R351,1,기본설정!$C$5))</f>
        <v>0</v>
      </c>
      <c r="V351" s="28" t="n">
        <f aca="false">U351*E351</f>
        <v>0</v>
      </c>
      <c r="W351" s="59" t="str">
        <f aca="false">IF(B351="","",IFERROR(INDEX(기본설정!$H$4:$H$14,MATCH(B351,기본설정!$G$4:$G$14,0)),""))</f>
        <v/>
      </c>
    </row>
    <row r="352" customFormat="false" ht="15" hidden="false" customHeight="false" outlineLevel="0" collapsed="false">
      <c r="A352" s="70"/>
      <c r="B352" s="81" t="str">
        <f aca="false">IF(C352="","",IFERROR(INDEX(식자재단가!$B$4:$B$203,MATCH(C352,식자재단가!$C$4:$C$203,0)),""))</f>
        <v/>
      </c>
      <c r="C352" s="80"/>
      <c r="D352" s="59" t="str">
        <f aca="false">IF(C352="","",IFERROR(INDEX(식자재단가!$F$4:$F$203,MATCH(C352,식자재단가!$C$4:$C$203,0)),""))</f>
        <v/>
      </c>
      <c r="E352" s="84" t="n">
        <f aca="false">IF(C352="",0,IFERROR(INDEX(식자재단가!$G$4:$G$203,MATCH(C352,식자재단가!$C$4:$C$203,0)),0))</f>
        <v>0</v>
      </c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1" t="n">
        <f aca="false">N(INDEX(F352:R352,1,기본설정!$C$5+1))</f>
        <v>0</v>
      </c>
      <c r="T352" s="28" t="n">
        <f aca="false">S352*E352</f>
        <v>0</v>
      </c>
      <c r="U352" s="71" t="n">
        <f aca="false">N(INDEX(F352:R352,1,기본설정!$C$5))</f>
        <v>0</v>
      </c>
      <c r="V352" s="28" t="n">
        <f aca="false">U352*E352</f>
        <v>0</v>
      </c>
      <c r="W352" s="59" t="str">
        <f aca="false">IF(B352="","",IFERROR(INDEX(기본설정!$H$4:$H$14,MATCH(B352,기본설정!$G$4:$G$14,0)),""))</f>
        <v/>
      </c>
    </row>
    <row r="353" customFormat="false" ht="15" hidden="false" customHeight="false" outlineLevel="0" collapsed="false">
      <c r="A353" s="70"/>
      <c r="B353" s="81" t="str">
        <f aca="false">IF(C353="","",IFERROR(INDEX(식자재단가!$B$4:$B$203,MATCH(C353,식자재단가!$C$4:$C$203,0)),""))</f>
        <v/>
      </c>
      <c r="C353" s="80"/>
      <c r="D353" s="59" t="str">
        <f aca="false">IF(C353="","",IFERROR(INDEX(식자재단가!$F$4:$F$203,MATCH(C353,식자재단가!$C$4:$C$203,0)),""))</f>
        <v/>
      </c>
      <c r="E353" s="84" t="n">
        <f aca="false">IF(C353="",0,IFERROR(INDEX(식자재단가!$G$4:$G$203,MATCH(C353,식자재단가!$C$4:$C$203,0)),0))</f>
        <v>0</v>
      </c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1" t="n">
        <f aca="false">N(INDEX(F353:R353,1,기본설정!$C$5+1))</f>
        <v>0</v>
      </c>
      <c r="T353" s="28" t="n">
        <f aca="false">S353*E353</f>
        <v>0</v>
      </c>
      <c r="U353" s="71" t="n">
        <f aca="false">N(INDEX(F353:R353,1,기본설정!$C$5))</f>
        <v>0</v>
      </c>
      <c r="V353" s="28" t="n">
        <f aca="false">U353*E353</f>
        <v>0</v>
      </c>
      <c r="W353" s="59" t="str">
        <f aca="false">IF(B353="","",IFERROR(INDEX(기본설정!$H$4:$H$14,MATCH(B353,기본설정!$G$4:$G$14,0)),""))</f>
        <v/>
      </c>
    </row>
    <row r="354" customFormat="false" ht="15" hidden="false" customHeight="false" outlineLevel="0" collapsed="false">
      <c r="A354" s="70"/>
      <c r="B354" s="81" t="str">
        <f aca="false">IF(C354="","",IFERROR(INDEX(식자재단가!$B$4:$B$203,MATCH(C354,식자재단가!$C$4:$C$203,0)),""))</f>
        <v/>
      </c>
      <c r="C354" s="80"/>
      <c r="D354" s="59" t="str">
        <f aca="false">IF(C354="","",IFERROR(INDEX(식자재단가!$F$4:$F$203,MATCH(C354,식자재단가!$C$4:$C$203,0)),""))</f>
        <v/>
      </c>
      <c r="E354" s="84" t="n">
        <f aca="false">IF(C354="",0,IFERROR(INDEX(식자재단가!$G$4:$G$203,MATCH(C354,식자재단가!$C$4:$C$203,0)),0))</f>
        <v>0</v>
      </c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1" t="n">
        <f aca="false">N(INDEX(F354:R354,1,기본설정!$C$5+1))</f>
        <v>0</v>
      </c>
      <c r="T354" s="28" t="n">
        <f aca="false">S354*E354</f>
        <v>0</v>
      </c>
      <c r="U354" s="71" t="n">
        <f aca="false">N(INDEX(F354:R354,1,기본설정!$C$5))</f>
        <v>0</v>
      </c>
      <c r="V354" s="28" t="n">
        <f aca="false">U354*E354</f>
        <v>0</v>
      </c>
      <c r="W354" s="59" t="str">
        <f aca="false">IF(B354="","",IFERROR(INDEX(기본설정!$H$4:$H$14,MATCH(B354,기본설정!$G$4:$G$14,0)),""))</f>
        <v/>
      </c>
    </row>
    <row r="355" customFormat="false" ht="15" hidden="false" customHeight="false" outlineLevel="0" collapsed="false">
      <c r="A355" s="70"/>
      <c r="B355" s="81" t="str">
        <f aca="false">IF(C355="","",IFERROR(INDEX(식자재단가!$B$4:$B$203,MATCH(C355,식자재단가!$C$4:$C$203,0)),""))</f>
        <v/>
      </c>
      <c r="C355" s="80"/>
      <c r="D355" s="59" t="str">
        <f aca="false">IF(C355="","",IFERROR(INDEX(식자재단가!$F$4:$F$203,MATCH(C355,식자재단가!$C$4:$C$203,0)),""))</f>
        <v/>
      </c>
      <c r="E355" s="84" t="n">
        <f aca="false">IF(C355="",0,IFERROR(INDEX(식자재단가!$G$4:$G$203,MATCH(C355,식자재단가!$C$4:$C$203,0)),0))</f>
        <v>0</v>
      </c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1" t="n">
        <f aca="false">N(INDEX(F355:R355,1,기본설정!$C$5+1))</f>
        <v>0</v>
      </c>
      <c r="T355" s="28" t="n">
        <f aca="false">S355*E355</f>
        <v>0</v>
      </c>
      <c r="U355" s="71" t="n">
        <f aca="false">N(INDEX(F355:R355,1,기본설정!$C$5))</f>
        <v>0</v>
      </c>
      <c r="V355" s="28" t="n">
        <f aca="false">U355*E355</f>
        <v>0</v>
      </c>
      <c r="W355" s="59" t="str">
        <f aca="false">IF(B355="","",IFERROR(INDEX(기본설정!$H$4:$H$14,MATCH(B355,기본설정!$G$4:$G$14,0)),""))</f>
        <v/>
      </c>
    </row>
    <row r="356" customFormat="false" ht="15" hidden="false" customHeight="false" outlineLevel="0" collapsed="false">
      <c r="A356" s="70"/>
      <c r="B356" s="81" t="str">
        <f aca="false">IF(C356="","",IFERROR(INDEX(식자재단가!$B$4:$B$203,MATCH(C356,식자재단가!$C$4:$C$203,0)),""))</f>
        <v/>
      </c>
      <c r="C356" s="80"/>
      <c r="D356" s="59" t="str">
        <f aca="false">IF(C356="","",IFERROR(INDEX(식자재단가!$F$4:$F$203,MATCH(C356,식자재단가!$C$4:$C$203,0)),""))</f>
        <v/>
      </c>
      <c r="E356" s="84" t="n">
        <f aca="false">IF(C356="",0,IFERROR(INDEX(식자재단가!$G$4:$G$203,MATCH(C356,식자재단가!$C$4:$C$203,0)),0))</f>
        <v>0</v>
      </c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1" t="n">
        <f aca="false">N(INDEX(F356:R356,1,기본설정!$C$5+1))</f>
        <v>0</v>
      </c>
      <c r="T356" s="28" t="n">
        <f aca="false">S356*E356</f>
        <v>0</v>
      </c>
      <c r="U356" s="71" t="n">
        <f aca="false">N(INDEX(F356:R356,1,기본설정!$C$5))</f>
        <v>0</v>
      </c>
      <c r="V356" s="28" t="n">
        <f aca="false">U356*E356</f>
        <v>0</v>
      </c>
      <c r="W356" s="59" t="str">
        <f aca="false">IF(B356="","",IFERROR(INDEX(기본설정!$H$4:$H$14,MATCH(B356,기본설정!$G$4:$G$14,0)),""))</f>
        <v/>
      </c>
    </row>
    <row r="357" customFormat="false" ht="15" hidden="false" customHeight="false" outlineLevel="0" collapsed="false">
      <c r="A357" s="70"/>
      <c r="B357" s="81" t="str">
        <f aca="false">IF(C357="","",IFERROR(INDEX(식자재단가!$B$4:$B$203,MATCH(C357,식자재단가!$C$4:$C$203,0)),""))</f>
        <v/>
      </c>
      <c r="C357" s="80"/>
      <c r="D357" s="59" t="str">
        <f aca="false">IF(C357="","",IFERROR(INDEX(식자재단가!$F$4:$F$203,MATCH(C357,식자재단가!$C$4:$C$203,0)),""))</f>
        <v/>
      </c>
      <c r="E357" s="84" t="n">
        <f aca="false">IF(C357="",0,IFERROR(INDEX(식자재단가!$G$4:$G$203,MATCH(C357,식자재단가!$C$4:$C$203,0)),0))</f>
        <v>0</v>
      </c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1" t="n">
        <f aca="false">N(INDEX(F357:R357,1,기본설정!$C$5+1))</f>
        <v>0</v>
      </c>
      <c r="T357" s="28" t="n">
        <f aca="false">S357*E357</f>
        <v>0</v>
      </c>
      <c r="U357" s="71" t="n">
        <f aca="false">N(INDEX(F357:R357,1,기본설정!$C$5))</f>
        <v>0</v>
      </c>
      <c r="V357" s="28" t="n">
        <f aca="false">U357*E357</f>
        <v>0</v>
      </c>
      <c r="W357" s="59" t="str">
        <f aca="false">IF(B357="","",IFERROR(INDEX(기본설정!$H$4:$H$14,MATCH(B357,기본설정!$G$4:$G$14,0)),""))</f>
        <v/>
      </c>
    </row>
    <row r="358" customFormat="false" ht="15" hidden="false" customHeight="false" outlineLevel="0" collapsed="false">
      <c r="A358" s="70"/>
      <c r="B358" s="81" t="str">
        <f aca="false">IF(C358="","",IFERROR(INDEX(식자재단가!$B$4:$B$203,MATCH(C358,식자재단가!$C$4:$C$203,0)),""))</f>
        <v/>
      </c>
      <c r="C358" s="80"/>
      <c r="D358" s="59" t="str">
        <f aca="false">IF(C358="","",IFERROR(INDEX(식자재단가!$F$4:$F$203,MATCH(C358,식자재단가!$C$4:$C$203,0)),""))</f>
        <v/>
      </c>
      <c r="E358" s="84" t="n">
        <f aca="false">IF(C358="",0,IFERROR(INDEX(식자재단가!$G$4:$G$203,MATCH(C358,식자재단가!$C$4:$C$203,0)),0))</f>
        <v>0</v>
      </c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1" t="n">
        <f aca="false">N(INDEX(F358:R358,1,기본설정!$C$5+1))</f>
        <v>0</v>
      </c>
      <c r="T358" s="28" t="n">
        <f aca="false">S358*E358</f>
        <v>0</v>
      </c>
      <c r="U358" s="71" t="n">
        <f aca="false">N(INDEX(F358:R358,1,기본설정!$C$5))</f>
        <v>0</v>
      </c>
      <c r="V358" s="28" t="n">
        <f aca="false">U358*E358</f>
        <v>0</v>
      </c>
      <c r="W358" s="59" t="str">
        <f aca="false">IF(B358="","",IFERROR(INDEX(기본설정!$H$4:$H$14,MATCH(B358,기본설정!$G$4:$G$14,0)),""))</f>
        <v/>
      </c>
    </row>
    <row r="359" customFormat="false" ht="15" hidden="false" customHeight="false" outlineLevel="0" collapsed="false">
      <c r="A359" s="70"/>
      <c r="B359" s="81" t="str">
        <f aca="false">IF(C359="","",IFERROR(INDEX(식자재단가!$B$4:$B$203,MATCH(C359,식자재단가!$C$4:$C$203,0)),""))</f>
        <v/>
      </c>
      <c r="C359" s="80"/>
      <c r="D359" s="59" t="str">
        <f aca="false">IF(C359="","",IFERROR(INDEX(식자재단가!$F$4:$F$203,MATCH(C359,식자재단가!$C$4:$C$203,0)),""))</f>
        <v/>
      </c>
      <c r="E359" s="84" t="n">
        <f aca="false">IF(C359="",0,IFERROR(INDEX(식자재단가!$G$4:$G$203,MATCH(C359,식자재단가!$C$4:$C$203,0)),0))</f>
        <v>0</v>
      </c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1" t="n">
        <f aca="false">N(INDEX(F359:R359,1,기본설정!$C$5+1))</f>
        <v>0</v>
      </c>
      <c r="T359" s="28" t="n">
        <f aca="false">S359*E359</f>
        <v>0</v>
      </c>
      <c r="U359" s="71" t="n">
        <f aca="false">N(INDEX(F359:R359,1,기본설정!$C$5))</f>
        <v>0</v>
      </c>
      <c r="V359" s="28" t="n">
        <f aca="false">U359*E359</f>
        <v>0</v>
      </c>
      <c r="W359" s="59" t="str">
        <f aca="false">IF(B359="","",IFERROR(INDEX(기본설정!$H$4:$H$14,MATCH(B359,기본설정!$G$4:$G$14,0)),""))</f>
        <v/>
      </c>
    </row>
    <row r="360" customFormat="false" ht="15" hidden="false" customHeight="false" outlineLevel="0" collapsed="false">
      <c r="A360" s="70"/>
      <c r="B360" s="81" t="str">
        <f aca="false">IF(C360="","",IFERROR(INDEX(식자재단가!$B$4:$B$203,MATCH(C360,식자재단가!$C$4:$C$203,0)),""))</f>
        <v/>
      </c>
      <c r="C360" s="80"/>
      <c r="D360" s="59" t="str">
        <f aca="false">IF(C360="","",IFERROR(INDEX(식자재단가!$F$4:$F$203,MATCH(C360,식자재단가!$C$4:$C$203,0)),""))</f>
        <v/>
      </c>
      <c r="E360" s="84" t="n">
        <f aca="false">IF(C360="",0,IFERROR(INDEX(식자재단가!$G$4:$G$203,MATCH(C360,식자재단가!$C$4:$C$203,0)),0))</f>
        <v>0</v>
      </c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1" t="n">
        <f aca="false">N(INDEX(F360:R360,1,기본설정!$C$5+1))</f>
        <v>0</v>
      </c>
      <c r="T360" s="28" t="n">
        <f aca="false">S360*E360</f>
        <v>0</v>
      </c>
      <c r="U360" s="71" t="n">
        <f aca="false">N(INDEX(F360:R360,1,기본설정!$C$5))</f>
        <v>0</v>
      </c>
      <c r="V360" s="28" t="n">
        <f aca="false">U360*E360</f>
        <v>0</v>
      </c>
      <c r="W360" s="59" t="str">
        <f aca="false">IF(B360="","",IFERROR(INDEX(기본설정!$H$4:$H$14,MATCH(B360,기본설정!$G$4:$G$14,0)),""))</f>
        <v/>
      </c>
    </row>
    <row r="361" customFormat="false" ht="15" hidden="false" customHeight="false" outlineLevel="0" collapsed="false">
      <c r="A361" s="70"/>
      <c r="B361" s="81" t="str">
        <f aca="false">IF(C361="","",IFERROR(INDEX(식자재단가!$B$4:$B$203,MATCH(C361,식자재단가!$C$4:$C$203,0)),""))</f>
        <v/>
      </c>
      <c r="C361" s="80"/>
      <c r="D361" s="59" t="str">
        <f aca="false">IF(C361="","",IFERROR(INDEX(식자재단가!$F$4:$F$203,MATCH(C361,식자재단가!$C$4:$C$203,0)),""))</f>
        <v/>
      </c>
      <c r="E361" s="84" t="n">
        <f aca="false">IF(C361="",0,IFERROR(INDEX(식자재단가!$G$4:$G$203,MATCH(C361,식자재단가!$C$4:$C$203,0)),0))</f>
        <v>0</v>
      </c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1" t="n">
        <f aca="false">N(INDEX(F361:R361,1,기본설정!$C$5+1))</f>
        <v>0</v>
      </c>
      <c r="T361" s="28" t="n">
        <f aca="false">S361*E361</f>
        <v>0</v>
      </c>
      <c r="U361" s="71" t="n">
        <f aca="false">N(INDEX(F361:R361,1,기본설정!$C$5))</f>
        <v>0</v>
      </c>
      <c r="V361" s="28" t="n">
        <f aca="false">U361*E361</f>
        <v>0</v>
      </c>
      <c r="W361" s="59" t="str">
        <f aca="false">IF(B361="","",IFERROR(INDEX(기본설정!$H$4:$H$14,MATCH(B361,기본설정!$G$4:$G$14,0)),""))</f>
        <v/>
      </c>
    </row>
    <row r="362" customFormat="false" ht="15" hidden="false" customHeight="false" outlineLevel="0" collapsed="false">
      <c r="A362" s="70"/>
      <c r="B362" s="81" t="str">
        <f aca="false">IF(C362="","",IFERROR(INDEX(식자재단가!$B$4:$B$203,MATCH(C362,식자재단가!$C$4:$C$203,0)),""))</f>
        <v/>
      </c>
      <c r="C362" s="80"/>
      <c r="D362" s="59" t="str">
        <f aca="false">IF(C362="","",IFERROR(INDEX(식자재단가!$F$4:$F$203,MATCH(C362,식자재단가!$C$4:$C$203,0)),""))</f>
        <v/>
      </c>
      <c r="E362" s="84" t="n">
        <f aca="false">IF(C362="",0,IFERROR(INDEX(식자재단가!$G$4:$G$203,MATCH(C362,식자재단가!$C$4:$C$203,0)),0))</f>
        <v>0</v>
      </c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1" t="n">
        <f aca="false">N(INDEX(F362:R362,1,기본설정!$C$5+1))</f>
        <v>0</v>
      </c>
      <c r="T362" s="28" t="n">
        <f aca="false">S362*E362</f>
        <v>0</v>
      </c>
      <c r="U362" s="71" t="n">
        <f aca="false">N(INDEX(F362:R362,1,기본설정!$C$5))</f>
        <v>0</v>
      </c>
      <c r="V362" s="28" t="n">
        <f aca="false">U362*E362</f>
        <v>0</v>
      </c>
      <c r="W362" s="59" t="str">
        <f aca="false">IF(B362="","",IFERROR(INDEX(기본설정!$H$4:$H$14,MATCH(B362,기본설정!$G$4:$G$14,0)),""))</f>
        <v/>
      </c>
    </row>
    <row r="363" customFormat="false" ht="15" hidden="false" customHeight="false" outlineLevel="0" collapsed="false">
      <c r="A363" s="70"/>
      <c r="B363" s="81" t="str">
        <f aca="false">IF(C363="","",IFERROR(INDEX(식자재단가!$B$4:$B$203,MATCH(C363,식자재단가!$C$4:$C$203,0)),""))</f>
        <v/>
      </c>
      <c r="C363" s="80"/>
      <c r="D363" s="59" t="str">
        <f aca="false">IF(C363="","",IFERROR(INDEX(식자재단가!$F$4:$F$203,MATCH(C363,식자재단가!$C$4:$C$203,0)),""))</f>
        <v/>
      </c>
      <c r="E363" s="84" t="n">
        <f aca="false">IF(C363="",0,IFERROR(INDEX(식자재단가!$G$4:$G$203,MATCH(C363,식자재단가!$C$4:$C$203,0)),0))</f>
        <v>0</v>
      </c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1" t="n">
        <f aca="false">N(INDEX(F363:R363,1,기본설정!$C$5+1))</f>
        <v>0</v>
      </c>
      <c r="T363" s="28" t="n">
        <f aca="false">S363*E363</f>
        <v>0</v>
      </c>
      <c r="U363" s="71" t="n">
        <f aca="false">N(INDEX(F363:R363,1,기본설정!$C$5))</f>
        <v>0</v>
      </c>
      <c r="V363" s="28" t="n">
        <f aca="false">U363*E363</f>
        <v>0</v>
      </c>
      <c r="W363" s="59" t="str">
        <f aca="false">IF(B363="","",IFERROR(INDEX(기본설정!$H$4:$H$14,MATCH(B363,기본설정!$G$4:$G$14,0)),""))</f>
        <v/>
      </c>
    </row>
    <row r="364" customFormat="false" ht="15" hidden="false" customHeight="false" outlineLevel="0" collapsed="false">
      <c r="A364" s="70"/>
      <c r="B364" s="81" t="str">
        <f aca="false">IF(C364="","",IFERROR(INDEX(식자재단가!$B$4:$B$203,MATCH(C364,식자재단가!$C$4:$C$203,0)),""))</f>
        <v/>
      </c>
      <c r="C364" s="80"/>
      <c r="D364" s="59" t="str">
        <f aca="false">IF(C364="","",IFERROR(INDEX(식자재단가!$F$4:$F$203,MATCH(C364,식자재단가!$C$4:$C$203,0)),""))</f>
        <v/>
      </c>
      <c r="E364" s="84" t="n">
        <f aca="false">IF(C364="",0,IFERROR(INDEX(식자재단가!$G$4:$G$203,MATCH(C364,식자재단가!$C$4:$C$203,0)),0))</f>
        <v>0</v>
      </c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1" t="n">
        <f aca="false">N(INDEX(F364:R364,1,기본설정!$C$5+1))</f>
        <v>0</v>
      </c>
      <c r="T364" s="28" t="n">
        <f aca="false">S364*E364</f>
        <v>0</v>
      </c>
      <c r="U364" s="71" t="n">
        <f aca="false">N(INDEX(F364:R364,1,기본설정!$C$5))</f>
        <v>0</v>
      </c>
      <c r="V364" s="28" t="n">
        <f aca="false">U364*E364</f>
        <v>0</v>
      </c>
      <c r="W364" s="59" t="str">
        <f aca="false">IF(B364="","",IFERROR(INDEX(기본설정!$H$4:$H$14,MATCH(B364,기본설정!$G$4:$G$14,0)),""))</f>
        <v/>
      </c>
    </row>
    <row r="365" customFormat="false" ht="15" hidden="false" customHeight="false" outlineLevel="0" collapsed="false">
      <c r="A365" s="70"/>
      <c r="B365" s="81" t="str">
        <f aca="false">IF(C365="","",IFERROR(INDEX(식자재단가!$B$4:$B$203,MATCH(C365,식자재단가!$C$4:$C$203,0)),""))</f>
        <v/>
      </c>
      <c r="C365" s="80"/>
      <c r="D365" s="59" t="str">
        <f aca="false">IF(C365="","",IFERROR(INDEX(식자재단가!$F$4:$F$203,MATCH(C365,식자재단가!$C$4:$C$203,0)),""))</f>
        <v/>
      </c>
      <c r="E365" s="84" t="n">
        <f aca="false">IF(C365="",0,IFERROR(INDEX(식자재단가!$G$4:$G$203,MATCH(C365,식자재단가!$C$4:$C$203,0)),0))</f>
        <v>0</v>
      </c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1" t="n">
        <f aca="false">N(INDEX(F365:R365,1,기본설정!$C$5+1))</f>
        <v>0</v>
      </c>
      <c r="T365" s="28" t="n">
        <f aca="false">S365*E365</f>
        <v>0</v>
      </c>
      <c r="U365" s="71" t="n">
        <f aca="false">N(INDEX(F365:R365,1,기본설정!$C$5))</f>
        <v>0</v>
      </c>
      <c r="V365" s="28" t="n">
        <f aca="false">U365*E365</f>
        <v>0</v>
      </c>
      <c r="W365" s="59" t="str">
        <f aca="false">IF(B365="","",IFERROR(INDEX(기본설정!$H$4:$H$14,MATCH(B365,기본설정!$G$4:$G$14,0)),""))</f>
        <v/>
      </c>
    </row>
    <row r="366" customFormat="false" ht="15" hidden="false" customHeight="false" outlineLevel="0" collapsed="false">
      <c r="A366" s="70"/>
      <c r="B366" s="81" t="str">
        <f aca="false">IF(C366="","",IFERROR(INDEX(식자재단가!$B$4:$B$203,MATCH(C366,식자재단가!$C$4:$C$203,0)),""))</f>
        <v/>
      </c>
      <c r="C366" s="80"/>
      <c r="D366" s="59" t="str">
        <f aca="false">IF(C366="","",IFERROR(INDEX(식자재단가!$F$4:$F$203,MATCH(C366,식자재단가!$C$4:$C$203,0)),""))</f>
        <v/>
      </c>
      <c r="E366" s="84" t="n">
        <f aca="false">IF(C366="",0,IFERROR(INDEX(식자재단가!$G$4:$G$203,MATCH(C366,식자재단가!$C$4:$C$203,0)),0))</f>
        <v>0</v>
      </c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1" t="n">
        <f aca="false">N(INDEX(F366:R366,1,기본설정!$C$5+1))</f>
        <v>0</v>
      </c>
      <c r="T366" s="28" t="n">
        <f aca="false">S366*E366</f>
        <v>0</v>
      </c>
      <c r="U366" s="71" t="n">
        <f aca="false">N(INDEX(F366:R366,1,기본설정!$C$5))</f>
        <v>0</v>
      </c>
      <c r="V366" s="28" t="n">
        <f aca="false">U366*E366</f>
        <v>0</v>
      </c>
      <c r="W366" s="59" t="str">
        <f aca="false">IF(B366="","",IFERROR(INDEX(기본설정!$H$4:$H$14,MATCH(B366,기본설정!$G$4:$G$14,0)),""))</f>
        <v/>
      </c>
    </row>
    <row r="367" customFormat="false" ht="15" hidden="false" customHeight="false" outlineLevel="0" collapsed="false">
      <c r="A367" s="70"/>
      <c r="B367" s="81" t="str">
        <f aca="false">IF(C367="","",IFERROR(INDEX(식자재단가!$B$4:$B$203,MATCH(C367,식자재단가!$C$4:$C$203,0)),""))</f>
        <v/>
      </c>
      <c r="C367" s="80"/>
      <c r="D367" s="59" t="str">
        <f aca="false">IF(C367="","",IFERROR(INDEX(식자재단가!$F$4:$F$203,MATCH(C367,식자재단가!$C$4:$C$203,0)),""))</f>
        <v/>
      </c>
      <c r="E367" s="84" t="n">
        <f aca="false">IF(C367="",0,IFERROR(INDEX(식자재단가!$G$4:$G$203,MATCH(C367,식자재단가!$C$4:$C$203,0)),0))</f>
        <v>0</v>
      </c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1" t="n">
        <f aca="false">N(INDEX(F367:R367,1,기본설정!$C$5+1))</f>
        <v>0</v>
      </c>
      <c r="T367" s="28" t="n">
        <f aca="false">S367*E367</f>
        <v>0</v>
      </c>
      <c r="U367" s="71" t="n">
        <f aca="false">N(INDEX(F367:R367,1,기본설정!$C$5))</f>
        <v>0</v>
      </c>
      <c r="V367" s="28" t="n">
        <f aca="false">U367*E367</f>
        <v>0</v>
      </c>
      <c r="W367" s="59" t="str">
        <f aca="false">IF(B367="","",IFERROR(INDEX(기본설정!$H$4:$H$14,MATCH(B367,기본설정!$G$4:$G$14,0)),""))</f>
        <v/>
      </c>
    </row>
    <row r="368" customFormat="false" ht="15" hidden="false" customHeight="false" outlineLevel="0" collapsed="false">
      <c r="A368" s="70"/>
      <c r="B368" s="81" t="str">
        <f aca="false">IF(C368="","",IFERROR(INDEX(식자재단가!$B$4:$B$203,MATCH(C368,식자재단가!$C$4:$C$203,0)),""))</f>
        <v/>
      </c>
      <c r="C368" s="80"/>
      <c r="D368" s="59" t="str">
        <f aca="false">IF(C368="","",IFERROR(INDEX(식자재단가!$F$4:$F$203,MATCH(C368,식자재단가!$C$4:$C$203,0)),""))</f>
        <v/>
      </c>
      <c r="E368" s="84" t="n">
        <f aca="false">IF(C368="",0,IFERROR(INDEX(식자재단가!$G$4:$G$203,MATCH(C368,식자재단가!$C$4:$C$203,0)),0))</f>
        <v>0</v>
      </c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1" t="n">
        <f aca="false">N(INDEX(F368:R368,1,기본설정!$C$5+1))</f>
        <v>0</v>
      </c>
      <c r="T368" s="28" t="n">
        <f aca="false">S368*E368</f>
        <v>0</v>
      </c>
      <c r="U368" s="71" t="n">
        <f aca="false">N(INDEX(F368:R368,1,기본설정!$C$5))</f>
        <v>0</v>
      </c>
      <c r="V368" s="28" t="n">
        <f aca="false">U368*E368</f>
        <v>0</v>
      </c>
      <c r="W368" s="59" t="str">
        <f aca="false">IF(B368="","",IFERROR(INDEX(기본설정!$H$4:$H$14,MATCH(B368,기본설정!$G$4:$G$14,0)),""))</f>
        <v/>
      </c>
    </row>
    <row r="369" customFormat="false" ht="15" hidden="false" customHeight="false" outlineLevel="0" collapsed="false">
      <c r="A369" s="70"/>
      <c r="B369" s="81" t="str">
        <f aca="false">IF(C369="","",IFERROR(INDEX(식자재단가!$B$4:$B$203,MATCH(C369,식자재단가!$C$4:$C$203,0)),""))</f>
        <v/>
      </c>
      <c r="C369" s="80"/>
      <c r="D369" s="59" t="str">
        <f aca="false">IF(C369="","",IFERROR(INDEX(식자재단가!$F$4:$F$203,MATCH(C369,식자재단가!$C$4:$C$203,0)),""))</f>
        <v/>
      </c>
      <c r="E369" s="84" t="n">
        <f aca="false">IF(C369="",0,IFERROR(INDEX(식자재단가!$G$4:$G$203,MATCH(C369,식자재단가!$C$4:$C$203,0)),0))</f>
        <v>0</v>
      </c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1" t="n">
        <f aca="false">N(INDEX(F369:R369,1,기본설정!$C$5+1))</f>
        <v>0</v>
      </c>
      <c r="T369" s="28" t="n">
        <f aca="false">S369*E369</f>
        <v>0</v>
      </c>
      <c r="U369" s="71" t="n">
        <f aca="false">N(INDEX(F369:R369,1,기본설정!$C$5))</f>
        <v>0</v>
      </c>
      <c r="V369" s="28" t="n">
        <f aca="false">U369*E369</f>
        <v>0</v>
      </c>
      <c r="W369" s="59" t="str">
        <f aca="false">IF(B369="","",IFERROR(INDEX(기본설정!$H$4:$H$14,MATCH(B369,기본설정!$G$4:$G$14,0)),""))</f>
        <v/>
      </c>
    </row>
    <row r="370" customFormat="false" ht="15" hidden="false" customHeight="false" outlineLevel="0" collapsed="false">
      <c r="A370" s="70"/>
      <c r="B370" s="81" t="str">
        <f aca="false">IF(C370="","",IFERROR(INDEX(식자재단가!$B$4:$B$203,MATCH(C370,식자재단가!$C$4:$C$203,0)),""))</f>
        <v/>
      </c>
      <c r="C370" s="80"/>
      <c r="D370" s="59" t="str">
        <f aca="false">IF(C370="","",IFERROR(INDEX(식자재단가!$F$4:$F$203,MATCH(C370,식자재단가!$C$4:$C$203,0)),""))</f>
        <v/>
      </c>
      <c r="E370" s="84" t="n">
        <f aca="false">IF(C370="",0,IFERROR(INDEX(식자재단가!$G$4:$G$203,MATCH(C370,식자재단가!$C$4:$C$203,0)),0))</f>
        <v>0</v>
      </c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1" t="n">
        <f aca="false">N(INDEX(F370:R370,1,기본설정!$C$5+1))</f>
        <v>0</v>
      </c>
      <c r="T370" s="28" t="n">
        <f aca="false">S370*E370</f>
        <v>0</v>
      </c>
      <c r="U370" s="71" t="n">
        <f aca="false">N(INDEX(F370:R370,1,기본설정!$C$5))</f>
        <v>0</v>
      </c>
      <c r="V370" s="28" t="n">
        <f aca="false">U370*E370</f>
        <v>0</v>
      </c>
      <c r="W370" s="59" t="str">
        <f aca="false">IF(B370="","",IFERROR(INDEX(기본설정!$H$4:$H$14,MATCH(B370,기본설정!$G$4:$G$14,0)),""))</f>
        <v/>
      </c>
    </row>
    <row r="371" customFormat="false" ht="15" hidden="false" customHeight="false" outlineLevel="0" collapsed="false">
      <c r="A371" s="70"/>
      <c r="B371" s="81" t="str">
        <f aca="false">IF(C371="","",IFERROR(INDEX(식자재단가!$B$4:$B$203,MATCH(C371,식자재단가!$C$4:$C$203,0)),""))</f>
        <v/>
      </c>
      <c r="C371" s="80"/>
      <c r="D371" s="59" t="str">
        <f aca="false">IF(C371="","",IFERROR(INDEX(식자재단가!$F$4:$F$203,MATCH(C371,식자재단가!$C$4:$C$203,0)),""))</f>
        <v/>
      </c>
      <c r="E371" s="84" t="n">
        <f aca="false">IF(C371="",0,IFERROR(INDEX(식자재단가!$G$4:$G$203,MATCH(C371,식자재단가!$C$4:$C$203,0)),0))</f>
        <v>0</v>
      </c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1" t="n">
        <f aca="false">N(INDEX(F371:R371,1,기본설정!$C$5+1))</f>
        <v>0</v>
      </c>
      <c r="T371" s="28" t="n">
        <f aca="false">S371*E371</f>
        <v>0</v>
      </c>
      <c r="U371" s="71" t="n">
        <f aca="false">N(INDEX(F371:R371,1,기본설정!$C$5))</f>
        <v>0</v>
      </c>
      <c r="V371" s="28" t="n">
        <f aca="false">U371*E371</f>
        <v>0</v>
      </c>
      <c r="W371" s="59" t="str">
        <f aca="false">IF(B371="","",IFERROR(INDEX(기본설정!$H$4:$H$14,MATCH(B371,기본설정!$G$4:$G$14,0)),""))</f>
        <v/>
      </c>
    </row>
    <row r="372" customFormat="false" ht="15" hidden="false" customHeight="false" outlineLevel="0" collapsed="false">
      <c r="A372" s="70"/>
      <c r="B372" s="81" t="str">
        <f aca="false">IF(C372="","",IFERROR(INDEX(식자재단가!$B$4:$B$203,MATCH(C372,식자재단가!$C$4:$C$203,0)),""))</f>
        <v/>
      </c>
      <c r="C372" s="80"/>
      <c r="D372" s="59" t="str">
        <f aca="false">IF(C372="","",IFERROR(INDEX(식자재단가!$F$4:$F$203,MATCH(C372,식자재단가!$C$4:$C$203,0)),""))</f>
        <v/>
      </c>
      <c r="E372" s="84" t="n">
        <f aca="false">IF(C372="",0,IFERROR(INDEX(식자재단가!$G$4:$G$203,MATCH(C372,식자재단가!$C$4:$C$203,0)),0))</f>
        <v>0</v>
      </c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1" t="n">
        <f aca="false">N(INDEX(F372:R372,1,기본설정!$C$5+1))</f>
        <v>0</v>
      </c>
      <c r="T372" s="28" t="n">
        <f aca="false">S372*E372</f>
        <v>0</v>
      </c>
      <c r="U372" s="71" t="n">
        <f aca="false">N(INDEX(F372:R372,1,기본설정!$C$5))</f>
        <v>0</v>
      </c>
      <c r="V372" s="28" t="n">
        <f aca="false">U372*E372</f>
        <v>0</v>
      </c>
      <c r="W372" s="59" t="str">
        <f aca="false">IF(B372="","",IFERROR(INDEX(기본설정!$H$4:$H$14,MATCH(B372,기본설정!$G$4:$G$14,0)),""))</f>
        <v/>
      </c>
    </row>
    <row r="373" customFormat="false" ht="15" hidden="false" customHeight="false" outlineLevel="0" collapsed="false">
      <c r="A373" s="70"/>
      <c r="B373" s="81" t="str">
        <f aca="false">IF(C373="","",IFERROR(INDEX(식자재단가!$B$4:$B$203,MATCH(C373,식자재단가!$C$4:$C$203,0)),""))</f>
        <v/>
      </c>
      <c r="C373" s="80"/>
      <c r="D373" s="59" t="str">
        <f aca="false">IF(C373="","",IFERROR(INDEX(식자재단가!$F$4:$F$203,MATCH(C373,식자재단가!$C$4:$C$203,0)),""))</f>
        <v/>
      </c>
      <c r="E373" s="84" t="n">
        <f aca="false">IF(C373="",0,IFERROR(INDEX(식자재단가!$G$4:$G$203,MATCH(C373,식자재단가!$C$4:$C$203,0)),0))</f>
        <v>0</v>
      </c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1" t="n">
        <f aca="false">N(INDEX(F373:R373,1,기본설정!$C$5+1))</f>
        <v>0</v>
      </c>
      <c r="T373" s="28" t="n">
        <f aca="false">S373*E373</f>
        <v>0</v>
      </c>
      <c r="U373" s="71" t="n">
        <f aca="false">N(INDEX(F373:R373,1,기본설정!$C$5))</f>
        <v>0</v>
      </c>
      <c r="V373" s="28" t="n">
        <f aca="false">U373*E373</f>
        <v>0</v>
      </c>
      <c r="W373" s="59" t="str">
        <f aca="false">IF(B373="","",IFERROR(INDEX(기본설정!$H$4:$H$14,MATCH(B373,기본설정!$G$4:$G$14,0)),""))</f>
        <v/>
      </c>
    </row>
    <row r="374" customFormat="false" ht="15" hidden="false" customHeight="false" outlineLevel="0" collapsed="false">
      <c r="A374" s="70"/>
      <c r="B374" s="81" t="str">
        <f aca="false">IF(C374="","",IFERROR(INDEX(식자재단가!$B$4:$B$203,MATCH(C374,식자재단가!$C$4:$C$203,0)),""))</f>
        <v/>
      </c>
      <c r="C374" s="80"/>
      <c r="D374" s="59" t="str">
        <f aca="false">IF(C374="","",IFERROR(INDEX(식자재단가!$F$4:$F$203,MATCH(C374,식자재단가!$C$4:$C$203,0)),""))</f>
        <v/>
      </c>
      <c r="E374" s="84" t="n">
        <f aca="false">IF(C374="",0,IFERROR(INDEX(식자재단가!$G$4:$G$203,MATCH(C374,식자재단가!$C$4:$C$203,0)),0))</f>
        <v>0</v>
      </c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1" t="n">
        <f aca="false">N(INDEX(F374:R374,1,기본설정!$C$5+1))</f>
        <v>0</v>
      </c>
      <c r="T374" s="28" t="n">
        <f aca="false">S374*E374</f>
        <v>0</v>
      </c>
      <c r="U374" s="71" t="n">
        <f aca="false">N(INDEX(F374:R374,1,기본설정!$C$5))</f>
        <v>0</v>
      </c>
      <c r="V374" s="28" t="n">
        <f aca="false">U374*E374</f>
        <v>0</v>
      </c>
      <c r="W374" s="59" t="str">
        <f aca="false">IF(B374="","",IFERROR(INDEX(기본설정!$H$4:$H$14,MATCH(B374,기본설정!$G$4:$G$14,0)),""))</f>
        <v/>
      </c>
    </row>
    <row r="375" customFormat="false" ht="15" hidden="false" customHeight="false" outlineLevel="0" collapsed="false">
      <c r="A375" s="70"/>
      <c r="B375" s="81" t="str">
        <f aca="false">IF(C375="","",IFERROR(INDEX(식자재단가!$B$4:$B$203,MATCH(C375,식자재단가!$C$4:$C$203,0)),""))</f>
        <v/>
      </c>
      <c r="C375" s="80"/>
      <c r="D375" s="59" t="str">
        <f aca="false">IF(C375="","",IFERROR(INDEX(식자재단가!$F$4:$F$203,MATCH(C375,식자재단가!$C$4:$C$203,0)),""))</f>
        <v/>
      </c>
      <c r="E375" s="84" t="n">
        <f aca="false">IF(C375="",0,IFERROR(INDEX(식자재단가!$G$4:$G$203,MATCH(C375,식자재단가!$C$4:$C$203,0)),0))</f>
        <v>0</v>
      </c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1" t="n">
        <f aca="false">N(INDEX(F375:R375,1,기본설정!$C$5+1))</f>
        <v>0</v>
      </c>
      <c r="T375" s="28" t="n">
        <f aca="false">S375*E375</f>
        <v>0</v>
      </c>
      <c r="U375" s="71" t="n">
        <f aca="false">N(INDEX(F375:R375,1,기본설정!$C$5))</f>
        <v>0</v>
      </c>
      <c r="V375" s="28" t="n">
        <f aca="false">U375*E375</f>
        <v>0</v>
      </c>
      <c r="W375" s="59" t="str">
        <f aca="false">IF(B375="","",IFERROR(INDEX(기본설정!$H$4:$H$14,MATCH(B375,기본설정!$G$4:$G$14,0)),""))</f>
        <v/>
      </c>
    </row>
    <row r="376" customFormat="false" ht="15" hidden="false" customHeight="false" outlineLevel="0" collapsed="false">
      <c r="A376" s="70"/>
      <c r="B376" s="81" t="str">
        <f aca="false">IF(C376="","",IFERROR(INDEX(식자재단가!$B$4:$B$203,MATCH(C376,식자재단가!$C$4:$C$203,0)),""))</f>
        <v/>
      </c>
      <c r="C376" s="80"/>
      <c r="D376" s="59" t="str">
        <f aca="false">IF(C376="","",IFERROR(INDEX(식자재단가!$F$4:$F$203,MATCH(C376,식자재단가!$C$4:$C$203,0)),""))</f>
        <v/>
      </c>
      <c r="E376" s="84" t="n">
        <f aca="false">IF(C376="",0,IFERROR(INDEX(식자재단가!$G$4:$G$203,MATCH(C376,식자재단가!$C$4:$C$203,0)),0))</f>
        <v>0</v>
      </c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1" t="n">
        <f aca="false">N(INDEX(F376:R376,1,기본설정!$C$5+1))</f>
        <v>0</v>
      </c>
      <c r="T376" s="28" t="n">
        <f aca="false">S376*E376</f>
        <v>0</v>
      </c>
      <c r="U376" s="71" t="n">
        <f aca="false">N(INDEX(F376:R376,1,기본설정!$C$5))</f>
        <v>0</v>
      </c>
      <c r="V376" s="28" t="n">
        <f aca="false">U376*E376</f>
        <v>0</v>
      </c>
      <c r="W376" s="59" t="str">
        <f aca="false">IF(B376="","",IFERROR(INDEX(기본설정!$H$4:$H$14,MATCH(B376,기본설정!$G$4:$G$14,0)),""))</f>
        <v/>
      </c>
    </row>
    <row r="377" customFormat="false" ht="15" hidden="false" customHeight="false" outlineLevel="0" collapsed="false">
      <c r="A377" s="70"/>
      <c r="B377" s="81" t="str">
        <f aca="false">IF(C377="","",IFERROR(INDEX(식자재단가!$B$4:$B$203,MATCH(C377,식자재단가!$C$4:$C$203,0)),""))</f>
        <v/>
      </c>
      <c r="C377" s="80"/>
      <c r="D377" s="59" t="str">
        <f aca="false">IF(C377="","",IFERROR(INDEX(식자재단가!$F$4:$F$203,MATCH(C377,식자재단가!$C$4:$C$203,0)),""))</f>
        <v/>
      </c>
      <c r="E377" s="84" t="n">
        <f aca="false">IF(C377="",0,IFERROR(INDEX(식자재단가!$G$4:$G$203,MATCH(C377,식자재단가!$C$4:$C$203,0)),0))</f>
        <v>0</v>
      </c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1" t="n">
        <f aca="false">N(INDEX(F377:R377,1,기본설정!$C$5+1))</f>
        <v>0</v>
      </c>
      <c r="T377" s="28" t="n">
        <f aca="false">S377*E377</f>
        <v>0</v>
      </c>
      <c r="U377" s="71" t="n">
        <f aca="false">N(INDEX(F377:R377,1,기본설정!$C$5))</f>
        <v>0</v>
      </c>
      <c r="V377" s="28" t="n">
        <f aca="false">U377*E377</f>
        <v>0</v>
      </c>
      <c r="W377" s="59" t="str">
        <f aca="false">IF(B377="","",IFERROR(INDEX(기본설정!$H$4:$H$14,MATCH(B377,기본설정!$G$4:$G$14,0)),""))</f>
        <v/>
      </c>
    </row>
    <row r="378" customFormat="false" ht="15" hidden="false" customHeight="false" outlineLevel="0" collapsed="false">
      <c r="A378" s="70"/>
      <c r="B378" s="81" t="str">
        <f aca="false">IF(C378="","",IFERROR(INDEX(식자재단가!$B$4:$B$203,MATCH(C378,식자재단가!$C$4:$C$203,0)),""))</f>
        <v/>
      </c>
      <c r="C378" s="80"/>
      <c r="D378" s="59" t="str">
        <f aca="false">IF(C378="","",IFERROR(INDEX(식자재단가!$F$4:$F$203,MATCH(C378,식자재단가!$C$4:$C$203,0)),""))</f>
        <v/>
      </c>
      <c r="E378" s="84" t="n">
        <f aca="false">IF(C378="",0,IFERROR(INDEX(식자재단가!$G$4:$G$203,MATCH(C378,식자재단가!$C$4:$C$203,0)),0))</f>
        <v>0</v>
      </c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1" t="n">
        <f aca="false">N(INDEX(F378:R378,1,기본설정!$C$5+1))</f>
        <v>0</v>
      </c>
      <c r="T378" s="28" t="n">
        <f aca="false">S378*E378</f>
        <v>0</v>
      </c>
      <c r="U378" s="71" t="n">
        <f aca="false">N(INDEX(F378:R378,1,기본설정!$C$5))</f>
        <v>0</v>
      </c>
      <c r="V378" s="28" t="n">
        <f aca="false">U378*E378</f>
        <v>0</v>
      </c>
      <c r="W378" s="59" t="str">
        <f aca="false">IF(B378="","",IFERROR(INDEX(기본설정!$H$4:$H$14,MATCH(B378,기본설정!$G$4:$G$14,0)),""))</f>
        <v/>
      </c>
    </row>
    <row r="379" customFormat="false" ht="15" hidden="false" customHeight="false" outlineLevel="0" collapsed="false">
      <c r="A379" s="70"/>
      <c r="B379" s="81" t="str">
        <f aca="false">IF(C379="","",IFERROR(INDEX(식자재단가!$B$4:$B$203,MATCH(C379,식자재단가!$C$4:$C$203,0)),""))</f>
        <v/>
      </c>
      <c r="C379" s="80"/>
      <c r="D379" s="59" t="str">
        <f aca="false">IF(C379="","",IFERROR(INDEX(식자재단가!$F$4:$F$203,MATCH(C379,식자재단가!$C$4:$C$203,0)),""))</f>
        <v/>
      </c>
      <c r="E379" s="84" t="n">
        <f aca="false">IF(C379="",0,IFERROR(INDEX(식자재단가!$G$4:$G$203,MATCH(C379,식자재단가!$C$4:$C$203,0)),0))</f>
        <v>0</v>
      </c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1" t="n">
        <f aca="false">N(INDEX(F379:R379,1,기본설정!$C$5+1))</f>
        <v>0</v>
      </c>
      <c r="T379" s="28" t="n">
        <f aca="false">S379*E379</f>
        <v>0</v>
      </c>
      <c r="U379" s="71" t="n">
        <f aca="false">N(INDEX(F379:R379,1,기본설정!$C$5))</f>
        <v>0</v>
      </c>
      <c r="V379" s="28" t="n">
        <f aca="false">U379*E379</f>
        <v>0</v>
      </c>
      <c r="W379" s="59" t="str">
        <f aca="false">IF(B379="","",IFERROR(INDEX(기본설정!$H$4:$H$14,MATCH(B379,기본설정!$G$4:$G$14,0)),""))</f>
        <v/>
      </c>
    </row>
    <row r="380" customFormat="false" ht="15" hidden="false" customHeight="false" outlineLevel="0" collapsed="false">
      <c r="A380" s="70"/>
      <c r="B380" s="81" t="str">
        <f aca="false">IF(C380="","",IFERROR(INDEX(식자재단가!$B$4:$B$203,MATCH(C380,식자재단가!$C$4:$C$203,0)),""))</f>
        <v/>
      </c>
      <c r="C380" s="80"/>
      <c r="D380" s="59" t="str">
        <f aca="false">IF(C380="","",IFERROR(INDEX(식자재단가!$F$4:$F$203,MATCH(C380,식자재단가!$C$4:$C$203,0)),""))</f>
        <v/>
      </c>
      <c r="E380" s="84" t="n">
        <f aca="false">IF(C380="",0,IFERROR(INDEX(식자재단가!$G$4:$G$203,MATCH(C380,식자재단가!$C$4:$C$203,0)),0))</f>
        <v>0</v>
      </c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1" t="n">
        <f aca="false">N(INDEX(F380:R380,1,기본설정!$C$5+1))</f>
        <v>0</v>
      </c>
      <c r="T380" s="28" t="n">
        <f aca="false">S380*E380</f>
        <v>0</v>
      </c>
      <c r="U380" s="71" t="n">
        <f aca="false">N(INDEX(F380:R380,1,기본설정!$C$5))</f>
        <v>0</v>
      </c>
      <c r="V380" s="28" t="n">
        <f aca="false">U380*E380</f>
        <v>0</v>
      </c>
      <c r="W380" s="59" t="str">
        <f aca="false">IF(B380="","",IFERROR(INDEX(기본설정!$H$4:$H$14,MATCH(B380,기본설정!$G$4:$G$14,0)),""))</f>
        <v/>
      </c>
    </row>
    <row r="381" customFormat="false" ht="15" hidden="false" customHeight="false" outlineLevel="0" collapsed="false">
      <c r="A381" s="70"/>
      <c r="B381" s="81" t="str">
        <f aca="false">IF(C381="","",IFERROR(INDEX(식자재단가!$B$4:$B$203,MATCH(C381,식자재단가!$C$4:$C$203,0)),""))</f>
        <v/>
      </c>
      <c r="C381" s="80"/>
      <c r="D381" s="59" t="str">
        <f aca="false">IF(C381="","",IFERROR(INDEX(식자재단가!$F$4:$F$203,MATCH(C381,식자재단가!$C$4:$C$203,0)),""))</f>
        <v/>
      </c>
      <c r="E381" s="84" t="n">
        <f aca="false">IF(C381="",0,IFERROR(INDEX(식자재단가!$G$4:$G$203,MATCH(C381,식자재단가!$C$4:$C$203,0)),0))</f>
        <v>0</v>
      </c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1" t="n">
        <f aca="false">N(INDEX(F381:R381,1,기본설정!$C$5+1))</f>
        <v>0</v>
      </c>
      <c r="T381" s="28" t="n">
        <f aca="false">S381*E381</f>
        <v>0</v>
      </c>
      <c r="U381" s="71" t="n">
        <f aca="false">N(INDEX(F381:R381,1,기본설정!$C$5))</f>
        <v>0</v>
      </c>
      <c r="V381" s="28" t="n">
        <f aca="false">U381*E381</f>
        <v>0</v>
      </c>
      <c r="W381" s="59" t="str">
        <f aca="false">IF(B381="","",IFERROR(INDEX(기본설정!$H$4:$H$14,MATCH(B381,기본설정!$G$4:$G$14,0)),""))</f>
        <v/>
      </c>
    </row>
    <row r="382" customFormat="false" ht="15" hidden="false" customHeight="false" outlineLevel="0" collapsed="false">
      <c r="A382" s="70"/>
      <c r="B382" s="81" t="str">
        <f aca="false">IF(C382="","",IFERROR(INDEX(식자재단가!$B$4:$B$203,MATCH(C382,식자재단가!$C$4:$C$203,0)),""))</f>
        <v/>
      </c>
      <c r="C382" s="80"/>
      <c r="D382" s="59" t="str">
        <f aca="false">IF(C382="","",IFERROR(INDEX(식자재단가!$F$4:$F$203,MATCH(C382,식자재단가!$C$4:$C$203,0)),""))</f>
        <v/>
      </c>
      <c r="E382" s="84" t="n">
        <f aca="false">IF(C382="",0,IFERROR(INDEX(식자재단가!$G$4:$G$203,MATCH(C382,식자재단가!$C$4:$C$203,0)),0))</f>
        <v>0</v>
      </c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1" t="n">
        <f aca="false">N(INDEX(F382:R382,1,기본설정!$C$5+1))</f>
        <v>0</v>
      </c>
      <c r="T382" s="28" t="n">
        <f aca="false">S382*E382</f>
        <v>0</v>
      </c>
      <c r="U382" s="71" t="n">
        <f aca="false">N(INDEX(F382:R382,1,기본설정!$C$5))</f>
        <v>0</v>
      </c>
      <c r="V382" s="28" t="n">
        <f aca="false">U382*E382</f>
        <v>0</v>
      </c>
      <c r="W382" s="59" t="str">
        <f aca="false">IF(B382="","",IFERROR(INDEX(기본설정!$H$4:$H$14,MATCH(B382,기본설정!$G$4:$G$14,0)),""))</f>
        <v/>
      </c>
    </row>
    <row r="383" customFormat="false" ht="15" hidden="false" customHeight="false" outlineLevel="0" collapsed="false">
      <c r="A383" s="70"/>
      <c r="B383" s="81" t="str">
        <f aca="false">IF(C383="","",IFERROR(INDEX(식자재단가!$B$4:$B$203,MATCH(C383,식자재단가!$C$4:$C$203,0)),""))</f>
        <v/>
      </c>
      <c r="C383" s="80"/>
      <c r="D383" s="59" t="str">
        <f aca="false">IF(C383="","",IFERROR(INDEX(식자재단가!$F$4:$F$203,MATCH(C383,식자재단가!$C$4:$C$203,0)),""))</f>
        <v/>
      </c>
      <c r="E383" s="84" t="n">
        <f aca="false">IF(C383="",0,IFERROR(INDEX(식자재단가!$G$4:$G$203,MATCH(C383,식자재단가!$C$4:$C$203,0)),0))</f>
        <v>0</v>
      </c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1" t="n">
        <f aca="false">N(INDEX(F383:R383,1,기본설정!$C$5+1))</f>
        <v>0</v>
      </c>
      <c r="T383" s="28" t="n">
        <f aca="false">S383*E383</f>
        <v>0</v>
      </c>
      <c r="U383" s="71" t="n">
        <f aca="false">N(INDEX(F383:R383,1,기본설정!$C$5))</f>
        <v>0</v>
      </c>
      <c r="V383" s="28" t="n">
        <f aca="false">U383*E383</f>
        <v>0</v>
      </c>
      <c r="W383" s="59" t="str">
        <f aca="false">IF(B383="","",IFERROR(INDEX(기본설정!$H$4:$H$14,MATCH(B383,기본설정!$G$4:$G$14,0)),""))</f>
        <v/>
      </c>
    </row>
    <row r="384" customFormat="false" ht="15" hidden="false" customHeight="false" outlineLevel="0" collapsed="false">
      <c r="A384" s="70"/>
      <c r="B384" s="81" t="str">
        <f aca="false">IF(C384="","",IFERROR(INDEX(식자재단가!$B$4:$B$203,MATCH(C384,식자재단가!$C$4:$C$203,0)),""))</f>
        <v/>
      </c>
      <c r="C384" s="80"/>
      <c r="D384" s="59" t="str">
        <f aca="false">IF(C384="","",IFERROR(INDEX(식자재단가!$F$4:$F$203,MATCH(C384,식자재단가!$C$4:$C$203,0)),""))</f>
        <v/>
      </c>
      <c r="E384" s="84" t="n">
        <f aca="false">IF(C384="",0,IFERROR(INDEX(식자재단가!$G$4:$G$203,MATCH(C384,식자재단가!$C$4:$C$203,0)),0))</f>
        <v>0</v>
      </c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1" t="n">
        <f aca="false">N(INDEX(F384:R384,1,기본설정!$C$5+1))</f>
        <v>0</v>
      </c>
      <c r="T384" s="28" t="n">
        <f aca="false">S384*E384</f>
        <v>0</v>
      </c>
      <c r="U384" s="71" t="n">
        <f aca="false">N(INDEX(F384:R384,1,기본설정!$C$5))</f>
        <v>0</v>
      </c>
      <c r="V384" s="28" t="n">
        <f aca="false">U384*E384</f>
        <v>0</v>
      </c>
      <c r="W384" s="59" t="str">
        <f aca="false">IF(B384="","",IFERROR(INDEX(기본설정!$H$4:$H$14,MATCH(B384,기본설정!$G$4:$G$14,0)),""))</f>
        <v/>
      </c>
    </row>
    <row r="385" customFormat="false" ht="15" hidden="false" customHeight="false" outlineLevel="0" collapsed="false">
      <c r="A385" s="70"/>
      <c r="B385" s="81" t="str">
        <f aca="false">IF(C385="","",IFERROR(INDEX(식자재단가!$B$4:$B$203,MATCH(C385,식자재단가!$C$4:$C$203,0)),""))</f>
        <v/>
      </c>
      <c r="C385" s="80"/>
      <c r="D385" s="59" t="str">
        <f aca="false">IF(C385="","",IFERROR(INDEX(식자재단가!$F$4:$F$203,MATCH(C385,식자재단가!$C$4:$C$203,0)),""))</f>
        <v/>
      </c>
      <c r="E385" s="84" t="n">
        <f aca="false">IF(C385="",0,IFERROR(INDEX(식자재단가!$G$4:$G$203,MATCH(C385,식자재단가!$C$4:$C$203,0)),0))</f>
        <v>0</v>
      </c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1" t="n">
        <f aca="false">N(INDEX(F385:R385,1,기본설정!$C$5+1))</f>
        <v>0</v>
      </c>
      <c r="T385" s="28" t="n">
        <f aca="false">S385*E385</f>
        <v>0</v>
      </c>
      <c r="U385" s="71" t="n">
        <f aca="false">N(INDEX(F385:R385,1,기본설정!$C$5))</f>
        <v>0</v>
      </c>
      <c r="V385" s="28" t="n">
        <f aca="false">U385*E385</f>
        <v>0</v>
      </c>
      <c r="W385" s="59" t="str">
        <f aca="false">IF(B385="","",IFERROR(INDEX(기본설정!$H$4:$H$14,MATCH(B385,기본설정!$G$4:$G$14,0)),""))</f>
        <v/>
      </c>
    </row>
    <row r="386" customFormat="false" ht="15" hidden="false" customHeight="false" outlineLevel="0" collapsed="false">
      <c r="A386" s="70"/>
      <c r="B386" s="81" t="str">
        <f aca="false">IF(C386="","",IFERROR(INDEX(식자재단가!$B$4:$B$203,MATCH(C386,식자재단가!$C$4:$C$203,0)),""))</f>
        <v/>
      </c>
      <c r="C386" s="80"/>
      <c r="D386" s="59" t="str">
        <f aca="false">IF(C386="","",IFERROR(INDEX(식자재단가!$F$4:$F$203,MATCH(C386,식자재단가!$C$4:$C$203,0)),""))</f>
        <v/>
      </c>
      <c r="E386" s="84" t="n">
        <f aca="false">IF(C386="",0,IFERROR(INDEX(식자재단가!$G$4:$G$203,MATCH(C386,식자재단가!$C$4:$C$203,0)),0))</f>
        <v>0</v>
      </c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1" t="n">
        <f aca="false">N(INDEX(F386:R386,1,기본설정!$C$5+1))</f>
        <v>0</v>
      </c>
      <c r="T386" s="28" t="n">
        <f aca="false">S386*E386</f>
        <v>0</v>
      </c>
      <c r="U386" s="71" t="n">
        <f aca="false">N(INDEX(F386:R386,1,기본설정!$C$5))</f>
        <v>0</v>
      </c>
      <c r="V386" s="28" t="n">
        <f aca="false">U386*E386</f>
        <v>0</v>
      </c>
      <c r="W386" s="59" t="str">
        <f aca="false">IF(B386="","",IFERROR(INDEX(기본설정!$H$4:$H$14,MATCH(B386,기본설정!$G$4:$G$14,0)),""))</f>
        <v/>
      </c>
    </row>
    <row r="387" customFormat="false" ht="15" hidden="false" customHeight="false" outlineLevel="0" collapsed="false">
      <c r="A387" s="70"/>
      <c r="B387" s="81" t="str">
        <f aca="false">IF(C387="","",IFERROR(INDEX(식자재단가!$B$4:$B$203,MATCH(C387,식자재단가!$C$4:$C$203,0)),""))</f>
        <v/>
      </c>
      <c r="C387" s="80"/>
      <c r="D387" s="59" t="str">
        <f aca="false">IF(C387="","",IFERROR(INDEX(식자재단가!$F$4:$F$203,MATCH(C387,식자재단가!$C$4:$C$203,0)),""))</f>
        <v/>
      </c>
      <c r="E387" s="84" t="n">
        <f aca="false">IF(C387="",0,IFERROR(INDEX(식자재단가!$G$4:$G$203,MATCH(C387,식자재단가!$C$4:$C$203,0)),0))</f>
        <v>0</v>
      </c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1" t="n">
        <f aca="false">N(INDEX(F387:R387,1,기본설정!$C$5+1))</f>
        <v>0</v>
      </c>
      <c r="T387" s="28" t="n">
        <f aca="false">S387*E387</f>
        <v>0</v>
      </c>
      <c r="U387" s="71" t="n">
        <f aca="false">N(INDEX(F387:R387,1,기본설정!$C$5))</f>
        <v>0</v>
      </c>
      <c r="V387" s="28" t="n">
        <f aca="false">U387*E387</f>
        <v>0</v>
      </c>
      <c r="W387" s="59" t="str">
        <f aca="false">IF(B387="","",IFERROR(INDEX(기본설정!$H$4:$H$14,MATCH(B387,기본설정!$G$4:$G$14,0)),""))</f>
        <v/>
      </c>
    </row>
    <row r="388" customFormat="false" ht="15" hidden="false" customHeight="false" outlineLevel="0" collapsed="false">
      <c r="A388" s="70"/>
      <c r="B388" s="81" t="str">
        <f aca="false">IF(C388="","",IFERROR(INDEX(식자재단가!$B$4:$B$203,MATCH(C388,식자재단가!$C$4:$C$203,0)),""))</f>
        <v/>
      </c>
      <c r="C388" s="80"/>
      <c r="D388" s="59" t="str">
        <f aca="false">IF(C388="","",IFERROR(INDEX(식자재단가!$F$4:$F$203,MATCH(C388,식자재단가!$C$4:$C$203,0)),""))</f>
        <v/>
      </c>
      <c r="E388" s="84" t="n">
        <f aca="false">IF(C388="",0,IFERROR(INDEX(식자재단가!$G$4:$G$203,MATCH(C388,식자재단가!$C$4:$C$203,0)),0))</f>
        <v>0</v>
      </c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1" t="n">
        <f aca="false">N(INDEX(F388:R388,1,기본설정!$C$5+1))</f>
        <v>0</v>
      </c>
      <c r="T388" s="28" t="n">
        <f aca="false">S388*E388</f>
        <v>0</v>
      </c>
      <c r="U388" s="71" t="n">
        <f aca="false">N(INDEX(F388:R388,1,기본설정!$C$5))</f>
        <v>0</v>
      </c>
      <c r="V388" s="28" t="n">
        <f aca="false">U388*E388</f>
        <v>0</v>
      </c>
      <c r="W388" s="59" t="str">
        <f aca="false">IF(B388="","",IFERROR(INDEX(기본설정!$H$4:$H$14,MATCH(B388,기본설정!$G$4:$G$14,0)),""))</f>
        <v/>
      </c>
    </row>
    <row r="389" customFormat="false" ht="15" hidden="false" customHeight="false" outlineLevel="0" collapsed="false">
      <c r="A389" s="70"/>
      <c r="B389" s="81" t="str">
        <f aca="false">IF(C389="","",IFERROR(INDEX(식자재단가!$B$4:$B$203,MATCH(C389,식자재단가!$C$4:$C$203,0)),""))</f>
        <v/>
      </c>
      <c r="C389" s="80"/>
      <c r="D389" s="59" t="str">
        <f aca="false">IF(C389="","",IFERROR(INDEX(식자재단가!$F$4:$F$203,MATCH(C389,식자재단가!$C$4:$C$203,0)),""))</f>
        <v/>
      </c>
      <c r="E389" s="84" t="n">
        <f aca="false">IF(C389="",0,IFERROR(INDEX(식자재단가!$G$4:$G$203,MATCH(C389,식자재단가!$C$4:$C$203,0)),0))</f>
        <v>0</v>
      </c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1" t="n">
        <f aca="false">N(INDEX(F389:R389,1,기본설정!$C$5+1))</f>
        <v>0</v>
      </c>
      <c r="T389" s="28" t="n">
        <f aca="false">S389*E389</f>
        <v>0</v>
      </c>
      <c r="U389" s="71" t="n">
        <f aca="false">N(INDEX(F389:R389,1,기본설정!$C$5))</f>
        <v>0</v>
      </c>
      <c r="V389" s="28" t="n">
        <f aca="false">U389*E389</f>
        <v>0</v>
      </c>
      <c r="W389" s="59" t="str">
        <f aca="false">IF(B389="","",IFERROR(INDEX(기본설정!$H$4:$H$14,MATCH(B389,기본설정!$G$4:$G$14,0)),""))</f>
        <v/>
      </c>
    </row>
    <row r="390" customFormat="false" ht="15" hidden="false" customHeight="false" outlineLevel="0" collapsed="false">
      <c r="A390" s="70"/>
      <c r="B390" s="81" t="str">
        <f aca="false">IF(C390="","",IFERROR(INDEX(식자재단가!$B$4:$B$203,MATCH(C390,식자재단가!$C$4:$C$203,0)),""))</f>
        <v/>
      </c>
      <c r="C390" s="80"/>
      <c r="D390" s="59" t="str">
        <f aca="false">IF(C390="","",IFERROR(INDEX(식자재단가!$F$4:$F$203,MATCH(C390,식자재단가!$C$4:$C$203,0)),""))</f>
        <v/>
      </c>
      <c r="E390" s="84" t="n">
        <f aca="false">IF(C390="",0,IFERROR(INDEX(식자재단가!$G$4:$G$203,MATCH(C390,식자재단가!$C$4:$C$203,0)),0))</f>
        <v>0</v>
      </c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1" t="n">
        <f aca="false">N(INDEX(F390:R390,1,기본설정!$C$5+1))</f>
        <v>0</v>
      </c>
      <c r="T390" s="28" t="n">
        <f aca="false">S390*E390</f>
        <v>0</v>
      </c>
      <c r="U390" s="71" t="n">
        <f aca="false">N(INDEX(F390:R390,1,기본설정!$C$5))</f>
        <v>0</v>
      </c>
      <c r="V390" s="28" t="n">
        <f aca="false">U390*E390</f>
        <v>0</v>
      </c>
      <c r="W390" s="59" t="str">
        <f aca="false">IF(B390="","",IFERROR(INDEX(기본설정!$H$4:$H$14,MATCH(B390,기본설정!$G$4:$G$14,0)),""))</f>
        <v/>
      </c>
    </row>
    <row r="391" customFormat="false" ht="15" hidden="false" customHeight="false" outlineLevel="0" collapsed="false">
      <c r="A391" s="70"/>
      <c r="B391" s="81" t="str">
        <f aca="false">IF(C391="","",IFERROR(INDEX(식자재단가!$B$4:$B$203,MATCH(C391,식자재단가!$C$4:$C$203,0)),""))</f>
        <v/>
      </c>
      <c r="C391" s="80"/>
      <c r="D391" s="59" t="str">
        <f aca="false">IF(C391="","",IFERROR(INDEX(식자재단가!$F$4:$F$203,MATCH(C391,식자재단가!$C$4:$C$203,0)),""))</f>
        <v/>
      </c>
      <c r="E391" s="84" t="n">
        <f aca="false">IF(C391="",0,IFERROR(INDEX(식자재단가!$G$4:$G$203,MATCH(C391,식자재단가!$C$4:$C$203,0)),0))</f>
        <v>0</v>
      </c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1" t="n">
        <f aca="false">N(INDEX(F391:R391,1,기본설정!$C$5+1))</f>
        <v>0</v>
      </c>
      <c r="T391" s="28" t="n">
        <f aca="false">S391*E391</f>
        <v>0</v>
      </c>
      <c r="U391" s="71" t="n">
        <f aca="false">N(INDEX(F391:R391,1,기본설정!$C$5))</f>
        <v>0</v>
      </c>
      <c r="V391" s="28" t="n">
        <f aca="false">U391*E391</f>
        <v>0</v>
      </c>
      <c r="W391" s="59" t="str">
        <f aca="false">IF(B391="","",IFERROR(INDEX(기본설정!$H$4:$H$14,MATCH(B391,기본설정!$G$4:$G$14,0)),""))</f>
        <v/>
      </c>
    </row>
    <row r="392" customFormat="false" ht="15" hidden="false" customHeight="false" outlineLevel="0" collapsed="false">
      <c r="A392" s="70"/>
      <c r="B392" s="81" t="str">
        <f aca="false">IF(C392="","",IFERROR(INDEX(식자재단가!$B$4:$B$203,MATCH(C392,식자재단가!$C$4:$C$203,0)),""))</f>
        <v/>
      </c>
      <c r="C392" s="80"/>
      <c r="D392" s="59" t="str">
        <f aca="false">IF(C392="","",IFERROR(INDEX(식자재단가!$F$4:$F$203,MATCH(C392,식자재단가!$C$4:$C$203,0)),""))</f>
        <v/>
      </c>
      <c r="E392" s="84" t="n">
        <f aca="false">IF(C392="",0,IFERROR(INDEX(식자재단가!$G$4:$G$203,MATCH(C392,식자재단가!$C$4:$C$203,0)),0))</f>
        <v>0</v>
      </c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1" t="n">
        <f aca="false">N(INDEX(F392:R392,1,기본설정!$C$5+1))</f>
        <v>0</v>
      </c>
      <c r="T392" s="28" t="n">
        <f aca="false">S392*E392</f>
        <v>0</v>
      </c>
      <c r="U392" s="71" t="n">
        <f aca="false">N(INDEX(F392:R392,1,기본설정!$C$5))</f>
        <v>0</v>
      </c>
      <c r="V392" s="28" t="n">
        <f aca="false">U392*E392</f>
        <v>0</v>
      </c>
      <c r="W392" s="59" t="str">
        <f aca="false">IF(B392="","",IFERROR(INDEX(기본설정!$H$4:$H$14,MATCH(B392,기본설정!$G$4:$G$14,0)),""))</f>
        <v/>
      </c>
    </row>
    <row r="393" customFormat="false" ht="15" hidden="false" customHeight="false" outlineLevel="0" collapsed="false">
      <c r="A393" s="70"/>
      <c r="B393" s="81" t="str">
        <f aca="false">IF(C393="","",IFERROR(INDEX(식자재단가!$B$4:$B$203,MATCH(C393,식자재단가!$C$4:$C$203,0)),""))</f>
        <v/>
      </c>
      <c r="C393" s="80"/>
      <c r="D393" s="59" t="str">
        <f aca="false">IF(C393="","",IFERROR(INDEX(식자재단가!$F$4:$F$203,MATCH(C393,식자재단가!$C$4:$C$203,0)),""))</f>
        <v/>
      </c>
      <c r="E393" s="84" t="n">
        <f aca="false">IF(C393="",0,IFERROR(INDEX(식자재단가!$G$4:$G$203,MATCH(C393,식자재단가!$C$4:$C$203,0)),0))</f>
        <v>0</v>
      </c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1" t="n">
        <f aca="false">N(INDEX(F393:R393,1,기본설정!$C$5+1))</f>
        <v>0</v>
      </c>
      <c r="T393" s="28" t="n">
        <f aca="false">S393*E393</f>
        <v>0</v>
      </c>
      <c r="U393" s="71" t="n">
        <f aca="false">N(INDEX(F393:R393,1,기본설정!$C$5))</f>
        <v>0</v>
      </c>
      <c r="V393" s="28" t="n">
        <f aca="false">U393*E393</f>
        <v>0</v>
      </c>
      <c r="W393" s="59" t="str">
        <f aca="false">IF(B393="","",IFERROR(INDEX(기본설정!$H$4:$H$14,MATCH(B393,기본설정!$G$4:$G$14,0)),""))</f>
        <v/>
      </c>
    </row>
    <row r="394" customFormat="false" ht="15" hidden="false" customHeight="false" outlineLevel="0" collapsed="false">
      <c r="A394" s="70"/>
      <c r="B394" s="81" t="str">
        <f aca="false">IF(C394="","",IFERROR(INDEX(식자재단가!$B$4:$B$203,MATCH(C394,식자재단가!$C$4:$C$203,0)),""))</f>
        <v/>
      </c>
      <c r="C394" s="80"/>
      <c r="D394" s="59" t="str">
        <f aca="false">IF(C394="","",IFERROR(INDEX(식자재단가!$F$4:$F$203,MATCH(C394,식자재단가!$C$4:$C$203,0)),""))</f>
        <v/>
      </c>
      <c r="E394" s="84" t="n">
        <f aca="false">IF(C394="",0,IFERROR(INDEX(식자재단가!$G$4:$G$203,MATCH(C394,식자재단가!$C$4:$C$203,0)),0))</f>
        <v>0</v>
      </c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1" t="n">
        <f aca="false">N(INDEX(F394:R394,1,기본설정!$C$5+1))</f>
        <v>0</v>
      </c>
      <c r="T394" s="28" t="n">
        <f aca="false">S394*E394</f>
        <v>0</v>
      </c>
      <c r="U394" s="71" t="n">
        <f aca="false">N(INDEX(F394:R394,1,기본설정!$C$5))</f>
        <v>0</v>
      </c>
      <c r="V394" s="28" t="n">
        <f aca="false">U394*E394</f>
        <v>0</v>
      </c>
      <c r="W394" s="59" t="str">
        <f aca="false">IF(B394="","",IFERROR(INDEX(기본설정!$H$4:$H$14,MATCH(B394,기본설정!$G$4:$G$14,0)),""))</f>
        <v/>
      </c>
    </row>
    <row r="395" customFormat="false" ht="15" hidden="false" customHeight="false" outlineLevel="0" collapsed="false">
      <c r="A395" s="70"/>
      <c r="B395" s="81" t="str">
        <f aca="false">IF(C395="","",IFERROR(INDEX(식자재단가!$B$4:$B$203,MATCH(C395,식자재단가!$C$4:$C$203,0)),""))</f>
        <v/>
      </c>
      <c r="C395" s="80"/>
      <c r="D395" s="59" t="str">
        <f aca="false">IF(C395="","",IFERROR(INDEX(식자재단가!$F$4:$F$203,MATCH(C395,식자재단가!$C$4:$C$203,0)),""))</f>
        <v/>
      </c>
      <c r="E395" s="84" t="n">
        <f aca="false">IF(C395="",0,IFERROR(INDEX(식자재단가!$G$4:$G$203,MATCH(C395,식자재단가!$C$4:$C$203,0)),0))</f>
        <v>0</v>
      </c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1" t="n">
        <f aca="false">N(INDEX(F395:R395,1,기본설정!$C$5+1))</f>
        <v>0</v>
      </c>
      <c r="T395" s="28" t="n">
        <f aca="false">S395*E395</f>
        <v>0</v>
      </c>
      <c r="U395" s="71" t="n">
        <f aca="false">N(INDEX(F395:R395,1,기본설정!$C$5))</f>
        <v>0</v>
      </c>
      <c r="V395" s="28" t="n">
        <f aca="false">U395*E395</f>
        <v>0</v>
      </c>
      <c r="W395" s="59" t="str">
        <f aca="false">IF(B395="","",IFERROR(INDEX(기본설정!$H$4:$H$14,MATCH(B395,기본설정!$G$4:$G$14,0)),""))</f>
        <v/>
      </c>
    </row>
    <row r="396" customFormat="false" ht="15" hidden="false" customHeight="false" outlineLevel="0" collapsed="false">
      <c r="A396" s="70"/>
      <c r="B396" s="81" t="str">
        <f aca="false">IF(C396="","",IFERROR(INDEX(식자재단가!$B$4:$B$203,MATCH(C396,식자재단가!$C$4:$C$203,0)),""))</f>
        <v/>
      </c>
      <c r="C396" s="80"/>
      <c r="D396" s="59" t="str">
        <f aca="false">IF(C396="","",IFERROR(INDEX(식자재단가!$F$4:$F$203,MATCH(C396,식자재단가!$C$4:$C$203,0)),""))</f>
        <v/>
      </c>
      <c r="E396" s="84" t="n">
        <f aca="false">IF(C396="",0,IFERROR(INDEX(식자재단가!$G$4:$G$203,MATCH(C396,식자재단가!$C$4:$C$203,0)),0))</f>
        <v>0</v>
      </c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1" t="n">
        <f aca="false">N(INDEX(F396:R396,1,기본설정!$C$5+1))</f>
        <v>0</v>
      </c>
      <c r="T396" s="28" t="n">
        <f aca="false">S396*E396</f>
        <v>0</v>
      </c>
      <c r="U396" s="71" t="n">
        <f aca="false">N(INDEX(F396:R396,1,기본설정!$C$5))</f>
        <v>0</v>
      </c>
      <c r="V396" s="28" t="n">
        <f aca="false">U396*E396</f>
        <v>0</v>
      </c>
      <c r="W396" s="59" t="str">
        <f aca="false">IF(B396="","",IFERROR(INDEX(기본설정!$H$4:$H$14,MATCH(B396,기본설정!$G$4:$G$14,0)),""))</f>
        <v/>
      </c>
    </row>
    <row r="397" customFormat="false" ht="15" hidden="false" customHeight="false" outlineLevel="0" collapsed="false">
      <c r="A397" s="70"/>
      <c r="B397" s="81" t="str">
        <f aca="false">IF(C397="","",IFERROR(INDEX(식자재단가!$B$4:$B$203,MATCH(C397,식자재단가!$C$4:$C$203,0)),""))</f>
        <v/>
      </c>
      <c r="C397" s="80"/>
      <c r="D397" s="59" t="str">
        <f aca="false">IF(C397="","",IFERROR(INDEX(식자재단가!$F$4:$F$203,MATCH(C397,식자재단가!$C$4:$C$203,0)),""))</f>
        <v/>
      </c>
      <c r="E397" s="84" t="n">
        <f aca="false">IF(C397="",0,IFERROR(INDEX(식자재단가!$G$4:$G$203,MATCH(C397,식자재단가!$C$4:$C$203,0)),0))</f>
        <v>0</v>
      </c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1" t="n">
        <f aca="false">N(INDEX(F397:R397,1,기본설정!$C$5+1))</f>
        <v>0</v>
      </c>
      <c r="T397" s="28" t="n">
        <f aca="false">S397*E397</f>
        <v>0</v>
      </c>
      <c r="U397" s="71" t="n">
        <f aca="false">N(INDEX(F397:R397,1,기본설정!$C$5))</f>
        <v>0</v>
      </c>
      <c r="V397" s="28" t="n">
        <f aca="false">U397*E397</f>
        <v>0</v>
      </c>
      <c r="W397" s="59" t="str">
        <f aca="false">IF(B397="","",IFERROR(INDEX(기본설정!$H$4:$H$14,MATCH(B397,기본설정!$G$4:$G$14,0)),""))</f>
        <v/>
      </c>
    </row>
    <row r="398" customFormat="false" ht="15" hidden="false" customHeight="false" outlineLevel="0" collapsed="false">
      <c r="A398" s="70"/>
      <c r="B398" s="81" t="str">
        <f aca="false">IF(C398="","",IFERROR(INDEX(식자재단가!$B$4:$B$203,MATCH(C398,식자재단가!$C$4:$C$203,0)),""))</f>
        <v/>
      </c>
      <c r="C398" s="80"/>
      <c r="D398" s="59" t="str">
        <f aca="false">IF(C398="","",IFERROR(INDEX(식자재단가!$F$4:$F$203,MATCH(C398,식자재단가!$C$4:$C$203,0)),""))</f>
        <v/>
      </c>
      <c r="E398" s="84" t="n">
        <f aca="false">IF(C398="",0,IFERROR(INDEX(식자재단가!$G$4:$G$203,MATCH(C398,식자재단가!$C$4:$C$203,0)),0))</f>
        <v>0</v>
      </c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1" t="n">
        <f aca="false">N(INDEX(F398:R398,1,기본설정!$C$5+1))</f>
        <v>0</v>
      </c>
      <c r="T398" s="28" t="n">
        <f aca="false">S398*E398</f>
        <v>0</v>
      </c>
      <c r="U398" s="71" t="n">
        <f aca="false">N(INDEX(F398:R398,1,기본설정!$C$5))</f>
        <v>0</v>
      </c>
      <c r="V398" s="28" t="n">
        <f aca="false">U398*E398</f>
        <v>0</v>
      </c>
      <c r="W398" s="59" t="str">
        <f aca="false">IF(B398="","",IFERROR(INDEX(기본설정!$H$4:$H$14,MATCH(B398,기본설정!$G$4:$G$14,0)),""))</f>
        <v/>
      </c>
    </row>
    <row r="399" customFormat="false" ht="15" hidden="false" customHeight="false" outlineLevel="0" collapsed="false">
      <c r="A399" s="70"/>
      <c r="B399" s="81" t="str">
        <f aca="false">IF(C399="","",IFERROR(INDEX(식자재단가!$B$4:$B$203,MATCH(C399,식자재단가!$C$4:$C$203,0)),""))</f>
        <v/>
      </c>
      <c r="C399" s="80"/>
      <c r="D399" s="59" t="str">
        <f aca="false">IF(C399="","",IFERROR(INDEX(식자재단가!$F$4:$F$203,MATCH(C399,식자재단가!$C$4:$C$203,0)),""))</f>
        <v/>
      </c>
      <c r="E399" s="84" t="n">
        <f aca="false">IF(C399="",0,IFERROR(INDEX(식자재단가!$G$4:$G$203,MATCH(C399,식자재단가!$C$4:$C$203,0)),0))</f>
        <v>0</v>
      </c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1" t="n">
        <f aca="false">N(INDEX(F399:R399,1,기본설정!$C$5+1))</f>
        <v>0</v>
      </c>
      <c r="T399" s="28" t="n">
        <f aca="false">S399*E399</f>
        <v>0</v>
      </c>
      <c r="U399" s="71" t="n">
        <f aca="false">N(INDEX(F399:R399,1,기본설정!$C$5))</f>
        <v>0</v>
      </c>
      <c r="V399" s="28" t="n">
        <f aca="false">U399*E399</f>
        <v>0</v>
      </c>
      <c r="W399" s="59" t="str">
        <f aca="false">IF(B399="","",IFERROR(INDEX(기본설정!$H$4:$H$14,MATCH(B399,기본설정!$G$4:$G$14,0)),""))</f>
        <v/>
      </c>
    </row>
    <row r="400" customFormat="false" ht="15" hidden="false" customHeight="false" outlineLevel="0" collapsed="false">
      <c r="A400" s="70"/>
      <c r="B400" s="81" t="str">
        <f aca="false">IF(C400="","",IFERROR(INDEX(식자재단가!$B$4:$B$203,MATCH(C400,식자재단가!$C$4:$C$203,0)),""))</f>
        <v/>
      </c>
      <c r="C400" s="80"/>
      <c r="D400" s="59" t="str">
        <f aca="false">IF(C400="","",IFERROR(INDEX(식자재단가!$F$4:$F$203,MATCH(C400,식자재단가!$C$4:$C$203,0)),""))</f>
        <v/>
      </c>
      <c r="E400" s="84" t="n">
        <f aca="false">IF(C400="",0,IFERROR(INDEX(식자재단가!$G$4:$G$203,MATCH(C400,식자재단가!$C$4:$C$203,0)),0))</f>
        <v>0</v>
      </c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1" t="n">
        <f aca="false">N(INDEX(F400:R400,1,기본설정!$C$5+1))</f>
        <v>0</v>
      </c>
      <c r="T400" s="28" t="n">
        <f aca="false">S400*E400</f>
        <v>0</v>
      </c>
      <c r="U400" s="71" t="n">
        <f aca="false">N(INDEX(F400:R400,1,기본설정!$C$5))</f>
        <v>0</v>
      </c>
      <c r="V400" s="28" t="n">
        <f aca="false">U400*E400</f>
        <v>0</v>
      </c>
      <c r="W400" s="59" t="str">
        <f aca="false">IF(B400="","",IFERROR(INDEX(기본설정!$H$4:$H$14,MATCH(B400,기본설정!$G$4:$G$14,0)),""))</f>
        <v/>
      </c>
    </row>
    <row r="401" customFormat="false" ht="15" hidden="false" customHeight="false" outlineLevel="0" collapsed="false">
      <c r="A401" s="70"/>
      <c r="B401" s="81" t="str">
        <f aca="false">IF(C401="","",IFERROR(INDEX(식자재단가!$B$4:$B$203,MATCH(C401,식자재단가!$C$4:$C$203,0)),""))</f>
        <v/>
      </c>
      <c r="C401" s="80"/>
      <c r="D401" s="59" t="str">
        <f aca="false">IF(C401="","",IFERROR(INDEX(식자재단가!$F$4:$F$203,MATCH(C401,식자재단가!$C$4:$C$203,0)),""))</f>
        <v/>
      </c>
      <c r="E401" s="84" t="n">
        <f aca="false">IF(C401="",0,IFERROR(INDEX(식자재단가!$G$4:$G$203,MATCH(C401,식자재단가!$C$4:$C$203,0)),0))</f>
        <v>0</v>
      </c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1" t="n">
        <f aca="false">N(INDEX(F401:R401,1,기본설정!$C$5+1))</f>
        <v>0</v>
      </c>
      <c r="T401" s="28" t="n">
        <f aca="false">S401*E401</f>
        <v>0</v>
      </c>
      <c r="U401" s="71" t="n">
        <f aca="false">N(INDEX(F401:R401,1,기본설정!$C$5))</f>
        <v>0</v>
      </c>
      <c r="V401" s="28" t="n">
        <f aca="false">U401*E401</f>
        <v>0</v>
      </c>
      <c r="W401" s="59" t="str">
        <f aca="false">IF(B401="","",IFERROR(INDEX(기본설정!$H$4:$H$14,MATCH(B401,기본설정!$G$4:$G$14,0)),""))</f>
        <v/>
      </c>
    </row>
    <row r="402" customFormat="false" ht="15" hidden="false" customHeight="false" outlineLevel="0" collapsed="false">
      <c r="A402" s="70"/>
      <c r="B402" s="81" t="str">
        <f aca="false">IF(C402="","",IFERROR(INDEX(식자재단가!$B$4:$B$203,MATCH(C402,식자재단가!$C$4:$C$203,0)),""))</f>
        <v/>
      </c>
      <c r="C402" s="80"/>
      <c r="D402" s="59" t="str">
        <f aca="false">IF(C402="","",IFERROR(INDEX(식자재단가!$F$4:$F$203,MATCH(C402,식자재단가!$C$4:$C$203,0)),""))</f>
        <v/>
      </c>
      <c r="E402" s="84" t="n">
        <f aca="false">IF(C402="",0,IFERROR(INDEX(식자재단가!$G$4:$G$203,MATCH(C402,식자재단가!$C$4:$C$203,0)),0))</f>
        <v>0</v>
      </c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1" t="n">
        <f aca="false">N(INDEX(F402:R402,1,기본설정!$C$5+1))</f>
        <v>0</v>
      </c>
      <c r="T402" s="28" t="n">
        <f aca="false">S402*E402</f>
        <v>0</v>
      </c>
      <c r="U402" s="71" t="n">
        <f aca="false">N(INDEX(F402:R402,1,기본설정!$C$5))</f>
        <v>0</v>
      </c>
      <c r="V402" s="28" t="n">
        <f aca="false">U402*E402</f>
        <v>0</v>
      </c>
      <c r="W402" s="59" t="str">
        <f aca="false">IF(B402="","",IFERROR(INDEX(기본설정!$H$4:$H$14,MATCH(B402,기본설정!$G$4:$G$14,0)),""))</f>
        <v/>
      </c>
    </row>
    <row r="403" customFormat="false" ht="15" hidden="false" customHeight="false" outlineLevel="0" collapsed="false">
      <c r="A403" s="70"/>
      <c r="B403" s="81" t="str">
        <f aca="false">IF(C403="","",IFERROR(INDEX(식자재단가!$B$4:$B$203,MATCH(C403,식자재단가!$C$4:$C$203,0)),""))</f>
        <v/>
      </c>
      <c r="C403" s="80"/>
      <c r="D403" s="59" t="str">
        <f aca="false">IF(C403="","",IFERROR(INDEX(식자재단가!$F$4:$F$203,MATCH(C403,식자재단가!$C$4:$C$203,0)),""))</f>
        <v/>
      </c>
      <c r="E403" s="84" t="n">
        <f aca="false">IF(C403="",0,IFERROR(INDEX(식자재단가!$G$4:$G$203,MATCH(C403,식자재단가!$C$4:$C$203,0)),0))</f>
        <v>0</v>
      </c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1" t="n">
        <f aca="false">N(INDEX(F403:R403,1,기본설정!$C$5+1))</f>
        <v>0</v>
      </c>
      <c r="T403" s="28" t="n">
        <f aca="false">S403*E403</f>
        <v>0</v>
      </c>
      <c r="U403" s="71" t="n">
        <f aca="false">N(INDEX(F403:R403,1,기본설정!$C$5))</f>
        <v>0</v>
      </c>
      <c r="V403" s="28" t="n">
        <f aca="false">U403*E403</f>
        <v>0</v>
      </c>
      <c r="W403" s="59" t="str">
        <f aca="false">IF(B403="","",IFERROR(INDEX(기본설정!$H$4:$H$14,MATCH(B403,기본설정!$G$4:$G$14,0)),""))</f>
        <v/>
      </c>
    </row>
  </sheetData>
  <autoFilter ref="A3:W403"/>
  <conditionalFormatting sqref="G3:R403">
    <cfRule type="expression" priority="2" aboveAverage="0" equalAverage="0" bottom="0" percent="0" rank="0" text="" dxfId="24">
      <formula>COLUMN(G3)-6=기본설정!$C$5</formula>
    </cfRule>
  </conditionalFormatting>
  <dataValidations count="3">
    <dataValidation allowBlank="true" errorStyle="stop" operator="between" showDropDown="false" showErrorMessage="true" showInputMessage="false" sqref="A4:A403" type="list">
      <formula1>기본설정!$E$5:$E$10</formula1>
      <formula2>0</formula2>
    </dataValidation>
    <dataValidation allowBlank="true" errorStyle="information" operator="between" showDropDown="false" showErrorMessage="false" showInputMessage="false" sqref="C4:C403" type="list">
      <formula1>식자재단가!$C$4:$C$203</formula1>
      <formula2>0</formula2>
    </dataValidation>
    <dataValidation allowBlank="true" errorStyle="stop" operator="between" showDropDown="false" showErrorMessage="true" showInputMessage="false" sqref="B4:B403" type="list">
      <formula1>기본설정!$G$4:$G$14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2026-10-04T13:56:59Z</dcterms:created>
  <dc:creator>openpyxl</dc:creator>
  <dc:description/>
  <dc:language>en-US</dc:language>
  <cp:lastModifiedBy/>
  <dcterms:modified xsi:type="dcterms:W3CDTF">2026-10-04T13:57:00Z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